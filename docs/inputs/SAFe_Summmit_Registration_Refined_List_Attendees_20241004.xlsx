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lsadigital-my.sharepoint.com/personal/mike_lsadigital_com/Documents/LSA Pipeline.Documents/Marketing and Promotion/Marketing material/SAFe Summit/"/>
    </mc:Choice>
  </mc:AlternateContent>
  <xr:revisionPtr revIDLastSave="1153" documentId="6_{1AFCB5E5-4063-4489-AB26-6A3A7CEC9364}" xr6:coauthVersionLast="47" xr6:coauthVersionMax="47" xr10:uidLastSave="{A6455BF4-BBC9-ED42-AD6B-189A033752E0}"/>
  <bookViews>
    <workbookView xWindow="0" yWindow="2720" windowWidth="34560" windowHeight="18560" xr2:uid="{00000000-000D-0000-FFFF-FFFF00000000}"/>
  </bookViews>
  <sheets>
    <sheet name="Post-conf leads (Round 2)" sheetId="7" r:id="rId1"/>
    <sheet name="Post-conf leads (Round 1)" sheetId="6" r:id="rId2"/>
    <sheet name="Registrant -Attendee Burndown " sheetId="4" r:id="rId3"/>
    <sheet name="Contact Hit List" sheetId="5" r:id="rId4"/>
    <sheet name="Original - Registrant Details" sheetId="2" r:id="rId5"/>
    <sheet name="Sheet1" sheetId="3"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34" i="7" l="1"/>
  <c r="X134" i="7"/>
  <c r="AH133" i="7"/>
  <c r="X133" i="7"/>
  <c r="AH43" i="7"/>
  <c r="X43" i="7"/>
  <c r="AH31" i="7"/>
  <c r="X31" i="7"/>
  <c r="AH14" i="7"/>
  <c r="X14" i="7"/>
  <c r="AH12" i="7"/>
  <c r="X12" i="7"/>
  <c r="AH101" i="7"/>
  <c r="X101" i="7"/>
  <c r="AH99" i="7"/>
  <c r="X99" i="7"/>
  <c r="AH112" i="7"/>
  <c r="X112" i="7"/>
  <c r="AH111" i="7"/>
  <c r="X111" i="7"/>
  <c r="AH108" i="7"/>
  <c r="X108" i="7"/>
  <c r="AH46" i="7"/>
  <c r="X46" i="7"/>
  <c r="AH57" i="7"/>
  <c r="X57" i="7"/>
  <c r="AH62" i="7"/>
  <c r="X62" i="7"/>
  <c r="AH93" i="7"/>
  <c r="X93" i="7"/>
  <c r="AH87" i="7"/>
  <c r="X87" i="7"/>
  <c r="AH51" i="7"/>
  <c r="X51" i="7"/>
  <c r="AH19" i="7"/>
  <c r="X19" i="7"/>
  <c r="AH68" i="7"/>
  <c r="X68" i="7"/>
  <c r="AH66" i="7"/>
  <c r="X66" i="7"/>
  <c r="AH61" i="7"/>
  <c r="X61" i="7"/>
  <c r="AH50" i="7"/>
  <c r="X50" i="7"/>
  <c r="AH11" i="7"/>
  <c r="X11" i="7"/>
  <c r="AH9" i="7"/>
  <c r="X9" i="7"/>
  <c r="AH91" i="7"/>
  <c r="X91" i="7"/>
  <c r="AH49" i="7"/>
  <c r="X49" i="7"/>
  <c r="AH106" i="7"/>
  <c r="X106" i="7"/>
  <c r="AH105" i="7"/>
  <c r="X105" i="7"/>
  <c r="AH102" i="7"/>
  <c r="X102" i="7"/>
  <c r="AH124" i="7"/>
  <c r="X124" i="7"/>
  <c r="AH98" i="7"/>
  <c r="X98" i="7"/>
  <c r="AH30" i="7"/>
  <c r="X30" i="7"/>
  <c r="AH85" i="7"/>
  <c r="X85" i="7"/>
  <c r="AH84" i="7"/>
  <c r="X84" i="7"/>
  <c r="AH92" i="7"/>
  <c r="X92" i="7"/>
  <c r="AH70" i="7"/>
  <c r="X70" i="7"/>
  <c r="AH54" i="7"/>
  <c r="X54" i="7"/>
  <c r="AH48" i="7"/>
  <c r="X48" i="7"/>
  <c r="AH7" i="7"/>
  <c r="X7" i="7"/>
  <c r="AH34" i="7"/>
  <c r="X34" i="7"/>
  <c r="AH32" i="7"/>
  <c r="X32" i="7"/>
  <c r="AH96" i="7"/>
  <c r="X96" i="7"/>
  <c r="AH128" i="7"/>
  <c r="X128" i="7"/>
  <c r="AH114" i="7"/>
  <c r="X114" i="7"/>
  <c r="AH113" i="7"/>
  <c r="X113" i="7"/>
  <c r="AH121" i="7"/>
  <c r="X121" i="7"/>
  <c r="AH95" i="7"/>
  <c r="X95" i="7"/>
  <c r="AH104" i="7"/>
  <c r="X104" i="7"/>
  <c r="AH103" i="7"/>
  <c r="X103" i="7"/>
  <c r="AH55" i="7"/>
  <c r="X55" i="7"/>
  <c r="AH52" i="7"/>
  <c r="X52" i="7"/>
  <c r="AH94" i="7"/>
  <c r="X94" i="7"/>
  <c r="AH42" i="7"/>
  <c r="X42" i="7"/>
  <c r="AH100" i="7"/>
  <c r="X100" i="7"/>
  <c r="AH41" i="7"/>
  <c r="X41" i="7"/>
  <c r="AH37" i="7"/>
  <c r="X37" i="7"/>
  <c r="AH67" i="7"/>
  <c r="X67" i="7"/>
  <c r="AH58" i="7"/>
  <c r="X58" i="7"/>
  <c r="AH56" i="7"/>
  <c r="X56" i="7"/>
  <c r="AH120" i="7"/>
  <c r="X120" i="7"/>
  <c r="AH45" i="7"/>
  <c r="X45" i="7"/>
  <c r="AH40" i="7"/>
  <c r="X40" i="7"/>
  <c r="AH25" i="7"/>
  <c r="X25" i="7"/>
  <c r="AH13" i="7"/>
  <c r="X13" i="7"/>
  <c r="AH119" i="7"/>
  <c r="X119" i="7"/>
  <c r="AH33" i="7"/>
  <c r="X33" i="7"/>
  <c r="AH38" i="7"/>
  <c r="X38" i="7"/>
  <c r="AH125" i="7"/>
  <c r="X125" i="7"/>
  <c r="AH122" i="7"/>
  <c r="X122" i="7"/>
  <c r="AH123" i="7"/>
  <c r="X123" i="7"/>
  <c r="AH118" i="7"/>
  <c r="X118" i="7"/>
  <c r="AH109" i="7"/>
  <c r="X109" i="7"/>
  <c r="AH97" i="7"/>
  <c r="X97" i="7"/>
  <c r="AH89" i="7"/>
  <c r="X89" i="7"/>
  <c r="AH116" i="7"/>
  <c r="X116" i="7"/>
  <c r="AH115" i="7"/>
  <c r="X115" i="7"/>
  <c r="AH82" i="7"/>
  <c r="X82" i="7"/>
  <c r="AH110" i="7"/>
  <c r="X110" i="7"/>
  <c r="AH26" i="7"/>
  <c r="X26" i="7"/>
  <c r="AH81" i="7"/>
  <c r="X81" i="7"/>
  <c r="AH74" i="7"/>
  <c r="X74" i="7"/>
  <c r="AH69" i="7"/>
  <c r="X69" i="7"/>
  <c r="AH83" i="7"/>
  <c r="X83" i="7"/>
  <c r="AH63" i="7"/>
  <c r="X63" i="7"/>
  <c r="AH44" i="7"/>
  <c r="X44" i="7"/>
  <c r="AH64" i="7"/>
  <c r="X64" i="7"/>
  <c r="AH29" i="7"/>
  <c r="X29" i="7"/>
  <c r="AH6" i="7"/>
  <c r="X6" i="7"/>
  <c r="AH24" i="7"/>
  <c r="X24" i="7"/>
  <c r="AH23" i="7"/>
  <c r="X23" i="7"/>
  <c r="AH22" i="7"/>
  <c r="X22" i="7"/>
  <c r="AH8" i="7"/>
  <c r="X8" i="7"/>
  <c r="AH5" i="7"/>
  <c r="X5" i="7"/>
  <c r="AH27" i="7"/>
  <c r="X27" i="7"/>
  <c r="AH86" i="7"/>
  <c r="X86" i="7"/>
  <c r="AH80" i="7"/>
  <c r="X80" i="7"/>
  <c r="AH79" i="7"/>
  <c r="X79" i="7"/>
  <c r="AH78" i="7"/>
  <c r="X78" i="7"/>
  <c r="AH76" i="7"/>
  <c r="X76" i="7"/>
  <c r="AH75" i="7"/>
  <c r="X75" i="7"/>
  <c r="AH47" i="7"/>
  <c r="X47" i="7"/>
  <c r="AH21" i="7"/>
  <c r="X21" i="7"/>
  <c r="AH107" i="7"/>
  <c r="X107" i="7"/>
  <c r="AH77" i="7"/>
  <c r="X77" i="7"/>
  <c r="AA20" i="6"/>
  <c r="Q20" i="6"/>
  <c r="AA74" i="6"/>
  <c r="Q74" i="6"/>
  <c r="AA3" i="6"/>
  <c r="Q3" i="6"/>
  <c r="AA44" i="6"/>
  <c r="Q44" i="6"/>
  <c r="AA58" i="6"/>
  <c r="Q58" i="6"/>
  <c r="AA27" i="6"/>
  <c r="Q27" i="6"/>
  <c r="AA85" i="6"/>
  <c r="Q85" i="6"/>
  <c r="AA95" i="6"/>
  <c r="Q95" i="6"/>
  <c r="AA62" i="6"/>
  <c r="Q62" i="6"/>
  <c r="AA30" i="6"/>
  <c r="Q30" i="6"/>
  <c r="AA31" i="6"/>
  <c r="Q31" i="6"/>
  <c r="AA61" i="6"/>
  <c r="Q61" i="6"/>
  <c r="AA63" i="6"/>
  <c r="Q63" i="6"/>
  <c r="AA48" i="6"/>
  <c r="Q48" i="6"/>
  <c r="AA52" i="6"/>
  <c r="Q52" i="6"/>
  <c r="AA41" i="6"/>
  <c r="Q41" i="6"/>
  <c r="AA5" i="6"/>
  <c r="Q5" i="6"/>
  <c r="AA89" i="6"/>
  <c r="Q89" i="6"/>
  <c r="AA99" i="6"/>
  <c r="Q99" i="6"/>
  <c r="AA42" i="6"/>
  <c r="Q42" i="6"/>
  <c r="AA73" i="6"/>
  <c r="Q73" i="6"/>
  <c r="AA82" i="6"/>
  <c r="Q82" i="6"/>
  <c r="AA102" i="6"/>
  <c r="Q102" i="6"/>
  <c r="AA47" i="6"/>
  <c r="Q47" i="6"/>
  <c r="AA24" i="6"/>
  <c r="Q24" i="6"/>
  <c r="AA88" i="6"/>
  <c r="Q88" i="6"/>
  <c r="AA26" i="6"/>
  <c r="Q26" i="6"/>
  <c r="AA29" i="6"/>
  <c r="Q29" i="6"/>
  <c r="AA96" i="6"/>
  <c r="Q96" i="6"/>
  <c r="AA22" i="6"/>
  <c r="Q22" i="6"/>
  <c r="AA93" i="6"/>
  <c r="Q93" i="6"/>
  <c r="AA79" i="6"/>
  <c r="Q79" i="6"/>
  <c r="AA87" i="6"/>
  <c r="Q87" i="6"/>
  <c r="AA71" i="6"/>
  <c r="Q71" i="6"/>
  <c r="AA92" i="6"/>
  <c r="Q92" i="6"/>
  <c r="AA43" i="6"/>
  <c r="Q43" i="6"/>
  <c r="AA98" i="6"/>
  <c r="Q98" i="6"/>
  <c r="AA70" i="6"/>
  <c r="Q70" i="6"/>
  <c r="AA75" i="6"/>
  <c r="Q75" i="6"/>
  <c r="AA14" i="6"/>
  <c r="Q14" i="6"/>
  <c r="AA83" i="6"/>
  <c r="Q83" i="6"/>
  <c r="AA11" i="6"/>
  <c r="Q11" i="6"/>
  <c r="AA78" i="6"/>
  <c r="Q78" i="6"/>
  <c r="AA35" i="6"/>
  <c r="Q35" i="6"/>
  <c r="AA21" i="6"/>
  <c r="Q21" i="6"/>
  <c r="AA13" i="6"/>
  <c r="Q13" i="6"/>
  <c r="AA67" i="6"/>
  <c r="Q67" i="6"/>
  <c r="AA25" i="6"/>
  <c r="Q25" i="6"/>
  <c r="AA57" i="6"/>
  <c r="Q57" i="6"/>
  <c r="AA142" i="6"/>
  <c r="Q142" i="6"/>
  <c r="AA143" i="6"/>
  <c r="Q143" i="6"/>
  <c r="AA55" i="6"/>
  <c r="Q55" i="6"/>
  <c r="AA53" i="6"/>
  <c r="Q53" i="6"/>
  <c r="AA66" i="6"/>
  <c r="Q66" i="6"/>
  <c r="AA59" i="6"/>
  <c r="Q59" i="6"/>
  <c r="AA36" i="6"/>
  <c r="Q36" i="6"/>
  <c r="AA19" i="6"/>
  <c r="Q19" i="6"/>
  <c r="AA72" i="6"/>
  <c r="Q72" i="6"/>
  <c r="AA91" i="6"/>
  <c r="Q91" i="6"/>
  <c r="AA56" i="6"/>
  <c r="Q56" i="6"/>
  <c r="AA15" i="6"/>
  <c r="Q15" i="6"/>
  <c r="AA100" i="6"/>
  <c r="Q100" i="6"/>
  <c r="AA51" i="6"/>
  <c r="Q51" i="6"/>
  <c r="AA84" i="6"/>
  <c r="Q84" i="6"/>
  <c r="AA50" i="6"/>
  <c r="Q50" i="6"/>
  <c r="AA77" i="6"/>
  <c r="Q77" i="6"/>
  <c r="AA38" i="6"/>
  <c r="Q38" i="6"/>
  <c r="AA80" i="6"/>
  <c r="Q80" i="6"/>
  <c r="AA49" i="6"/>
  <c r="Q49" i="6"/>
  <c r="AA64" i="6"/>
  <c r="Q64" i="6"/>
  <c r="AA97" i="6"/>
  <c r="Q97" i="6"/>
  <c r="AA37" i="6"/>
  <c r="Q37" i="6"/>
  <c r="AA34" i="6"/>
  <c r="Q34" i="6"/>
  <c r="AA28" i="6"/>
  <c r="Q28" i="6"/>
  <c r="AA18" i="6"/>
  <c r="Q18" i="6"/>
  <c r="AA2" i="6"/>
  <c r="Q2" i="6"/>
  <c r="AA68" i="6"/>
  <c r="Q68" i="6"/>
  <c r="AA103" i="6"/>
  <c r="Q103" i="6"/>
  <c r="AA69" i="6"/>
  <c r="Q69" i="6"/>
  <c r="AA33" i="6"/>
  <c r="Q33" i="6"/>
  <c r="AA54" i="6"/>
  <c r="Q54" i="6"/>
  <c r="AA39" i="6"/>
  <c r="Q39" i="6"/>
  <c r="AA9" i="6"/>
  <c r="Q9" i="6"/>
  <c r="AA8" i="6"/>
  <c r="Q8" i="6"/>
  <c r="AA10" i="6"/>
  <c r="Q10" i="6"/>
  <c r="AA40" i="6"/>
  <c r="Q40" i="6"/>
  <c r="AA76" i="6"/>
  <c r="Q76" i="6"/>
  <c r="AA45" i="6"/>
  <c r="Q45" i="6"/>
  <c r="AA81" i="6"/>
  <c r="Q81" i="6"/>
  <c r="AA104" i="6"/>
  <c r="Q104" i="6"/>
  <c r="AA60" i="6"/>
  <c r="Q60" i="6"/>
  <c r="AA12" i="6"/>
  <c r="Q12" i="6"/>
  <c r="AA46" i="6"/>
  <c r="Q46" i="6"/>
  <c r="AA101" i="6"/>
  <c r="Q101" i="6"/>
  <c r="AA90" i="6"/>
  <c r="Q90" i="6"/>
  <c r="AA94" i="6"/>
  <c r="Q94" i="6"/>
  <c r="AA16" i="6"/>
  <c r="Q16" i="6"/>
  <c r="AA17" i="6"/>
  <c r="Q17" i="6"/>
  <c r="AA4" i="6"/>
  <c r="Q4" i="6"/>
  <c r="AA141" i="6"/>
  <c r="Q141" i="6"/>
  <c r="AA65" i="6"/>
  <c r="Q65" i="6"/>
  <c r="AA86" i="6"/>
  <c r="Q86" i="6"/>
  <c r="AA140" i="6"/>
  <c r="Q140" i="6"/>
  <c r="AA23" i="6"/>
  <c r="Q23" i="6"/>
  <c r="AA32" i="6"/>
  <c r="Q32" i="6"/>
  <c r="AA7" i="6"/>
  <c r="Q7" i="6"/>
  <c r="AA6" i="6"/>
  <c r="Q6" i="6"/>
  <c r="G501" i="4"/>
  <c r="F2" i="2"/>
  <c r="F3" i="2"/>
  <c r="F4" i="2"/>
  <c r="F5" i="2"/>
  <c r="F6" i="2"/>
  <c r="F7" i="2"/>
  <c r="F8" i="2"/>
  <c r="F9" i="2"/>
  <c r="F10" i="2"/>
  <c r="F11" i="2"/>
  <c r="F12" i="2"/>
  <c r="F14" i="2"/>
  <c r="F15" i="2"/>
  <c r="F16" i="2"/>
  <c r="F17" i="2"/>
  <c r="F18" i="2"/>
  <c r="F19" i="2"/>
  <c r="F20" i="2"/>
  <c r="F21" i="2"/>
  <c r="F22" i="2"/>
  <c r="F23" i="2"/>
  <c r="F24" i="2"/>
  <c r="F25" i="2"/>
  <c r="F26" i="2"/>
  <c r="F27" i="2"/>
  <c r="F28" i="2"/>
  <c r="F29" i="2"/>
  <c r="F30" i="2"/>
  <c r="F31" i="2"/>
  <c r="F32" i="2"/>
  <c r="F33" i="2"/>
  <c r="F34" i="2"/>
  <c r="F35" i="2"/>
  <c r="F36" i="2"/>
  <c r="F37" i="2"/>
  <c r="F38" i="2"/>
  <c r="F39" i="2"/>
  <c r="F40" i="2"/>
  <c r="F45" i="2"/>
  <c r="F46" i="2"/>
  <c r="F47" i="2"/>
  <c r="F48" i="2"/>
  <c r="F49" i="2"/>
  <c r="F50" i="2"/>
  <c r="F56" i="2"/>
  <c r="F57" i="2"/>
  <c r="F58" i="2"/>
  <c r="F59" i="2"/>
  <c r="F60" i="2"/>
  <c r="F61" i="2"/>
  <c r="F62" i="2"/>
  <c r="F63" i="2"/>
  <c r="F64" i="2"/>
  <c r="F65" i="2"/>
  <c r="F66" i="2"/>
  <c r="F67" i="2"/>
  <c r="F69" i="2"/>
  <c r="F70" i="2"/>
  <c r="F71" i="2"/>
  <c r="F72" i="2"/>
  <c r="F82" i="2"/>
  <c r="F83" i="2"/>
  <c r="F84" i="2"/>
  <c r="F85" i="2"/>
  <c r="F86" i="2"/>
  <c r="F87" i="2"/>
  <c r="F88" i="2"/>
  <c r="F89" i="2"/>
  <c r="F90" i="2"/>
  <c r="F91" i="2"/>
  <c r="F92" i="2"/>
  <c r="F95" i="2"/>
  <c r="F96" i="2"/>
  <c r="F97" i="2"/>
  <c r="F98" i="2"/>
  <c r="F99" i="2"/>
  <c r="F100" i="2"/>
  <c r="F101" i="2"/>
  <c r="F104" i="2"/>
  <c r="F105" i="2"/>
  <c r="F106" i="2"/>
  <c r="F107" i="2"/>
  <c r="F108" i="2"/>
  <c r="F109" i="2"/>
  <c r="F110" i="2"/>
  <c r="F119" i="2"/>
  <c r="F121" i="2"/>
  <c r="F122" i="2"/>
  <c r="F123" i="2"/>
  <c r="F124" i="2"/>
  <c r="F125" i="2"/>
  <c r="F126" i="2"/>
  <c r="F127" i="2"/>
  <c r="F128" i="2"/>
  <c r="F129" i="2"/>
  <c r="F130" i="2"/>
  <c r="F131" i="2"/>
  <c r="F132"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75" i="2"/>
  <c r="F176" i="2"/>
  <c r="F177" i="2"/>
  <c r="F178" i="2"/>
  <c r="F179" i="2"/>
  <c r="F180" i="2"/>
  <c r="F181" i="2"/>
  <c r="F182" i="2"/>
  <c r="F183" i="2"/>
  <c r="F184" i="2"/>
  <c r="F185" i="2"/>
  <c r="F186" i="2"/>
  <c r="F187" i="2"/>
  <c r="F189" i="2"/>
  <c r="F190" i="2"/>
  <c r="F191" i="2"/>
  <c r="F192" i="2"/>
  <c r="F193" i="2"/>
  <c r="F194" i="2"/>
  <c r="F195" i="2"/>
  <c r="F196" i="2"/>
  <c r="F203" i="2"/>
  <c r="F205" i="2"/>
  <c r="F211" i="2"/>
  <c r="F212" i="2"/>
  <c r="F213" i="2"/>
  <c r="F216" i="2"/>
  <c r="F217" i="2"/>
  <c r="F218" i="2"/>
  <c r="F219" i="2"/>
  <c r="F220" i="2"/>
  <c r="F221" i="2"/>
  <c r="F222" i="2"/>
  <c r="F223" i="2"/>
  <c r="F224" i="2"/>
  <c r="F225" i="2"/>
  <c r="F226" i="2"/>
  <c r="F227" i="2"/>
  <c r="F228" i="2"/>
  <c r="F229" i="2"/>
  <c r="F230" i="2"/>
  <c r="F231" i="2"/>
  <c r="F232" i="2"/>
  <c r="F233" i="2"/>
  <c r="F234" i="2"/>
  <c r="F237" i="2"/>
  <c r="F239" i="2"/>
  <c r="F240" i="2"/>
  <c r="F241" i="2"/>
  <c r="F246" i="2"/>
  <c r="F247" i="2"/>
  <c r="F248" i="2"/>
  <c r="F249" i="2"/>
  <c r="F250" i="2"/>
  <c r="F251" i="2"/>
  <c r="F252" i="2"/>
  <c r="F253" i="2"/>
  <c r="F254" i="2"/>
  <c r="F255" i="2"/>
  <c r="F256" i="2"/>
  <c r="F257" i="2"/>
  <c r="F258" i="2"/>
  <c r="F259" i="2"/>
  <c r="F260" i="2"/>
  <c r="F261" i="2"/>
  <c r="F263" i="2"/>
  <c r="F264" i="2"/>
  <c r="F265" i="2"/>
  <c r="F266" i="2"/>
  <c r="F267" i="2"/>
  <c r="F268" i="2"/>
  <c r="F269" i="2"/>
  <c r="F270" i="2"/>
  <c r="F271" i="2"/>
  <c r="F272" i="2"/>
  <c r="F273" i="2"/>
  <c r="F274" i="2"/>
  <c r="F275" i="2"/>
  <c r="F276" i="2"/>
  <c r="F285" i="2"/>
  <c r="F286" i="2"/>
  <c r="F287" i="2"/>
  <c r="F288" i="2"/>
  <c r="F289" i="2"/>
  <c r="F290" i="2"/>
  <c r="F291" i="2"/>
  <c r="F292" i="2"/>
  <c r="F293" i="2"/>
  <c r="F294" i="2"/>
  <c r="F298" i="2"/>
  <c r="F299" i="2"/>
  <c r="F300" i="2"/>
  <c r="F301" i="2"/>
  <c r="F302" i="2"/>
  <c r="F303" i="2"/>
  <c r="F304" i="2"/>
  <c r="F306" i="2"/>
  <c r="F331" i="2"/>
  <c r="F333" i="2"/>
  <c r="F334" i="2"/>
  <c r="F335" i="2"/>
  <c r="F336" i="2"/>
  <c r="F337" i="2"/>
  <c r="F338" i="2"/>
  <c r="F339" i="2"/>
  <c r="F340" i="2"/>
  <c r="F341" i="2"/>
  <c r="F342" i="2"/>
  <c r="F343" i="2"/>
  <c r="F344" i="2"/>
  <c r="F345" i="2"/>
  <c r="F346" i="2"/>
  <c r="F347" i="2"/>
  <c r="F348" i="2"/>
  <c r="F349" i="2"/>
  <c r="F352" i="2"/>
  <c r="F353" i="2"/>
  <c r="F354" i="2"/>
  <c r="F355" i="2"/>
  <c r="F356" i="2"/>
  <c r="F357" i="2"/>
  <c r="F358" i="2"/>
  <c r="F359" i="2"/>
  <c r="F360" i="2"/>
  <c r="F361" i="2"/>
  <c r="F362" i="2"/>
  <c r="F363" i="2"/>
  <c r="F364" i="2"/>
  <c r="F365" i="2"/>
  <c r="F366" i="2"/>
  <c r="F367" i="2"/>
  <c r="F370" i="2"/>
  <c r="F371" i="2"/>
  <c r="F372" i="2"/>
  <c r="F376" i="2"/>
  <c r="F377" i="2"/>
  <c r="F378" i="2"/>
  <c r="F379" i="2"/>
  <c r="F380" i="2"/>
  <c r="F381" i="2"/>
  <c r="F382" i="2"/>
  <c r="F383" i="2"/>
  <c r="F384" i="2"/>
  <c r="F385" i="2"/>
  <c r="F386" i="2"/>
  <c r="F387" i="2"/>
  <c r="F388" i="2"/>
  <c r="F389" i="2"/>
  <c r="F390" i="2"/>
  <c r="F391" i="2"/>
  <c r="F393" i="2"/>
  <c r="F394" i="2"/>
  <c r="F396"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4" i="2"/>
  <c r="F555" i="2"/>
  <c r="F556" i="2"/>
  <c r="F557" i="2"/>
  <c r="F558" i="2"/>
  <c r="F559" i="2"/>
  <c r="F560" i="2"/>
  <c r="F561" i="2"/>
  <c r="F562" i="2"/>
  <c r="F563" i="2"/>
  <c r="F564" i="2"/>
  <c r="F567" i="2"/>
  <c r="F568" i="2"/>
  <c r="F569" i="2"/>
  <c r="F570" i="2"/>
  <c r="F571" i="2"/>
  <c r="F572" i="2"/>
  <c r="F573" i="2"/>
  <c r="F574" i="2"/>
  <c r="F575" i="2"/>
  <c r="F576" i="2"/>
  <c r="F577" i="2"/>
  <c r="F578" i="2"/>
  <c r="F579" i="2"/>
  <c r="F580" i="2"/>
  <c r="F581" i="2"/>
  <c r="F582" i="2"/>
  <c r="F583" i="2"/>
  <c r="F584" i="2"/>
  <c r="F585" i="2"/>
  <c r="F586" i="2"/>
  <c r="F587" i="2"/>
  <c r="F588" i="2"/>
  <c r="F589" i="2"/>
  <c r="F590" i="2"/>
  <c r="F601" i="2"/>
  <c r="F602" i="2"/>
  <c r="F603" i="2"/>
  <c r="F604" i="2"/>
  <c r="F605" i="2"/>
  <c r="F606" i="2"/>
  <c r="F607" i="2"/>
  <c r="F608" i="2"/>
  <c r="F609" i="2"/>
  <c r="F610" i="2"/>
  <c r="F611" i="2"/>
  <c r="F612" i="2"/>
  <c r="F613" i="2"/>
  <c r="F614" i="2"/>
  <c r="F615" i="2"/>
  <c r="F616" i="2"/>
  <c r="F617" i="2"/>
  <c r="F618" i="2"/>
  <c r="F620" i="2"/>
  <c r="F621" i="2"/>
  <c r="F622" i="2"/>
  <c r="F626" i="2"/>
  <c r="F627" i="2"/>
  <c r="F628" i="2"/>
  <c r="F629" i="2"/>
  <c r="F630" i="2"/>
  <c r="F631" i="2"/>
  <c r="F632" i="2"/>
  <c r="F635" i="2"/>
  <c r="F636" i="2"/>
  <c r="F637" i="2"/>
  <c r="F638" i="2"/>
  <c r="F639" i="2"/>
  <c r="F640" i="2"/>
  <c r="F641" i="2"/>
  <c r="F642" i="2"/>
  <c r="F643" i="2"/>
  <c r="F644" i="2"/>
  <c r="F648" i="2"/>
  <c r="F649" i="2"/>
  <c r="F650" i="2"/>
  <c r="F651" i="2"/>
  <c r="F652" i="2"/>
  <c r="F653" i="2"/>
  <c r="F654" i="2"/>
  <c r="F655" i="2"/>
  <c r="F656" i="2"/>
  <c r="F657" i="2"/>
  <c r="F658" i="2"/>
  <c r="F659" i="2"/>
  <c r="F660" i="2"/>
  <c r="F661" i="2"/>
  <c r="F664" i="2"/>
  <c r="F665" i="2"/>
  <c r="F666"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55" i="2"/>
  <c r="F756" i="2"/>
  <c r="F757" i="2"/>
  <c r="F758" i="2"/>
  <c r="F759" i="2"/>
  <c r="F760" i="2"/>
  <c r="F763" i="2"/>
  <c r="F765" i="2"/>
  <c r="F766" i="2"/>
  <c r="F767" i="2"/>
  <c r="F768" i="2"/>
  <c r="F769" i="2"/>
  <c r="F770" i="2"/>
  <c r="F771" i="2"/>
  <c r="F772" i="2"/>
  <c r="F773" i="2"/>
  <c r="F774" i="2"/>
  <c r="F775" i="2"/>
  <c r="F776" i="2"/>
  <c r="F777"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7" i="2"/>
  <c r="F818" i="2"/>
  <c r="F819" i="2"/>
  <c r="F820" i="2"/>
  <c r="F821" i="2"/>
  <c r="F822" i="2"/>
  <c r="F823" i="2"/>
  <c r="F824" i="2"/>
  <c r="F825" i="2"/>
  <c r="F826" i="2"/>
  <c r="F827" i="2"/>
  <c r="F831" i="2"/>
  <c r="F832" i="2"/>
  <c r="F833" i="2"/>
  <c r="F834" i="2"/>
  <c r="F835" i="2"/>
  <c r="F836" i="2"/>
  <c r="F837" i="2"/>
  <c r="F838" i="2"/>
  <c r="F839" i="2"/>
  <c r="F840" i="2"/>
  <c r="F841" i="2"/>
  <c r="F842" i="2"/>
  <c r="F843" i="2"/>
  <c r="F844" i="2"/>
  <c r="F845" i="2"/>
  <c r="F847" i="2"/>
  <c r="F848" i="2"/>
  <c r="F849" i="2"/>
  <c r="F850" i="2"/>
  <c r="F851" i="2"/>
  <c r="F852" i="2"/>
  <c r="F853" i="2"/>
  <c r="F854" i="2"/>
  <c r="F855" i="2"/>
  <c r="F856" i="2"/>
  <c r="F859" i="2"/>
  <c r="F861" i="2"/>
  <c r="F862" i="2"/>
  <c r="F863" i="2"/>
  <c r="F864" i="2"/>
  <c r="F865" i="2"/>
  <c r="F866" i="2"/>
  <c r="F867" i="2"/>
  <c r="F868" i="2"/>
  <c r="F869" i="2"/>
  <c r="F873" i="2"/>
  <c r="F874" i="2"/>
  <c r="F878" i="2"/>
  <c r="F879" i="2"/>
  <c r="F880" i="2"/>
  <c r="F881"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7" i="2"/>
  <c r="F978" i="2"/>
  <c r="F979" i="2"/>
  <c r="F980" i="2"/>
  <c r="F981" i="2"/>
  <c r="F982" i="2"/>
  <c r="F983" i="2"/>
  <c r="F984" i="2"/>
  <c r="F985" i="2"/>
  <c r="F986" i="2"/>
  <c r="F987" i="2"/>
  <c r="F988" i="2"/>
  <c r="F989" i="2"/>
  <c r="F990" i="2"/>
  <c r="F991" i="2"/>
  <c r="F992" i="2"/>
  <c r="F993" i="2"/>
  <c r="F994" i="2"/>
  <c r="F995" i="2"/>
  <c r="F1002" i="2"/>
  <c r="F1003" i="2"/>
  <c r="F1004" i="2"/>
  <c r="F1005" i="2"/>
  <c r="F1006" i="2"/>
  <c r="F1007" i="2"/>
  <c r="F1008" i="2"/>
  <c r="F1009" i="2"/>
  <c r="F1010" i="2"/>
  <c r="F1011" i="2"/>
  <c r="F1012" i="2"/>
  <c r="F1013" i="2"/>
  <c r="F1014" i="2"/>
  <c r="F1015" i="2"/>
  <c r="F1016" i="2"/>
  <c r="F1017" i="2"/>
  <c r="F1022" i="2"/>
  <c r="F1023" i="2"/>
  <c r="F1024" i="2"/>
  <c r="F1030" i="2"/>
  <c r="F1031" i="2"/>
  <c r="F1032" i="2"/>
  <c r="F1033" i="2"/>
  <c r="F1034" i="2"/>
  <c r="F1035" i="2"/>
  <c r="F1036" i="2"/>
  <c r="F1037" i="2"/>
  <c r="F1038" i="2"/>
  <c r="F1039" i="2"/>
  <c r="F1040" i="2"/>
  <c r="F1041" i="2"/>
  <c r="F1042" i="2"/>
  <c r="F1043" i="2"/>
  <c r="F1044" i="2"/>
  <c r="F1045" i="2"/>
  <c r="F1046" i="2"/>
  <c r="F1047" i="2"/>
  <c r="F1048" i="2"/>
  <c r="F1051" i="2"/>
  <c r="F1052" i="2"/>
  <c r="F1053" i="2"/>
  <c r="F1054" i="2"/>
  <c r="F1056" i="2"/>
  <c r="F1057" i="2"/>
  <c r="F1058" i="2"/>
  <c r="F1059" i="2"/>
  <c r="F1060" i="2"/>
  <c r="F1061" i="2"/>
  <c r="F1062" i="2"/>
  <c r="F1063"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C561" i="2"/>
  <c r="C580" i="2"/>
  <c r="C611" i="2"/>
  <c r="C32" i="2"/>
  <c r="C726" i="2"/>
  <c r="C1088" i="2"/>
  <c r="C292" i="2"/>
  <c r="C762" i="2"/>
  <c r="C1129" i="2"/>
  <c r="C185" i="2"/>
  <c r="C600" i="2"/>
  <c r="C164" i="2"/>
  <c r="C1113" i="2"/>
  <c r="C764" i="2"/>
  <c r="C882" i="2"/>
  <c r="C725" i="2"/>
  <c r="C1124" i="2"/>
  <c r="C724" i="2"/>
  <c r="C756" i="2"/>
  <c r="C330" i="2"/>
  <c r="C234" i="2"/>
  <c r="C588" i="2"/>
  <c r="C193" i="2"/>
  <c r="C830" i="2"/>
  <c r="C810" i="2"/>
  <c r="C81" i="2"/>
  <c r="C349" i="2"/>
  <c r="C1086" i="2"/>
  <c r="C854" i="2"/>
  <c r="C590" i="2"/>
  <c r="C45" i="2"/>
  <c r="C741" i="2"/>
  <c r="C1053" i="2"/>
  <c r="C986" i="2"/>
  <c r="C1116" i="2"/>
  <c r="C329" i="2"/>
  <c r="C965" i="2"/>
  <c r="C304" i="2"/>
  <c r="C210" i="2"/>
  <c r="C964" i="2"/>
  <c r="C284" i="2"/>
  <c r="C393" i="2"/>
  <c r="C328" i="2"/>
  <c r="C10" i="2"/>
  <c r="C414" i="2"/>
  <c r="C807" i="2"/>
  <c r="C122" i="2"/>
  <c r="C790" i="2"/>
  <c r="C464" i="2"/>
  <c r="C273" i="2"/>
  <c r="C723" i="2"/>
  <c r="C327" i="2"/>
  <c r="C722" i="2"/>
  <c r="C46" i="2"/>
  <c r="C721" i="2"/>
  <c r="C845" i="2"/>
  <c r="C963" i="2"/>
  <c r="C806" i="2"/>
  <c r="C617" i="2"/>
  <c r="C962" i="2"/>
  <c r="C101" i="2"/>
  <c r="C363" i="2"/>
  <c r="C670" i="2"/>
  <c r="C587" i="2"/>
  <c r="C55" i="2"/>
  <c r="C610" i="2"/>
  <c r="C961" i="2"/>
  <c r="C432" i="2"/>
  <c r="C71" i="2"/>
  <c r="C1072" i="2"/>
  <c r="C92" i="2"/>
  <c r="C406" i="2"/>
  <c r="C848" i="2"/>
  <c r="C270" i="2"/>
  <c r="C960" i="2"/>
  <c r="C729" i="2"/>
  <c r="C740" i="2"/>
  <c r="C480" i="2"/>
  <c r="C1048" i="2"/>
  <c r="C599" i="2"/>
  <c r="C505" i="2"/>
  <c r="C1050" i="2"/>
  <c r="C405" i="2"/>
  <c r="C753" i="2"/>
  <c r="C176" i="2"/>
  <c r="C297" i="2"/>
  <c r="C294" i="2"/>
  <c r="C1082" i="2"/>
  <c r="C959" i="2"/>
  <c r="C385" i="2"/>
  <c r="C344" i="2"/>
  <c r="C140" i="2"/>
  <c r="C796" i="2"/>
  <c r="C622" i="2"/>
  <c r="C378" i="2"/>
  <c r="C237" i="2"/>
  <c r="C620" i="2"/>
  <c r="C985" i="2"/>
  <c r="C958" i="2"/>
  <c r="C38" i="2"/>
  <c r="C136" i="2"/>
  <c r="C553" i="2"/>
  <c r="C285" i="2"/>
  <c r="C666" i="2"/>
  <c r="C469" i="2"/>
  <c r="C507" i="2"/>
  <c r="C1123" i="2"/>
  <c r="C303" i="2"/>
  <c r="C163" i="2"/>
  <c r="C777" i="2"/>
  <c r="C360" i="2"/>
  <c r="C91" i="2"/>
  <c r="C455" i="2"/>
  <c r="C209" i="2"/>
  <c r="C80" i="2"/>
  <c r="C126" i="2"/>
  <c r="C332" i="2"/>
  <c r="C98" i="2"/>
  <c r="C616" i="2"/>
  <c r="C411" i="2"/>
  <c r="C425" i="2"/>
  <c r="C992" i="2"/>
  <c r="C598" i="2"/>
  <c r="C262" i="2"/>
  <c r="C184" i="2"/>
  <c r="C957" i="2"/>
  <c r="C781" i="2"/>
  <c r="C479" i="2"/>
  <c r="C795" i="2"/>
  <c r="C417" i="2"/>
  <c r="C433" i="2"/>
  <c r="C1060" i="2"/>
  <c r="C956" i="2"/>
  <c r="C522" i="2"/>
  <c r="C179" i="2"/>
  <c r="C492" i="2"/>
  <c r="C162" i="2"/>
  <c r="C1001" i="2"/>
  <c r="C457" i="2"/>
  <c r="C326" i="2"/>
  <c r="C827" i="2"/>
  <c r="C370" i="2"/>
  <c r="C579" i="2"/>
  <c r="C955" i="2"/>
  <c r="C25" i="2"/>
  <c r="C403" i="2"/>
  <c r="C874" i="2"/>
  <c r="C113" i="2"/>
  <c r="C447" i="2"/>
  <c r="C1071" i="2"/>
  <c r="C651" i="2"/>
  <c r="C443" i="2"/>
  <c r="C1100" i="2"/>
  <c r="C395" i="2"/>
  <c r="C733" i="2"/>
  <c r="C170" i="2"/>
  <c r="C954" i="2"/>
  <c r="C720" i="2"/>
  <c r="C776" i="2"/>
  <c r="C953" i="2"/>
  <c r="C216" i="2"/>
  <c r="C554" i="2"/>
  <c r="C639" i="2"/>
  <c r="C151" i="2"/>
  <c r="C301" i="2"/>
  <c r="C125" i="2"/>
  <c r="C669" i="2"/>
  <c r="C842" i="2"/>
  <c r="C325" i="2"/>
  <c r="C609" i="2"/>
  <c r="C348" i="2"/>
  <c r="C436" i="2"/>
  <c r="C249" i="2"/>
  <c r="C324" i="2"/>
  <c r="C952" i="2"/>
  <c r="C678" i="2"/>
  <c r="C660" i="2"/>
  <c r="C789" i="2"/>
  <c r="C739" i="2"/>
  <c r="C283" i="2"/>
  <c r="C514" i="2"/>
  <c r="C120" i="2"/>
  <c r="C70" i="2"/>
  <c r="C157" i="2"/>
  <c r="C521" i="2"/>
  <c r="C719" i="2"/>
  <c r="C681" i="2"/>
  <c r="C718" i="2"/>
  <c r="C615" i="2"/>
  <c r="C420" i="2"/>
  <c r="C96" i="2"/>
  <c r="C462" i="2"/>
  <c r="C421" i="2"/>
  <c r="C1022" i="2"/>
  <c r="C677" i="2"/>
  <c r="C951" i="2"/>
  <c r="C491" i="2"/>
  <c r="C1133" i="2"/>
  <c r="C559" i="2"/>
  <c r="C343" i="2"/>
  <c r="C269" i="2"/>
  <c r="C1017" i="2"/>
  <c r="C104" i="2"/>
  <c r="C478" i="2"/>
  <c r="C342" i="2"/>
  <c r="C161" i="2"/>
  <c r="C568" i="2"/>
  <c r="C22" i="2"/>
  <c r="C504" i="2"/>
  <c r="C863" i="2"/>
  <c r="C202" i="2"/>
  <c r="C1040" i="2"/>
  <c r="C1033" i="2"/>
  <c r="C233" i="2"/>
  <c r="C1051" i="2"/>
  <c r="C788" i="2"/>
  <c r="C248" i="2"/>
  <c r="C717" i="2"/>
  <c r="C265" i="2"/>
  <c r="C156" i="2"/>
  <c r="C534" i="2"/>
  <c r="C659" i="2"/>
  <c r="C950" i="2"/>
  <c r="C399" i="2"/>
  <c r="C949" i="2"/>
  <c r="C397" i="2"/>
  <c r="C759" i="2"/>
  <c r="C978" i="2"/>
  <c r="C503" i="2"/>
  <c r="C511" i="2"/>
  <c r="C323" i="2"/>
  <c r="C431" i="2"/>
  <c r="C1135" i="2"/>
  <c r="C760" i="2"/>
  <c r="C716" i="2"/>
  <c r="C627" i="2"/>
  <c r="C442" i="2"/>
  <c r="C584" i="2"/>
  <c r="C341" i="2"/>
  <c r="C814" i="2"/>
  <c r="C391" i="2"/>
  <c r="C430" i="2"/>
  <c r="C245" i="2"/>
  <c r="C322" i="2"/>
  <c r="C752" i="2"/>
  <c r="C786" i="2"/>
  <c r="C57" i="2"/>
  <c r="C1064" i="2"/>
  <c r="C578" i="2"/>
  <c r="C402" i="2"/>
  <c r="C816" i="2"/>
  <c r="C1059" i="2"/>
  <c r="C983" i="2"/>
  <c r="C544" i="2"/>
  <c r="C258" i="2"/>
  <c r="C19" i="2"/>
  <c r="C970" i="2"/>
  <c r="C54" i="2"/>
  <c r="C351" i="2"/>
  <c r="C715" i="2"/>
  <c r="C948" i="2"/>
  <c r="C296" i="2"/>
  <c r="C805" i="2"/>
  <c r="C244" i="2"/>
  <c r="C1005" i="2"/>
  <c r="C947" i="2"/>
  <c r="C1047" i="2"/>
  <c r="C208" i="2"/>
  <c r="C236" i="2"/>
  <c r="C127" i="2"/>
  <c r="C751" i="2"/>
  <c r="C787" i="2"/>
  <c r="C150" i="2"/>
  <c r="C204" i="2"/>
  <c r="C766" i="2"/>
  <c r="C365" i="2"/>
  <c r="C243" i="2"/>
  <c r="C60" i="2"/>
  <c r="C1039" i="2"/>
  <c r="C613" i="2"/>
  <c r="C384" i="2"/>
  <c r="C625" i="2"/>
  <c r="C84" i="2"/>
  <c r="C1055" i="2"/>
  <c r="C647" i="2"/>
  <c r="C636" i="2"/>
  <c r="C293" i="2"/>
  <c r="C1058" i="2"/>
  <c r="C490" i="2"/>
  <c r="C552" i="2"/>
  <c r="C247" i="2"/>
  <c r="C381" i="2"/>
  <c r="C59" i="2"/>
  <c r="C946" i="2"/>
  <c r="C219" i="2"/>
  <c r="C1099" i="2"/>
  <c r="C232" i="2"/>
  <c r="C502" i="2"/>
  <c r="C1042" i="2"/>
  <c r="C608" i="2"/>
  <c r="C550" i="2"/>
  <c r="C1098" i="2"/>
  <c r="C340" i="2"/>
  <c r="C945" i="2"/>
  <c r="C944" i="2"/>
  <c r="C79" i="2"/>
  <c r="C291" i="2"/>
  <c r="C769" i="2"/>
  <c r="C489" i="2"/>
  <c r="C943" i="2"/>
  <c r="C942" i="2"/>
  <c r="C159" i="2"/>
  <c r="C158" i="2"/>
  <c r="C804" i="2"/>
  <c r="C941" i="2"/>
  <c r="C873" i="2"/>
  <c r="C862" i="2"/>
  <c r="C259" i="2"/>
  <c r="C461" i="2"/>
  <c r="C564" i="2"/>
  <c r="C223" i="2"/>
  <c r="C557" i="2"/>
  <c r="C940" i="2"/>
  <c r="C437" i="2"/>
  <c r="C1063" i="2"/>
  <c r="C392" i="2"/>
  <c r="C454" i="2"/>
  <c r="C501" i="2"/>
  <c r="C644" i="2"/>
  <c r="C347" i="2"/>
  <c r="C658" i="2"/>
  <c r="C566" i="2"/>
  <c r="C976" i="2"/>
  <c r="C939" i="2"/>
  <c r="C676" i="2"/>
  <c r="C321" i="2"/>
  <c r="C213" i="2"/>
  <c r="C231" i="2"/>
  <c r="C977" i="2"/>
  <c r="C1102" i="2"/>
  <c r="C1038" i="2"/>
  <c r="C714" i="2"/>
  <c r="C750" i="2"/>
  <c r="C938" i="2"/>
  <c r="C577" i="2"/>
  <c r="C272" i="2"/>
  <c r="C429" i="2"/>
  <c r="C339" i="2"/>
  <c r="C110" i="2"/>
  <c r="C665" i="2"/>
  <c r="C488" i="2"/>
  <c r="C872" i="2"/>
  <c r="C713" i="2"/>
  <c r="C1105" i="2"/>
  <c r="C494" i="2"/>
  <c r="C663" i="2"/>
  <c r="C424" i="2"/>
  <c r="C375" i="2"/>
  <c r="C631" i="2"/>
  <c r="C169" i="2"/>
  <c r="C409" i="2"/>
  <c r="C446" i="2"/>
  <c r="C388" i="2"/>
  <c r="C797" i="2"/>
  <c r="C761" i="2"/>
  <c r="C680" i="2"/>
  <c r="C320" i="2"/>
  <c r="C545" i="2"/>
  <c r="C398" i="2"/>
  <c r="C712" i="2"/>
  <c r="C556" i="2"/>
  <c r="C215" i="2"/>
  <c r="C178" i="2"/>
  <c r="C1076" i="2"/>
  <c r="C711" i="2"/>
  <c r="C404" i="2"/>
  <c r="C44" i="2"/>
  <c r="C218" i="2"/>
  <c r="C445" i="2"/>
  <c r="C119" i="2"/>
  <c r="C319" i="2"/>
  <c r="C78" i="2"/>
  <c r="C95" i="2"/>
  <c r="C155" i="2"/>
  <c r="C137" i="2"/>
  <c r="C276" i="2"/>
  <c r="C576" i="2"/>
  <c r="C565" i="2"/>
  <c r="C1097" i="2"/>
  <c r="C374" i="2"/>
  <c r="C61" i="2"/>
  <c r="C826" i="2"/>
  <c r="C338" i="2"/>
  <c r="C90" i="2"/>
  <c r="C64" i="2"/>
  <c r="C614" i="2"/>
  <c r="C710" i="2"/>
  <c r="C103" i="2"/>
  <c r="C1108" i="2"/>
  <c r="C318" i="2"/>
  <c r="C524" i="2"/>
  <c r="C305" i="2"/>
  <c r="C317" i="2"/>
  <c r="C1073" i="2"/>
  <c r="C937" i="2"/>
  <c r="C1081" i="2"/>
  <c r="C182" i="2"/>
  <c r="C1107" i="2"/>
  <c r="C650" i="2"/>
  <c r="C775" i="2"/>
  <c r="C994" i="2"/>
  <c r="C1096" i="2"/>
  <c r="C63" i="2"/>
  <c r="C936" i="2"/>
  <c r="C971" i="2"/>
  <c r="C591" i="2"/>
  <c r="C520" i="2"/>
  <c r="C821" i="2"/>
  <c r="C194" i="2"/>
  <c r="C77" i="2"/>
  <c r="C975" i="2"/>
  <c r="C287" i="2"/>
  <c r="C968" i="2"/>
  <c r="C709" i="2"/>
  <c r="C337" i="2"/>
  <c r="C36" i="2"/>
  <c r="C865" i="2"/>
  <c r="C935" i="2"/>
  <c r="C82" i="2"/>
  <c r="C87" i="2"/>
  <c r="C487" i="2"/>
  <c r="C825" i="2"/>
  <c r="C661" i="2"/>
  <c r="C149" i="2"/>
  <c r="C316" i="2"/>
  <c r="C841" i="2"/>
  <c r="C1115" i="2"/>
  <c r="C144" i="2"/>
  <c r="C934" i="2"/>
  <c r="C1080" i="2"/>
  <c r="C708" i="2"/>
  <c r="C282" i="2"/>
  <c r="C803" i="2"/>
  <c r="C1065" i="2"/>
  <c r="C168" i="2"/>
  <c r="C840" i="2"/>
  <c r="C439" i="2"/>
  <c r="C794" i="2"/>
  <c r="C527" i="2"/>
  <c r="C2" i="2"/>
  <c r="C933" i="2"/>
  <c r="C707" i="2"/>
  <c r="C765" i="2"/>
  <c r="C932" i="2"/>
  <c r="C549" i="2"/>
  <c r="C706" i="2"/>
  <c r="C989" i="2"/>
  <c r="C1037" i="2"/>
  <c r="C749" i="2"/>
  <c r="C705" i="2"/>
  <c r="C770" i="2"/>
  <c r="C13" i="2"/>
  <c r="C541" i="2"/>
  <c r="C850" i="2"/>
  <c r="C931" i="2"/>
  <c r="C597" i="2"/>
  <c r="C1101" i="2"/>
  <c r="C884" i="2"/>
  <c r="C1003" i="2"/>
  <c r="C879" i="2"/>
  <c r="C1132" i="2"/>
  <c r="C675" i="2"/>
  <c r="C829" i="2"/>
  <c r="C315" i="2"/>
  <c r="C748" i="2"/>
  <c r="C426" i="2"/>
  <c r="C860" i="2"/>
  <c r="C207" i="2"/>
  <c r="C930" i="2"/>
  <c r="C109" i="2"/>
  <c r="C634" i="2"/>
  <c r="C167" i="2"/>
  <c r="C148" i="2"/>
  <c r="C704" i="2"/>
  <c r="C637" i="2"/>
  <c r="C221" i="2"/>
  <c r="C780" i="2"/>
  <c r="C124" i="2"/>
  <c r="C649" i="2"/>
  <c r="C362" i="2"/>
  <c r="C1016" i="2"/>
  <c r="C812" i="2"/>
  <c r="C630" i="2"/>
  <c r="C988" i="2"/>
  <c r="C641" i="2"/>
  <c r="C230" i="2"/>
  <c r="C174" i="2"/>
  <c r="C537" i="2"/>
  <c r="C824" i="2"/>
  <c r="C106" i="2"/>
  <c r="C654" i="2"/>
  <c r="C1008" i="2"/>
  <c r="C261" i="2"/>
  <c r="C1125" i="2"/>
  <c r="C531" i="2"/>
  <c r="C260" i="2"/>
  <c r="C773" i="2"/>
  <c r="C112" i="2"/>
  <c r="C1131" i="2"/>
  <c r="C48" i="2"/>
  <c r="C1089" i="2"/>
  <c r="C1070" i="2"/>
  <c r="C419" i="2"/>
  <c r="C984" i="2"/>
  <c r="C129" i="2"/>
  <c r="C472" i="2"/>
  <c r="C201" i="2"/>
  <c r="C929" i="2"/>
  <c r="C869" i="2"/>
  <c r="C1021" i="2"/>
  <c r="C471" i="2"/>
  <c r="C366" i="2"/>
  <c r="C802" i="2"/>
  <c r="C563" i="2"/>
  <c r="C1061" i="2"/>
  <c r="C68" i="2"/>
  <c r="C657" i="2"/>
  <c r="C387" i="2"/>
  <c r="C703" i="2"/>
  <c r="C1041" i="2"/>
  <c r="C434" i="2"/>
  <c r="C844" i="2"/>
  <c r="C607" i="2"/>
  <c r="C128" i="2"/>
  <c r="C1020" i="2"/>
  <c r="C290" i="2"/>
  <c r="C782" i="2"/>
  <c r="C1078" i="2"/>
  <c r="C817" i="2"/>
  <c r="C47" i="2"/>
  <c r="C877" i="2"/>
  <c r="C1112" i="2"/>
  <c r="C31" i="2"/>
  <c r="C928" i="2"/>
  <c r="C281" i="2"/>
  <c r="C1127" i="2"/>
  <c r="C289" i="2"/>
  <c r="C771" i="2"/>
  <c r="C529" i="2"/>
  <c r="C118" i="2"/>
  <c r="C512" i="2"/>
  <c r="C586" i="2"/>
  <c r="C331" i="2"/>
  <c r="C811" i="2"/>
  <c r="C49" i="2"/>
  <c r="C97" i="2"/>
  <c r="C702" i="2"/>
  <c r="C612" i="2"/>
  <c r="C275" i="2"/>
  <c r="C624" i="2"/>
  <c r="C606" i="2"/>
  <c r="C1066" i="2"/>
  <c r="C1075" i="2"/>
  <c r="C701" i="2"/>
  <c r="C526" i="2"/>
  <c r="C135" i="2"/>
  <c r="C453" i="2"/>
  <c r="C674" i="2"/>
  <c r="C1015" i="2"/>
  <c r="C1067" i="2"/>
  <c r="C592" i="2"/>
  <c r="C154" i="2"/>
  <c r="C401" i="2"/>
  <c r="C1057" i="2"/>
  <c r="C643" i="2"/>
  <c r="C871" i="2"/>
  <c r="C189" i="2"/>
  <c r="C314" i="2"/>
  <c r="C679" i="2"/>
  <c r="C350" i="2"/>
  <c r="C383" i="2"/>
  <c r="C596" i="2"/>
  <c r="C673" i="2"/>
  <c r="C1019" i="2"/>
  <c r="C132" i="2"/>
  <c r="C642" i="2"/>
  <c r="C861" i="2"/>
  <c r="C1122" i="2"/>
  <c r="C700" i="2"/>
  <c r="C8" i="2"/>
  <c r="C927" i="2"/>
  <c r="C1134" i="2"/>
  <c r="C926" i="2"/>
  <c r="C458" i="2"/>
  <c r="C181" i="2"/>
  <c r="C974" i="2"/>
  <c r="C1117" i="2"/>
  <c r="C444" i="2"/>
  <c r="C486" i="2"/>
  <c r="C763" i="2"/>
  <c r="C212" i="2"/>
  <c r="C280" i="2"/>
  <c r="C925" i="2"/>
  <c r="C1114" i="2"/>
  <c r="C211" i="2"/>
  <c r="C1130" i="2"/>
  <c r="C30" i="2"/>
  <c r="C575" i="2"/>
  <c r="C390" i="2"/>
  <c r="C801" i="2"/>
  <c r="C43" i="2"/>
  <c r="C626" i="2"/>
  <c r="C967" i="2"/>
  <c r="C981" i="2"/>
  <c r="C924" i="2"/>
  <c r="C94" i="2"/>
  <c r="C102" i="2"/>
  <c r="C246" i="2"/>
  <c r="C548" i="2"/>
  <c r="C583" i="2"/>
  <c r="C525" i="2"/>
  <c r="C356" i="2"/>
  <c r="C195" i="2"/>
  <c r="C813" i="2"/>
  <c r="C516" i="2"/>
  <c r="C477" i="2"/>
  <c r="C279" i="2"/>
  <c r="C379" i="2"/>
  <c r="C257" i="2"/>
  <c r="C834" i="2"/>
  <c r="C485" i="2"/>
  <c r="C853" i="2"/>
  <c r="C192" i="2"/>
  <c r="C923" i="2"/>
  <c r="C1126" i="2"/>
  <c r="C922" i="2"/>
  <c r="C1103" i="2"/>
  <c r="C278" i="2"/>
  <c r="C574" i="2"/>
  <c r="C466" i="2"/>
  <c r="C533" i="2"/>
  <c r="C774" i="2"/>
  <c r="C1024" i="2"/>
  <c r="C69" i="2"/>
  <c r="C76" i="2"/>
  <c r="C438" i="2"/>
  <c r="C1095" i="2"/>
  <c r="C238" i="2"/>
  <c r="C23" i="2"/>
  <c r="C846" i="2"/>
  <c r="C1083" i="2"/>
  <c r="C515" i="2"/>
  <c r="C595" i="2"/>
  <c r="C72" i="2"/>
  <c r="C449" i="2"/>
  <c r="C1007" i="2"/>
  <c r="C589" i="2"/>
  <c r="C921" i="2"/>
  <c r="C823" i="2"/>
  <c r="C241" i="2"/>
  <c r="C528" i="2"/>
  <c r="C18" i="2"/>
  <c r="C632" i="2"/>
  <c r="C1109" i="2"/>
  <c r="C633" i="2"/>
  <c r="C664" i="2"/>
  <c r="C131" i="2"/>
  <c r="C594" i="2"/>
  <c r="C448" i="2"/>
  <c r="C313" i="2"/>
  <c r="C920" i="2"/>
  <c r="C413" i="2"/>
  <c r="C229" i="2"/>
  <c r="C111" i="2"/>
  <c r="C139" i="2"/>
  <c r="C1004" i="2"/>
  <c r="C758" i="2"/>
  <c r="C312" i="2"/>
  <c r="C699" i="2"/>
  <c r="C732" i="2"/>
  <c r="C532" i="2"/>
  <c r="C474" i="2"/>
  <c r="C17" i="2"/>
  <c r="C1094" i="2"/>
  <c r="C20" i="2"/>
  <c r="C206" i="2"/>
  <c r="C107" i="2"/>
  <c r="C484" i="2"/>
  <c r="C29" i="2"/>
  <c r="C386" i="2"/>
  <c r="C621" i="2"/>
  <c r="C423" i="2"/>
  <c r="C1029" i="2"/>
  <c r="C605" i="2"/>
  <c r="C346" i="2"/>
  <c r="C847" i="2"/>
  <c r="C183" i="2"/>
  <c r="C779" i="2"/>
  <c r="C228" i="2"/>
  <c r="C440" i="2"/>
  <c r="C298" i="2"/>
  <c r="C623" i="2"/>
  <c r="C1054" i="2"/>
  <c r="C256" i="2"/>
  <c r="C53" i="2"/>
  <c r="C483" i="2"/>
  <c r="C747" i="2"/>
  <c r="C222" i="2"/>
  <c r="C919" i="2"/>
  <c r="C818" i="2"/>
  <c r="C1031" i="2"/>
  <c r="C86" i="2"/>
  <c r="C793" i="2"/>
  <c r="C918" i="2"/>
  <c r="C1068" i="2"/>
  <c r="C66" i="2"/>
  <c r="C134" i="2"/>
  <c r="C519" i="2"/>
  <c r="C200" i="2"/>
  <c r="C268" i="2"/>
  <c r="C1028" i="2"/>
  <c r="C299" i="2"/>
  <c r="C1046" i="2"/>
  <c r="C465" i="2"/>
  <c r="C980" i="2"/>
  <c r="C1045" i="2"/>
  <c r="C105" i="2"/>
  <c r="C302" i="2"/>
  <c r="C646" i="2"/>
  <c r="C418" i="2"/>
  <c r="C496" i="2"/>
  <c r="C427" i="2"/>
  <c r="C582" i="2"/>
  <c r="C217" i="2"/>
  <c r="C452" i="2"/>
  <c r="C585" i="2"/>
  <c r="C166" i="2"/>
  <c r="C12" i="2"/>
  <c r="C62" i="2"/>
  <c r="C263" i="2"/>
  <c r="C16" i="2"/>
  <c r="C1074" i="2"/>
  <c r="C746" i="2"/>
  <c r="C199" i="2"/>
  <c r="C364" i="2"/>
  <c r="C1052" i="2"/>
  <c r="C698" i="2"/>
  <c r="C697" i="2"/>
  <c r="C696" i="2"/>
  <c r="C220" i="2"/>
  <c r="C738" i="2"/>
  <c r="C728" i="2"/>
  <c r="C75" i="2"/>
  <c r="C695" i="2"/>
  <c r="C9" i="2"/>
  <c r="C500" i="2"/>
  <c r="C839" i="2"/>
  <c r="C1085" i="2"/>
  <c r="C535" i="2"/>
  <c r="C523" i="2"/>
  <c r="C235" i="2"/>
  <c r="C88" i="2"/>
  <c r="C880" i="2"/>
  <c r="C1010" i="2"/>
  <c r="C668" i="2"/>
  <c r="C1077" i="2"/>
  <c r="C1018" i="2"/>
  <c r="C1079" i="2"/>
  <c r="C271" i="2"/>
  <c r="C35" i="2"/>
  <c r="C205" i="2"/>
  <c r="C196" i="2"/>
  <c r="C917" i="2"/>
  <c r="C187" i="2"/>
  <c r="C15" i="2"/>
  <c r="C737" i="2"/>
  <c r="C306" i="2"/>
  <c r="C311" i="2"/>
  <c r="C694" i="2"/>
  <c r="C645" i="2"/>
  <c r="C856" i="2"/>
  <c r="C274" i="2"/>
  <c r="C138" i="2"/>
  <c r="C635" i="2"/>
  <c r="C916" i="2"/>
  <c r="C757" i="2"/>
  <c r="C203" i="2"/>
  <c r="C50" i="2"/>
  <c r="C359" i="2"/>
  <c r="C569" i="2"/>
  <c r="C288" i="2"/>
  <c r="C1014" i="2"/>
  <c r="C377" i="2"/>
  <c r="C915" i="2"/>
  <c r="C914" i="2"/>
  <c r="C180" i="2"/>
  <c r="C693" i="2"/>
  <c r="C555" i="2"/>
  <c r="C1087" i="2"/>
  <c r="C410" i="2"/>
  <c r="C1027" i="2"/>
  <c r="C672" i="2"/>
  <c r="C551" i="2"/>
  <c r="C866" i="2"/>
  <c r="C380" i="2"/>
  <c r="C264" i="2"/>
  <c r="C255" i="2"/>
  <c r="C991" i="2"/>
  <c r="C147" i="2"/>
  <c r="C881" i="2"/>
  <c r="C562" i="2"/>
  <c r="C573" i="2"/>
  <c r="C815" i="2"/>
  <c r="C499" i="2"/>
  <c r="C336" i="2"/>
  <c r="C227" i="2"/>
  <c r="C809" i="2"/>
  <c r="C868" i="2"/>
  <c r="C173" i="2"/>
  <c r="C1084" i="2"/>
  <c r="C855" i="2"/>
  <c r="C382" i="2"/>
  <c r="C820" i="2"/>
  <c r="C913" i="2"/>
  <c r="C912" i="2"/>
  <c r="C692" i="2"/>
  <c r="C266" i="2"/>
  <c r="C408" i="2"/>
  <c r="C911" i="2"/>
  <c r="C745" i="2"/>
  <c r="C335" i="2"/>
  <c r="C226" i="2"/>
  <c r="C435" i="2"/>
  <c r="C73" i="2"/>
  <c r="C7" i="2"/>
  <c r="C859" i="2"/>
  <c r="C572" i="2"/>
  <c r="C85" i="2"/>
  <c r="C65" i="2"/>
  <c r="C731" i="2"/>
  <c r="C653" i="2"/>
  <c r="C160" i="2"/>
  <c r="C883" i="2"/>
  <c r="C828" i="2"/>
  <c r="C240" i="2"/>
  <c r="C93" i="2"/>
  <c r="C560" i="2"/>
  <c r="C459" i="2"/>
  <c r="C640" i="2"/>
  <c r="C1136" i="2"/>
  <c r="C536" i="2"/>
  <c r="C691" i="2"/>
  <c r="C910" i="2"/>
  <c r="C239" i="2"/>
  <c r="C463" i="2"/>
  <c r="C1026" i="2"/>
  <c r="C42" i="2"/>
  <c r="C619" i="2"/>
  <c r="C909" i="2"/>
  <c r="C852" i="2"/>
  <c r="C254" i="2"/>
  <c r="C618" i="2"/>
  <c r="C858" i="2"/>
  <c r="C800" i="2"/>
  <c r="C785" i="2"/>
  <c r="C754" i="2"/>
  <c r="C908" i="2"/>
  <c r="C1000" i="2"/>
  <c r="C799" i="2"/>
  <c r="C690" i="2"/>
  <c r="C253" i="2"/>
  <c r="C1121" i="2"/>
  <c r="C358" i="2"/>
  <c r="C52" i="2"/>
  <c r="C34" i="2"/>
  <c r="C567" i="2"/>
  <c r="C792" i="2"/>
  <c r="C354" i="2"/>
  <c r="C28" i="2"/>
  <c r="C969" i="2"/>
  <c r="C376" i="2"/>
  <c r="C26" i="2"/>
  <c r="C310" i="2"/>
  <c r="C513" i="2"/>
  <c r="C530" i="2"/>
  <c r="C831" i="2"/>
  <c r="C571" i="2"/>
  <c r="C24" i="2"/>
  <c r="C355" i="2"/>
  <c r="C832" i="2"/>
  <c r="C772" i="2"/>
  <c r="C1034" i="2"/>
  <c r="C907" i="2"/>
  <c r="C906" i="2"/>
  <c r="C493" i="2"/>
  <c r="C1093" i="2"/>
  <c r="C309" i="2"/>
  <c r="C966" i="2"/>
  <c r="C843" i="2"/>
  <c r="C689" i="2"/>
  <c r="C688" i="2"/>
  <c r="C768" i="2"/>
  <c r="C56" i="2"/>
  <c r="C604" i="2"/>
  <c r="C819" i="2"/>
  <c r="C40" i="2"/>
  <c r="C242" i="2"/>
  <c r="C798" i="2"/>
  <c r="C1090" i="2"/>
  <c r="C990" i="2"/>
  <c r="C373" i="2"/>
  <c r="C353" i="2"/>
  <c r="C736" i="2"/>
  <c r="C973" i="2"/>
  <c r="C361" i="2"/>
  <c r="C864" i="2"/>
  <c r="C482" i="2"/>
  <c r="C905" i="2"/>
  <c r="C878" i="2"/>
  <c r="C1092" i="2"/>
  <c r="C21" i="2"/>
  <c r="C687" i="2"/>
  <c r="C518" i="2"/>
  <c r="C123" i="2"/>
  <c r="C1013" i="2"/>
  <c r="C1049" i="2"/>
  <c r="C904" i="2"/>
  <c r="C37" i="2"/>
  <c r="C117" i="2"/>
  <c r="C334" i="2"/>
  <c r="C51" i="2"/>
  <c r="C460" i="2"/>
  <c r="C755" i="2"/>
  <c r="C540" i="2"/>
  <c r="C558" i="2"/>
  <c r="C903" i="2"/>
  <c r="C902" i="2"/>
  <c r="C999" i="2"/>
  <c r="C857" i="2"/>
  <c r="C172" i="2"/>
  <c r="C686" i="2"/>
  <c r="C517" i="2"/>
  <c r="C1062" i="2"/>
  <c r="C543" i="2"/>
  <c r="C116" i="2"/>
  <c r="C685" i="2"/>
  <c r="C352" i="2"/>
  <c r="C100" i="2"/>
  <c r="C684" i="2"/>
  <c r="C581" i="2"/>
  <c r="C867" i="2"/>
  <c r="C58" i="2"/>
  <c r="C1012" i="2"/>
  <c r="C171" i="2"/>
  <c r="C901" i="2"/>
  <c r="C662" i="2"/>
  <c r="C900" i="2"/>
  <c r="C998" i="2"/>
  <c r="C5" i="2"/>
  <c r="C791" i="2"/>
  <c r="C652" i="2"/>
  <c r="C415" i="2"/>
  <c r="C1106" i="2"/>
  <c r="C252" i="2"/>
  <c r="C394" i="2"/>
  <c r="C286" i="2"/>
  <c r="C547" i="2"/>
  <c r="C1128" i="2"/>
  <c r="C99" i="2"/>
  <c r="C214" i="2"/>
  <c r="C498" i="2"/>
  <c r="C441" i="2"/>
  <c r="C542" i="2"/>
  <c r="C539" i="2"/>
  <c r="C735" i="2"/>
  <c r="C396" i="2"/>
  <c r="C345" i="2"/>
  <c r="C468" i="2"/>
  <c r="C27" i="2"/>
  <c r="C899" i="2"/>
  <c r="C251" i="2"/>
  <c r="C1137" i="2"/>
  <c r="C898" i="2"/>
  <c r="C838" i="2"/>
  <c r="C1036" i="2"/>
  <c r="C671" i="2"/>
  <c r="C115" i="2"/>
  <c r="C225" i="2"/>
  <c r="C407" i="2"/>
  <c r="C837" i="2"/>
  <c r="C389" i="2"/>
  <c r="C267" i="2"/>
  <c r="C175" i="2"/>
  <c r="C510" i="2"/>
  <c r="C372" i="2"/>
  <c r="C897" i="2"/>
  <c r="C188" i="2"/>
  <c r="C146" i="2"/>
  <c r="C638" i="2"/>
  <c r="C1118" i="2"/>
  <c r="C1006" i="2"/>
  <c r="C896" i="2"/>
  <c r="C629" i="2"/>
  <c r="C1035" i="2"/>
  <c r="C895" i="2"/>
  <c r="C369" i="2"/>
  <c r="C451" i="2"/>
  <c r="C422" i="2"/>
  <c r="C894" i="2"/>
  <c r="C1043" i="2"/>
  <c r="C995" i="2"/>
  <c r="C734" i="2"/>
  <c r="C400" i="2"/>
  <c r="C893" i="2"/>
  <c r="C1091" i="2"/>
  <c r="C145" i="2"/>
  <c r="C6" i="2"/>
  <c r="C108" i="2"/>
  <c r="C876" i="2"/>
  <c r="C546" i="2"/>
  <c r="C152" i="2"/>
  <c r="C727" i="2"/>
  <c r="C333" i="2"/>
  <c r="C3" i="2"/>
  <c r="C628" i="2"/>
  <c r="C509" i="2"/>
  <c r="C892" i="2"/>
  <c r="C744" i="2"/>
  <c r="C506" i="2"/>
  <c r="C849" i="2"/>
  <c r="C683" i="2"/>
  <c r="C987" i="2"/>
  <c r="C508" i="2"/>
  <c r="C470" i="2"/>
  <c r="C497" i="2"/>
  <c r="C875" i="2"/>
  <c r="C784" i="2"/>
  <c r="C1009" i="2"/>
  <c r="C198" i="2"/>
  <c r="C778" i="2"/>
  <c r="C767" i="2"/>
  <c r="C1032" i="2"/>
  <c r="C114" i="2"/>
  <c r="C538" i="2"/>
  <c r="C997" i="2"/>
  <c r="C655" i="2"/>
  <c r="C295" i="2"/>
  <c r="C357" i="2"/>
  <c r="C473" i="2"/>
  <c r="C1069" i="2"/>
  <c r="C371" i="2"/>
  <c r="C1120" i="2"/>
  <c r="C979" i="2"/>
  <c r="C416" i="2"/>
  <c r="C972" i="2"/>
  <c r="C835" i="2"/>
  <c r="C851" i="2"/>
  <c r="C456" i="2"/>
  <c r="C891" i="2"/>
  <c r="C197" i="2"/>
  <c r="C495" i="2"/>
  <c r="C277" i="2"/>
  <c r="C982" i="2"/>
  <c r="C89" i="2"/>
  <c r="C1110" i="2"/>
  <c r="C648" i="2"/>
  <c r="C993" i="2"/>
  <c r="C730" i="2"/>
  <c r="C467" i="2"/>
  <c r="C890" i="2"/>
  <c r="C143" i="2"/>
  <c r="C889" i="2"/>
  <c r="C743" i="2"/>
  <c r="C1002" i="2"/>
  <c r="C808" i="2"/>
  <c r="C888" i="2"/>
  <c r="C4" i="2"/>
  <c r="C250" i="2"/>
  <c r="C667" i="2"/>
  <c r="C887" i="2"/>
  <c r="C1023" i="2"/>
  <c r="C133" i="2"/>
  <c r="C1104" i="2"/>
  <c r="C1011" i="2"/>
  <c r="C11" i="2"/>
  <c r="C41" i="2"/>
  <c r="C570" i="2"/>
  <c r="C142" i="2"/>
  <c r="C1030" i="2"/>
  <c r="C603" i="2"/>
  <c r="C870" i="2"/>
  <c r="C1044" i="2"/>
  <c r="C121" i="2"/>
  <c r="C83" i="2"/>
  <c r="C428" i="2"/>
  <c r="C14" i="2"/>
  <c r="C656" i="2"/>
  <c r="C141" i="2"/>
  <c r="C833" i="2"/>
  <c r="C602" i="2"/>
  <c r="C39" i="2"/>
  <c r="C593" i="2"/>
  <c r="C481" i="2"/>
  <c r="C476" i="2"/>
  <c r="C130" i="2"/>
  <c r="C177" i="2"/>
  <c r="C368" i="2"/>
  <c r="C67" i="2"/>
  <c r="C300" i="2"/>
  <c r="C308" i="2"/>
  <c r="C1056" i="2"/>
  <c r="C191" i="2"/>
  <c r="C601" i="2"/>
  <c r="C224" i="2"/>
  <c r="C450" i="2"/>
  <c r="C412" i="2"/>
  <c r="C682" i="2"/>
  <c r="C165" i="2"/>
  <c r="C307" i="2"/>
  <c r="C886" i="2"/>
  <c r="C885" i="2"/>
  <c r="C153" i="2"/>
  <c r="C1111" i="2"/>
  <c r="C190" i="2"/>
  <c r="C1119" i="2"/>
  <c r="C996" i="2"/>
  <c r="C74" i="2"/>
  <c r="C475" i="2"/>
  <c r="C742" i="2"/>
  <c r="C367" i="2"/>
  <c r="C822" i="2"/>
  <c r="C836" i="2"/>
  <c r="C33" i="2"/>
  <c r="C186" i="2"/>
  <c r="C783" i="2"/>
  <c r="C1025" i="2"/>
</calcChain>
</file>

<file path=xl/sharedStrings.xml><?xml version="1.0" encoding="utf-8"?>
<sst xmlns="http://schemas.openxmlformats.org/spreadsheetml/2006/main" count="30857" uniqueCount="6985">
  <si>
    <t>First Name</t>
  </si>
  <si>
    <t>Last Name</t>
  </si>
  <si>
    <t>Email Address</t>
  </si>
  <si>
    <t>Company Name</t>
  </si>
  <si>
    <t>Title</t>
  </si>
  <si>
    <t>Mobile Phone Number</t>
  </si>
  <si>
    <t>Device used to scan badge</t>
  </si>
  <si>
    <t xml:space="preserve">Contact Owner </t>
  </si>
  <si>
    <t>Email Sent (Y/N) Date?</t>
  </si>
  <si>
    <t>LinkedIn Sent/Connected (Y/N) Date?</t>
  </si>
  <si>
    <t>Called (Y/N) Date?</t>
  </si>
  <si>
    <t>Lead Score</t>
  </si>
  <si>
    <t>Role of this person</t>
  </si>
  <si>
    <t>DURING-Summit notes</t>
  </si>
  <si>
    <t>DURING-summit follow-up notes</t>
  </si>
  <si>
    <t>POST-Summit Follow-up Notes</t>
  </si>
  <si>
    <t>POST-Summit Follow-up Jira tickets</t>
  </si>
  <si>
    <t>POST-Summit lead qual &amp; follow-up planning done</t>
  </si>
  <si>
    <t>POST-Summit follow-ups done (week of Oct 21-25)</t>
  </si>
  <si>
    <t>ZoomInfo follow-up Jan 2025</t>
  </si>
  <si>
    <t>Call target, Jan 2025</t>
  </si>
  <si>
    <t>Called Jan 2025</t>
  </si>
  <si>
    <t>Created date/time US/Eastern</t>
  </si>
  <si>
    <t>Qualified</t>
  </si>
  <si>
    <t>Is the person currently evaluating solutions related to [specific problem/industry]?</t>
  </si>
  <si>
    <t>What is the timeframe for choosing a solution?</t>
  </si>
  <si>
    <t>Is there a budget for this business need?</t>
  </si>
  <si>
    <t>Work Phone Number</t>
  </si>
  <si>
    <t>Work City</t>
  </si>
  <si>
    <t>Work State</t>
  </si>
  <si>
    <t xml:space="preserve">Lead Transcription Status </t>
  </si>
  <si>
    <t>Lead Source</t>
  </si>
  <si>
    <t>Last Update US/Eastern</t>
  </si>
  <si>
    <t>What State do you reside in:</t>
  </si>
  <si>
    <t>Country you reside in:</t>
  </si>
  <si>
    <t>Sponsorship Level</t>
  </si>
  <si>
    <t>Event Sponsor</t>
  </si>
  <si>
    <t>Catherine Toth</t>
  </si>
  <si>
    <t>cathy.toth@acatoim.com</t>
  </si>
  <si>
    <t>Acato Information Management LLC</t>
  </si>
  <si>
    <t>Hari</t>
  </si>
  <si>
    <t>1</t>
  </si>
  <si>
    <t>Collected contact info after last day SAFe gov session</t>
  </si>
  <si>
    <t>Bill Toth</t>
  </si>
  <si>
    <t>bill.toth@acatoim.com</t>
  </si>
  <si>
    <t>Alexander Miner</t>
  </si>
  <si>
    <t>alexander.r.miner@frb.gov</t>
  </si>
  <si>
    <t>agile coach</t>
  </si>
  <si>
    <t>Bhavani</t>
  </si>
  <si>
    <t>Krishnan</t>
  </si>
  <si>
    <t>bhavani.krishnan@agilevelocity.com</t>
  </si>
  <si>
    <t>Agile Velocity</t>
  </si>
  <si>
    <t>Enterprise Agile Coach</t>
  </si>
  <si>
    <t>571.246.0602</t>
  </si>
  <si>
    <t>iPad Mini (LSA/Keith) / Kurt's iPhone (personal)</t>
  </si>
  <si>
    <t>Kurt</t>
  </si>
  <si>
    <t>4</t>
  </si>
  <si>
    <t>Budget authority</t>
  </si>
  <si>
    <t>Looking for partnership opportunity. Spoke to Kurt. They are in the commercial space and interact with cyber security. They are very interested in looking at their women owned an 8a. Spoke with her and their chief revenue officer James Hawks.</t>
  </si>
  <si>
    <t>Other: X</t>
  </si>
  <si>
    <r>
      <t>EMAIL_PARTNER_HIGH: Send email asking for follow-up discussion. Setup further discussion on how we can partner and help one another by leveraging their 8a.</t>
    </r>
    <r>
      <rPr>
        <b/>
        <sz val="12"/>
        <rFont val="Calibri"/>
        <family val="2"/>
      </rPr>
      <t xml:space="preserve"> Meeting scheduled for 10/24/2024 to explore strategic plan and partnering with her and James Hawks</t>
    </r>
  </si>
  <si>
    <t>Yes</t>
  </si>
  <si>
    <t>Scanned</t>
  </si>
  <si>
    <t>Virginia</t>
  </si>
  <si>
    <t>United States</t>
  </si>
  <si>
    <t>Large Solution</t>
  </si>
  <si>
    <t>Erin</t>
  </si>
  <si>
    <t>Mcclain</t>
  </si>
  <si>
    <t>erinmccaslun@agilityhealth.com</t>
  </si>
  <si>
    <t>Agility Health</t>
  </si>
  <si>
    <t>VP Partner Development</t>
  </si>
  <si>
    <t>Kurt's iPhone (personal)</t>
  </si>
  <si>
    <t>Connected - Need to follow-up on way ahead on IP and the NDA</t>
  </si>
  <si>
    <t>Connected</t>
  </si>
  <si>
    <t>Other: Partner builder and go to market strategist</t>
  </si>
  <si>
    <t>Aaron was very interested in helping us use their wheel system and then helping to find ways that we can go to market and lean into each others pipelines and how we can jump on various things together</t>
  </si>
  <si>
    <t>Other: Do presentation to help develop our strategy to go after work together, Send Literature, Schedule Demo</t>
  </si>
  <si>
    <r>
      <t>EMAIL_PARTNER_HIGH: Send email asking for follow-up discussion.  Discussed with Mike and there might be further opportunities for us to synch up on using their wheel system and add further capabilities.  Follow-up with a call and explore opportunities together.</t>
    </r>
    <r>
      <rPr>
        <b/>
        <sz val="12"/>
        <rFont val="Calibri"/>
        <family val="2"/>
      </rPr>
      <t xml:space="preserve"> Meeting scheduled for 10/24/2024 to explore strategic plan and partnering</t>
    </r>
  </si>
  <si>
    <t>Not Applicable</t>
  </si>
  <si>
    <t>completed</t>
  </si>
  <si>
    <t>Business card</t>
  </si>
  <si>
    <t>Trevor</t>
  </si>
  <si>
    <t>Methena</t>
  </si>
  <si>
    <t>trevor.methena@allegion.com</t>
  </si>
  <si>
    <t>Allegion</t>
  </si>
  <si>
    <t>Release Train Engineer</t>
  </si>
  <si>
    <t>5124176356</t>
  </si>
  <si>
    <t>Christy's iPhone (personal)</t>
  </si>
  <si>
    <t>Christy</t>
  </si>
  <si>
    <t>2</t>
  </si>
  <si>
    <t>Influencer</t>
  </si>
  <si>
    <t>They are global company of IoT hardware and software.  They are using agile practices and have done a lot of outsourcing overseas recently.</t>
  </si>
  <si>
    <t>Add to Mailing List</t>
  </si>
  <si>
    <t>Sent Initial Email - 23 Oct</t>
  </si>
  <si>
    <t>TRUE</t>
  </si>
  <si>
    <t>No</t>
  </si>
  <si>
    <t>Texas</t>
  </si>
  <si>
    <t>S. Hasnain</t>
  </si>
  <si>
    <t>Rizvi</t>
  </si>
  <si>
    <t>hasnain.rizvi@americannational.com</t>
  </si>
  <si>
    <t>American National Insurance</t>
  </si>
  <si>
    <t>Agile Transformation Lead</t>
  </si>
  <si>
    <t>8184287768</t>
  </si>
  <si>
    <t>iPad Mini (LSA/Keith)</t>
  </si>
  <si>
    <t>Dani</t>
  </si>
  <si>
    <t>Decision maker</t>
  </si>
  <si>
    <t>Dani to schedule</t>
  </si>
  <si>
    <t>N/A</t>
  </si>
  <si>
    <t>Immediately</t>
  </si>
  <si>
    <t>Puneeta</t>
  </si>
  <si>
    <t>Singh</t>
  </si>
  <si>
    <t>pusingh@americorps.gov</t>
  </si>
  <si>
    <t>AmeriCorps</t>
  </si>
  <si>
    <t>Project Manager</t>
  </si>
  <si>
    <t>202-925-7552</t>
  </si>
  <si>
    <t>Puneeta Singh</t>
  </si>
  <si>
    <t>Americorps</t>
  </si>
  <si>
    <t>Jamie</t>
  </si>
  <si>
    <t>Shopland</t>
  </si>
  <si>
    <t>jamie.shopland@amtrak.com</t>
  </si>
  <si>
    <t>Amtrak</t>
  </si>
  <si>
    <t>Director, Agile Transformation</t>
  </si>
  <si>
    <t>3013057640</t>
  </si>
  <si>
    <t>Mike</t>
  </si>
  <si>
    <t>Other: Unknown</t>
  </si>
  <si>
    <t>Enter to win prize. Recorded video.</t>
  </si>
  <si>
    <t>send AFRL, R&amp;D experience related template TEMPLATE_CLIENT_HIGH and attach LPM talkbook pdf
Mention that we have experience with tranportation at California DOT, have case studies for this if interested</t>
  </si>
  <si>
    <t>Maryland</t>
  </si>
  <si>
    <t>Thilakavathi</t>
  </si>
  <si>
    <t>Rajakumar</t>
  </si>
  <si>
    <t>thilakavathi210@gmail.com</t>
  </si>
  <si>
    <t>AT&amp;T</t>
  </si>
  <si>
    <t>Solution Train Engineer</t>
  </si>
  <si>
    <t>6782964234</t>
  </si>
  <si>
    <t>iPad Tiny (LSA/Mike)</t>
  </si>
  <si>
    <t>Georgia</t>
  </si>
  <si>
    <t>Bryan</t>
  </si>
  <si>
    <t>Smith</t>
  </si>
  <si>
    <t>bsmith3@atlassian.com</t>
  </si>
  <si>
    <t>Atlassian</t>
  </si>
  <si>
    <t>Jira Align Strategic Solution Sales Account Manager</t>
  </si>
  <si>
    <t>720-830-6998</t>
  </si>
  <si>
    <t>3</t>
  </si>
  <si>
    <t>Other: jira align jira</t>
  </si>
  <si>
    <t>Spoke at lenght on JIRA Align and Atlassian suite</t>
  </si>
  <si>
    <t>Sent Initial Email - 23 Oct - connected on LinkedIn - no response to phone call left message for follow up conversation.</t>
  </si>
  <si>
    <t>Colorado</t>
  </si>
  <si>
    <t>Mohammad Riad</t>
  </si>
  <si>
    <t>Hossan</t>
  </si>
  <si>
    <t>riad_hossan@bcbst.com</t>
  </si>
  <si>
    <t>BlueCross BlueShield of Tennessee, Inc</t>
  </si>
  <si>
    <t>Business Analyst</t>
  </si>
  <si>
    <t>3098268972</t>
  </si>
  <si>
    <t>Lisa Cohen</t>
  </si>
  <si>
    <t>cohen_lisa@bah.com</t>
  </si>
  <si>
    <t>Booz Allen Hamilton</t>
  </si>
  <si>
    <t>Jennifer Murillo</t>
  </si>
  <si>
    <t>murillo_jennifer@bah.com</t>
  </si>
  <si>
    <t>Lynn Stevens</t>
  </si>
  <si>
    <t>stevens_lynn@bah.com</t>
  </si>
  <si>
    <t>Paula Barbour</t>
  </si>
  <si>
    <t>barbour_paula@bah.com</t>
  </si>
  <si>
    <t>Bonnie</t>
  </si>
  <si>
    <t>Soto</t>
  </si>
  <si>
    <t>soto_bonnie@bah.com</t>
  </si>
  <si>
    <t>Technical Team Lead</t>
  </si>
  <si>
    <t>2103241023</t>
  </si>
  <si>
    <t>Taylor's iPhone (personal)</t>
  </si>
  <si>
    <t>Jennifer Castro</t>
  </si>
  <si>
    <t>jennifer.castro@broadcom.com</t>
  </si>
  <si>
    <t>Broadcom</t>
  </si>
  <si>
    <t>Elonia</t>
  </si>
  <si>
    <t>Taylor</t>
  </si>
  <si>
    <t>elonia.taylor@bep.gov</t>
  </si>
  <si>
    <t>Bureau of Engraving and Printing</t>
  </si>
  <si>
    <t>Sr. IT Project Manager</t>
  </si>
  <si>
    <t>(817)528-1037</t>
  </si>
  <si>
    <t>5</t>
  </si>
  <si>
    <t>Early in agile implementation; got SES ; want workshops and training.  Lead for the program, Mike White introduced.  Kurt - submitted RFI for agile coaching previously… Kurt has discussed BEP opportunities with Navy Gold Coast / Business Dev lead</t>
  </si>
  <si>
    <t>Steve</t>
  </si>
  <si>
    <t>Brylski</t>
  </si>
  <si>
    <t>steve.brylski@caci.com</t>
  </si>
  <si>
    <t>CACI</t>
  </si>
  <si>
    <t>Agile Transformation Leader/Coach</t>
  </si>
  <si>
    <t>(571) 291-7450</t>
  </si>
  <si>
    <t>Mike's iPhone (personal)</t>
  </si>
  <si>
    <t>See Chris ham comments</t>
  </si>
  <si>
    <t>none</t>
  </si>
  <si>
    <t>Chris</t>
  </si>
  <si>
    <t>Ham</t>
  </si>
  <si>
    <t>chris.ham@caci.com</t>
  </si>
  <si>
    <t>CACI Inc.</t>
  </si>
  <si>
    <t>Agile Solution Factory Director</t>
  </si>
  <si>
    <t>7036253263</t>
  </si>
  <si>
    <r>
      <t>They spoke to robin, robin mentioned LSA, they came to booth, gave them UX book, and</t>
    </r>
    <r>
      <rPr>
        <b/>
        <sz val="12"/>
        <rFont val="Calibri"/>
        <family val="2"/>
      </rPr>
      <t xml:space="preserve"> they said they could ‘find a home’ for LSA</t>
    </r>
  </si>
  <si>
    <t>EMAIL_PARTNER_HIGH: follow-up discussion; attach usual table insert; CC: Steve Brylski, Robin, Dani</t>
  </si>
  <si>
    <t>Abdul Rasheed</t>
  </si>
  <si>
    <t>Shaik</t>
  </si>
  <si>
    <t>abdulrasheed.shaik@fepoc.com</t>
  </si>
  <si>
    <t>CareFirst</t>
  </si>
  <si>
    <t>9493947591</t>
  </si>
  <si>
    <t>Also has OPM as customer .  Benefits for OPM.  Was interested in various case studies and engaged</t>
  </si>
  <si>
    <t>EMAIL_PARTNER_MEDIUM: Send email asking for follow-up discussion; emphasize / call-out OPM case studies.  Attach usual table insert</t>
  </si>
  <si>
    <t>Hans</t>
  </si>
  <si>
    <t>Raj</t>
  </si>
  <si>
    <t>hans.raj@fepoc.com</t>
  </si>
  <si>
    <t>CareFirst BlueCross BlueShield (FEPOC)</t>
  </si>
  <si>
    <t>Lead Software Engineer/Team Coach</t>
  </si>
  <si>
    <t>7038627951</t>
  </si>
  <si>
    <t>iPad Mini (LSA/Mike)</t>
  </si>
  <si>
    <t>Larry</t>
  </si>
  <si>
    <t>Yes, on 11/26</t>
  </si>
  <si>
    <t>Gave book. Interested in AI and UX</t>
  </si>
  <si>
    <t>Jalpa</t>
  </si>
  <si>
    <t>Purani</t>
  </si>
  <si>
    <t>CGI</t>
  </si>
  <si>
    <t>Director</t>
  </si>
  <si>
    <t>Connected - Discussed opportunities for SN work with CGI</t>
  </si>
  <si>
    <t>Connected on LinkedIn</t>
  </si>
  <si>
    <t>She said she has a financial client that she’s working with . She is helping them with agile but really needs additional help with working with Service now. I told her I could get her connected with Craig and we can have a discussion on how we can bring all that together.</t>
  </si>
  <si>
    <t>Needs Technical Data, Send Literature, Add to Mailing List, Schedule Demo</t>
  </si>
  <si>
    <r>
      <t xml:space="preserve">EMAIL_PARTNER_HIGH: Send email asking for follow-up discussion; emphasize.  Setup a call to demo to discuss how we can help with SNOW. Include Craig, Mike and Kurt. </t>
    </r>
    <r>
      <rPr>
        <b/>
        <sz val="12"/>
        <rFont val="Calibri"/>
        <family val="2"/>
      </rPr>
      <t xml:space="preserve">  10/21: Sent email to reach out about a follow-on call.  Waiting on her response and plan to follow-up Monday (10/28 if no response (KG)</t>
    </r>
  </si>
  <si>
    <t>Within 3 months</t>
  </si>
  <si>
    <t>Parag</t>
  </si>
  <si>
    <t>Gupta</t>
  </si>
  <si>
    <t>parag.gupta@cna.com</t>
  </si>
  <si>
    <t>CNA</t>
  </si>
  <si>
    <t>Director, Value Creation</t>
  </si>
  <si>
    <t>4379254146</t>
  </si>
  <si>
    <t>Yes, on 12/9</t>
  </si>
  <si>
    <t>Transformation of legacy systems. Gave a book.</t>
  </si>
  <si>
    <t>Send Literature, Add to Mailing List</t>
  </si>
  <si>
    <t>Canada</t>
  </si>
  <si>
    <t>Benjamin Baghdadi</t>
  </si>
  <si>
    <t>bbaghdadi@cns.gov</t>
  </si>
  <si>
    <t>CNS</t>
  </si>
  <si>
    <t>Jacky</t>
  </si>
  <si>
    <t>Droushoudt</t>
  </si>
  <si>
    <t>jdroushoudt@pccwglobal.com</t>
  </si>
  <si>
    <t>Console Connect (HK) Limited</t>
  </si>
  <si>
    <t>AVP, Product Management (Scrum)</t>
  </si>
  <si>
    <t>+32494538194</t>
  </si>
  <si>
    <t>Was interested in what we do, wanted to stay in contact if there were stateside opprotunities.  Dani and Christy both collaborated, Dani has been chatting with over LinkedIn… potentially wants a demo of the EEK presentation for his organization… Digital Transformation lead</t>
  </si>
  <si>
    <t>Hong Kong</t>
  </si>
  <si>
    <t>Praveen</t>
  </si>
  <si>
    <t>Goel</t>
  </si>
  <si>
    <t>praveen.goel@cprime.com</t>
  </si>
  <si>
    <t>cPrime</t>
  </si>
  <si>
    <t>SPCT, Transformation Leader, Agile Coach</t>
  </si>
  <si>
    <t>2032311857</t>
  </si>
  <si>
    <t>Other: SPCT learning about our approach</t>
  </si>
  <si>
    <t>hit-and-run, no real discussion</t>
  </si>
  <si>
    <t>EMAIL_PARTNER_LOW - nice meeting you, happy to discuss partnership opportuniites...; attach usual table insert</t>
  </si>
  <si>
    <t>Connecticut</t>
  </si>
  <si>
    <t>Danny</t>
  </si>
  <si>
    <t>Debner</t>
  </si>
  <si>
    <t>danny.debner@cvent.com</t>
  </si>
  <si>
    <t>Cvent</t>
  </si>
  <si>
    <t>This is actually Saya Sone. I gave her a book.</t>
  </si>
  <si>
    <t>Washington</t>
  </si>
  <si>
    <t>Richard</t>
  </si>
  <si>
    <t>Trice</t>
  </si>
  <si>
    <t>richard.w.trice.civ@health.mil</t>
  </si>
  <si>
    <t>DHMS/EIDS</t>
  </si>
  <si>
    <t>Product Manager</t>
  </si>
  <si>
    <t>8304310550</t>
  </si>
  <si>
    <t>Requested LinkedIn connection - no response, called and left VM to set up meeting to reconnect</t>
  </si>
  <si>
    <t>Etienne</t>
  </si>
  <si>
    <t>LAVERDIERE</t>
  </si>
  <si>
    <t>elaverdiere@digitaltango.ca</t>
  </si>
  <si>
    <t>DIGITAL TANGO</t>
  </si>
  <si>
    <t>CEO</t>
  </si>
  <si>
    <t>+33 7 82 55 07 78</t>
  </si>
  <si>
    <t>Other: NA</t>
  </si>
  <si>
    <t>Interested in UX and design thinking</t>
  </si>
  <si>
    <t>Other: Gave a book to him</t>
  </si>
  <si>
    <t>5145163100</t>
  </si>
  <si>
    <t>France</t>
  </si>
  <si>
    <t>Jacqueline</t>
  </si>
  <si>
    <t>Markot</t>
  </si>
  <si>
    <t>jackie.markot@discounttire.com</t>
  </si>
  <si>
    <t>Discount Tire</t>
  </si>
  <si>
    <t>4802627243</t>
  </si>
  <si>
    <t>Looking for Ada Dash boarding and UX help. Looking for a consultant to come in and work with transparency in their organization. ￼</t>
  </si>
  <si>
    <t>Other: Connect</t>
  </si>
  <si>
    <t>Arizona</t>
  </si>
  <si>
    <t>Blake Helander</t>
  </si>
  <si>
    <t>blake.helander@dodiis.mil</t>
  </si>
  <si>
    <t>DoD Product Manager</t>
  </si>
  <si>
    <t>Matt Lasater</t>
  </si>
  <si>
    <t>matt@egagedagility.com</t>
  </si>
  <si>
    <t>Engaged Agility</t>
  </si>
  <si>
    <t>Ken</t>
  </si>
  <si>
    <t>King</t>
  </si>
  <si>
    <t>ken.king@expleogroup.com</t>
  </si>
  <si>
    <t>Expleo Group</t>
  </si>
  <si>
    <t>Agile Coach</t>
  </si>
  <si>
    <t>He works at Expleo Group in Dublin Ireland. He also is at Bank of America. He has a SP six, RT, SDP, LPM, PMP, ACP, RS @SP, agog Coach in Bank of America in Europe.</t>
  </si>
  <si>
    <t>EMAIL_PARTNER_HIGH: Send email asking for follow-up discussion; emphasize.   As we connected, I found out that he had also met Mike Idengren at an event in Nashville.Nothing specific but may want to explore opportunites with him or/BoA further and share our work with FinTech</t>
  </si>
  <si>
    <t>Dublin</t>
  </si>
  <si>
    <t>IE</t>
  </si>
  <si>
    <t>Smita</t>
  </si>
  <si>
    <t>Saxena</t>
  </si>
  <si>
    <t>smita_x_saxena@fanniemae.com</t>
  </si>
  <si>
    <t>Fannie Mae</t>
  </si>
  <si>
    <t>Sr. Scrum Master</t>
  </si>
  <si>
    <t>17039675748</t>
  </si>
  <si>
    <t>Other: Scrum master</t>
  </si>
  <si>
    <t>Wants to know what we do. Interest in ux</t>
  </si>
  <si>
    <t>Send Literature</t>
  </si>
  <si>
    <t>Bethany Thomas</t>
  </si>
  <si>
    <t>bmthomas2@fbi.gov</t>
  </si>
  <si>
    <t>FBI</t>
  </si>
  <si>
    <t>Anitha</t>
  </si>
  <si>
    <t>Sankur</t>
  </si>
  <si>
    <t>anitha.sankur@atl.frb.org</t>
  </si>
  <si>
    <t>Federal Reserve Bank of Atlanta</t>
  </si>
  <si>
    <t>LEAN-Agile Coach</t>
  </si>
  <si>
    <t>4232425695</t>
  </si>
  <si>
    <t>Work with Mike - find out who got the SAFe ARCH training</t>
  </si>
  <si>
    <t>Peter</t>
  </si>
  <si>
    <t>Pendergast</t>
  </si>
  <si>
    <t>peter.pendergast@gd-ms.com</t>
  </si>
  <si>
    <t>General Dynamics Mission System</t>
  </si>
  <si>
    <t>Seemed interesetd in discussing further around how we might e able to engage with GD on EA, SAFe and possibly SNOW.  Nothing overly specific but may be a good way to further increase our possibility of working as a sub.</t>
  </si>
  <si>
    <t>Send Literature, Add to Mailing List,</t>
  </si>
  <si>
    <t>Some interest and discussion about pain points and/or LSA solution.  Possibly setup an exploration call to pull more of their requirements or pain points out.</t>
  </si>
  <si>
    <t>transcription incomplete</t>
  </si>
  <si>
    <t>Evan</t>
  </si>
  <si>
    <t>Champagne</t>
  </si>
  <si>
    <t>evan.champagne@gd-ms.com</t>
  </si>
  <si>
    <t>General Dynamics Mission Systems</t>
  </si>
  <si>
    <t>Advanced Systems Engineer</t>
  </si>
  <si>
    <t>See Peter Pendergast</t>
  </si>
  <si>
    <t>Beth</t>
  </si>
  <si>
    <t>Hatter</t>
  </si>
  <si>
    <t>beth.hatter@genesisconsulting.com</t>
  </si>
  <si>
    <t>Genesis Consulting</t>
  </si>
  <si>
    <t>Director of Agile Coaching</t>
  </si>
  <si>
    <t>434-272-9031</t>
  </si>
  <si>
    <t>Horace</t>
  </si>
  <si>
    <t>Lynch</t>
  </si>
  <si>
    <t>horacelynch@hotmail.com</t>
  </si>
  <si>
    <t>Georgia Pacific</t>
  </si>
  <si>
    <t>Scrum Master</t>
  </si>
  <si>
    <t>9012922083</t>
  </si>
  <si>
    <t>(who talked to Horace Lynch?)</t>
  </si>
  <si>
    <t>send TEMPLATE_CLIENT_LOW</t>
  </si>
  <si>
    <t>Joshua</t>
  </si>
  <si>
    <t>Seckel</t>
  </si>
  <si>
    <t>joshua.seckel@govcio.com</t>
  </si>
  <si>
    <t>GovCIO</t>
  </si>
  <si>
    <t>Vice President</t>
  </si>
  <si>
    <t>5712282878</t>
  </si>
  <si>
    <t>Other: UX curious</t>
  </si>
  <si>
    <t>Carmen</t>
  </si>
  <si>
    <t>Graver</t>
  </si>
  <si>
    <t>cgraver@graveragileinnovations.com</t>
  </si>
  <si>
    <t>Graver Agile Innovations, LLC</t>
  </si>
  <si>
    <t>7035595306</t>
  </si>
  <si>
    <t>Other: None</t>
  </si>
  <si>
    <t>Little interest</t>
  </si>
  <si>
    <t>EMAIL_CLIENT_LOW - Send email asking for follow-up discussion; attach usual table insert</t>
  </si>
  <si>
    <t>Lesa</t>
  </si>
  <si>
    <t>Kennedy</t>
  </si>
  <si>
    <t>lesa_kennedy@glic.com</t>
  </si>
  <si>
    <t>Guardian Life Insurance</t>
  </si>
  <si>
    <t>Enterprise Methodology Coach</t>
  </si>
  <si>
    <t>3474329075</t>
  </si>
  <si>
    <t>Send follow up on Business Teams needing support for agile implementation.</t>
  </si>
  <si>
    <t>New York</t>
  </si>
  <si>
    <t>Jason</t>
  </si>
  <si>
    <t>Morley</t>
  </si>
  <si>
    <t>jmorley@habitat.org</t>
  </si>
  <si>
    <t>Habitat for Humanity International</t>
  </si>
  <si>
    <t>Director, Business Intelligence</t>
  </si>
  <si>
    <t>4049332885</t>
  </si>
  <si>
    <t>Using Agile to manage work across franchises for H4H.</t>
  </si>
  <si>
    <t>Bharat</t>
  </si>
  <si>
    <t>Shah</t>
  </si>
  <si>
    <t>HCLTech</t>
  </si>
  <si>
    <t>Practice Lead, Agile Transformation and CoE</t>
  </si>
  <si>
    <t>Other: RTE</t>
  </si>
  <si>
    <t>Large 220k global organization. Many areas that do a majority of what we do.</t>
  </si>
  <si>
    <t>Some discussion about pain points and/or LSA solutions;. Seemed to be well covered with a large pool of resources.  Best possible opportunity may be if they need additional resources</t>
  </si>
  <si>
    <t>Rene</t>
  </si>
  <si>
    <t>Watts</t>
  </si>
  <si>
    <t>rene.watts@hcltech.com</t>
  </si>
  <si>
    <t>7206569957</t>
  </si>
  <si>
    <t>Email sent</t>
  </si>
  <si>
    <t>Florida</t>
  </si>
  <si>
    <t>Namrata</t>
  </si>
  <si>
    <t>Datta</t>
  </si>
  <si>
    <t>namrata.d@hcl.com</t>
  </si>
  <si>
    <t>Director , Agile Coach, SPCT candidate</t>
  </si>
  <si>
    <t>6479364342</t>
  </si>
  <si>
    <t>Rasheedat</t>
  </si>
  <si>
    <t>Osei- Acheampchg</t>
  </si>
  <si>
    <t>Sent LinkedIn Invite with Message</t>
  </si>
  <si>
    <t>IBM</t>
  </si>
  <si>
    <t>TSA Project Executive</t>
  </si>
  <si>
    <t>We discussed that we are working to engage with IBM and recently spoke to IBM's small business liaison and there was alignment on how LSA could partner with IBM.  Will likely pull in Rasheedat as needed for further opportuntiies at TSA</t>
  </si>
  <si>
    <t>Some interest and discussion about pain points and/or LSA solution</t>
  </si>
  <si>
    <t>Jed Hadley</t>
  </si>
  <si>
    <t>jed.hadley@ibm.com</t>
  </si>
  <si>
    <t>IBM consulting</t>
  </si>
  <si>
    <t>Daylon</t>
  </si>
  <si>
    <t>Walton</t>
  </si>
  <si>
    <t>daylon.walton@iconagility.com</t>
  </si>
  <si>
    <t>ICON Agility</t>
  </si>
  <si>
    <t>Agile Engagement</t>
  </si>
  <si>
    <t>9728396263</t>
  </si>
  <si>
    <t>Company is an Atlassian Platform Partner</t>
  </si>
  <si>
    <t>Add to Mailing List, Other: Is a lead solution person for ICON agility</t>
  </si>
  <si>
    <t>Sent Initial Email - 23 Oct - Meeting set for Monday 28 Oct</t>
  </si>
  <si>
    <t>Icon Agility Services</t>
  </si>
  <si>
    <t>Enterprise Business Agility Strategist</t>
  </si>
  <si>
    <t>Primarily works in the Fintech space in the commercial industry. Works with several large well-known companies. ￼ Their primary businesses around agile coaching, approximately 99% of their business.</t>
  </si>
  <si>
    <t>Other: Agile coaching</t>
  </si>
  <si>
    <t>Some interest and discussion about pain points and/or LSA solution -  LinkedIn connection  called and left VM to set up meeting to reconnect</t>
  </si>
  <si>
    <t>Dallas</t>
  </si>
  <si>
    <t>Akiyo</t>
  </si>
  <si>
    <t>Urano</t>
  </si>
  <si>
    <t>akiyo.urano@iconatg.com</t>
  </si>
  <si>
    <t>Icon ATG</t>
  </si>
  <si>
    <t>Senior agile coach</t>
  </si>
  <si>
    <t>7039739033</t>
  </si>
  <si>
    <t>Interested in case studies, probably just learning more</t>
  </si>
  <si>
    <t>EMAIL_PARTNER_LOW</t>
  </si>
  <si>
    <t>Alexandra</t>
  </si>
  <si>
    <t>Dudzinska</t>
  </si>
  <si>
    <t>aleksandra.dudzinska@gmail.com</t>
  </si>
  <si>
    <t>Independent</t>
  </si>
  <si>
    <t>PM</t>
  </si>
  <si>
    <t>0031651133749</t>
  </si>
  <si>
    <t>The Netherlands</t>
  </si>
  <si>
    <t>Vijay</t>
  </si>
  <si>
    <t>Reddy</t>
  </si>
  <si>
    <t>vijay.reddy@infosys.com</t>
  </si>
  <si>
    <t>Infosys Limited</t>
  </si>
  <si>
    <t>Enterprise Agile Transformation Coach</t>
  </si>
  <si>
    <t>8474522777</t>
  </si>
  <si>
    <t>Larry gave website analysis for infosys.com…. Says he is also interested in EA services. Got book copy.</t>
  </si>
  <si>
    <t>Needs Technical Data, Send Literature</t>
  </si>
  <si>
    <t>Illinois</t>
  </si>
  <si>
    <t>Doug Parente</t>
  </si>
  <si>
    <t>d.parente@itegratedintelsolutions.com</t>
  </si>
  <si>
    <t>Integrated Intel Solutions</t>
  </si>
  <si>
    <t>Greg Wallace</t>
  </si>
  <si>
    <t>gwallace@inteprosfed.com</t>
  </si>
  <si>
    <t>IntePros Federal</t>
  </si>
  <si>
    <t>Anastrasiia</t>
  </si>
  <si>
    <t>Tyshchenko</t>
  </si>
  <si>
    <t>atyshchenko@jackhenry.com</t>
  </si>
  <si>
    <t>Jack Henry</t>
  </si>
  <si>
    <t>6158017760</t>
  </si>
  <si>
    <t>Was recorded for interview</t>
  </si>
  <si>
    <t>Mark</t>
  </si>
  <si>
    <t>Moskovitz</t>
  </si>
  <si>
    <t>mark.moskovitz@jamf.com</t>
  </si>
  <si>
    <t>Jamf</t>
  </si>
  <si>
    <t>Director, Agile Delivery</t>
  </si>
  <si>
    <t>312-718-6062</t>
  </si>
  <si>
    <t>Other: Jamf</t>
  </si>
  <si>
    <t xml:space="preserve">Security software focused on Mac OS - we used to use this. </t>
  </si>
  <si>
    <t>New Jersey</t>
  </si>
  <si>
    <t>Alan</t>
  </si>
  <si>
    <t>Hammond</t>
  </si>
  <si>
    <t>alan.hammond@chase.com</t>
  </si>
  <si>
    <t>JPMorgan Chase</t>
  </si>
  <si>
    <t>VP Technology</t>
  </si>
  <si>
    <t>6146200281</t>
  </si>
  <si>
    <t>Quick discussion , follow up if possible on Digital Formula , need to learn more about pain points</t>
  </si>
  <si>
    <t>EMAIL_CLIENT_HIGH - Send email asking for follow-up discussion; recapd discussion, especially pain points discussed; attach usual table insert</t>
  </si>
  <si>
    <t>Ohio</t>
  </si>
  <si>
    <t>Brenda</t>
  </si>
  <si>
    <t>Dixon</t>
  </si>
  <si>
    <t>bspatt04@gmail.com</t>
  </si>
  <si>
    <t>Kapitus</t>
  </si>
  <si>
    <t>5712135904</t>
  </si>
  <si>
    <t>Small business lending firm. Excited about the agile/EA combined approach. Excited about assessments</t>
  </si>
  <si>
    <t>Send Literature, Add to Mailing List, Other: Contact</t>
  </si>
  <si>
    <t>sending case studies and reaching out to explore pain points</t>
  </si>
  <si>
    <t>Michael Gerke</t>
  </si>
  <si>
    <t>michael.gerke@l3harris.com</t>
  </si>
  <si>
    <t>L3 Harris</t>
  </si>
  <si>
    <t>Nick</t>
  </si>
  <si>
    <t>Reidy</t>
  </si>
  <si>
    <t>nick.reidy@allegion.com</t>
  </si>
  <si>
    <t>L3Harris</t>
  </si>
  <si>
    <t>Software Manager, Release Train Engineer</t>
  </si>
  <si>
    <t>7196455300</t>
  </si>
  <si>
    <t>Video. Friend of Dani and Shawn.</t>
  </si>
  <si>
    <t>Bruce</t>
  </si>
  <si>
    <t>Nix</t>
  </si>
  <si>
    <t>bruce.nix@nttdata.com</t>
  </si>
  <si>
    <t>Launch by NTT DATA</t>
  </si>
  <si>
    <t>Specialty Client Partner</t>
  </si>
  <si>
    <t>19016056996</t>
  </si>
  <si>
    <t>Email bounced 11/26</t>
  </si>
  <si>
    <t>Gave a book</t>
  </si>
  <si>
    <t>Alabama</t>
  </si>
  <si>
    <t>Josiah</t>
  </si>
  <si>
    <t>smith@josiahsvision.com</t>
  </si>
  <si>
    <t>Learning Tree International</t>
  </si>
  <si>
    <t>Marketing Project Manager</t>
  </si>
  <si>
    <t>3018483510</t>
  </si>
  <si>
    <t>Joseph</t>
  </si>
  <si>
    <t>Marina</t>
  </si>
  <si>
    <t>jmarina@lmi.org</t>
  </si>
  <si>
    <t>LMI</t>
  </si>
  <si>
    <t>Fellow, Agile Coach</t>
  </si>
  <si>
    <t>2107731114</t>
  </si>
  <si>
    <t xml:space="preserve">Larry </t>
  </si>
  <si>
    <t>Other: UX quantification needs , add to linkedin</t>
  </si>
  <si>
    <t>Lauren</t>
  </si>
  <si>
    <t>Chambers</t>
  </si>
  <si>
    <t>lauren.e.chambers@lmco.com</t>
  </si>
  <si>
    <t>Lockheed Martin</t>
  </si>
  <si>
    <t>7203855764</t>
  </si>
  <si>
    <t>Works onsite supporting customers for LM; also was in SAFe gov session</t>
  </si>
  <si>
    <t>Add to Mailing List, Other: Wants slides from Eek</t>
  </si>
  <si>
    <t>Lynn Johnson</t>
  </si>
  <si>
    <t>lynn.johnson@mag.us</t>
  </si>
  <si>
    <t>MAG Aerospace</t>
  </si>
  <si>
    <t>Michelle Hauer</t>
  </si>
  <si>
    <t>mshauer@mt.gov</t>
  </si>
  <si>
    <t>MT DOT</t>
  </si>
  <si>
    <t>Shenandoah Speers</t>
  </si>
  <si>
    <t>shenandoah.speers@nasa.gov</t>
  </si>
  <si>
    <t>NASA</t>
  </si>
  <si>
    <t>Denise</t>
  </si>
  <si>
    <t>Amling</t>
  </si>
  <si>
    <t>denise.t.amling@nasa.gov</t>
  </si>
  <si>
    <t>9493105907</t>
  </si>
  <si>
    <r>
      <t xml:space="preserve">Took the app rat assessment.  Working on beginning stages of a new app inventory system at nasa. Curious if </t>
    </r>
    <r>
      <rPr>
        <b/>
        <sz val="12"/>
        <rFont val="Calibri"/>
        <family val="2"/>
      </rPr>
      <t>alfabet</t>
    </r>
    <r>
      <rPr>
        <sz val="12"/>
        <rFont val="Calibri"/>
        <family val="2"/>
      </rPr>
      <t xml:space="preserve"> is fedramp. Follow up with her.</t>
    </r>
  </si>
  <si>
    <t>Add to Mailing List, Schedule Demo</t>
  </si>
  <si>
    <t>Keith sent email to Denise.</t>
  </si>
  <si>
    <t>Do I need one?</t>
  </si>
  <si>
    <t>Cori</t>
  </si>
  <si>
    <t>Creran</t>
  </si>
  <si>
    <t>cori.creran@nationalgrid.com</t>
  </si>
  <si>
    <t>National Grid</t>
  </si>
  <si>
    <t>Manager, Portfolio Planning</t>
  </si>
  <si>
    <t>603-801-2139</t>
  </si>
  <si>
    <t>See William Leach</t>
  </si>
  <si>
    <t>cc on William email</t>
  </si>
  <si>
    <t>see william</t>
  </si>
  <si>
    <t>New Hampshire</t>
  </si>
  <si>
    <t>William</t>
  </si>
  <si>
    <t>Leach</t>
  </si>
  <si>
    <t>william.leach@nationalgrid.com</t>
  </si>
  <si>
    <t>4806202483</t>
  </si>
  <si>
    <t>Met during LPM workshop day.  Discussed their lean portfolio re-organization approach on the flipchart, and listened to their pain points around getting data from Alfabet.  Discussed that an effective EA should help summarize key data for LPM dev/maintenance activities, and William sent me an email asking for an example of a model-based portfolio canvas</t>
  </si>
  <si>
    <t>EMAIL_CLIENT_CUSTOM - Develop demo assets in ARIS.  Make the messaging easy to consume, e.g., 2page talkbook, follow-up with email and call(s) to get a meeting for next steps.  Cc: Cori, Dani, Christy</t>
  </si>
  <si>
    <t>https://leanscaledarchitects.atlassian.net/browse/PIPE-396</t>
  </si>
  <si>
    <t>Dave</t>
  </si>
  <si>
    <t>Turner</t>
  </si>
  <si>
    <t>david.p.turner.civ@us.navy.mil</t>
  </si>
  <si>
    <t>NAVAIR</t>
  </si>
  <si>
    <t>Release Manager</t>
  </si>
  <si>
    <t>Kurt's iPhone (personal) /Taylor's iPhone (personal)</t>
  </si>
  <si>
    <r>
      <t xml:space="preserve">Replacing Kimberly Wade.  Know each other for a long time.  Needs help with tooling. Retired 26 year marine who retired in 2013.. At China Lake.  From Canton Ohio. (KG)
</t>
    </r>
    <r>
      <rPr>
        <b/>
        <sz val="12"/>
        <color theme="1"/>
        <rFont val="Calibri"/>
        <family val="2"/>
      </rPr>
      <t xml:space="preserve">
</t>
    </r>
  </si>
  <si>
    <r>
      <rPr>
        <b/>
        <sz val="12"/>
        <color theme="1"/>
        <rFont val="Calibri"/>
        <family val="2"/>
      </rPr>
      <t xml:space="preserve">Do not contact at this time, </t>
    </r>
    <r>
      <rPr>
        <sz val="12"/>
        <color theme="1"/>
        <rFont val="Calibri"/>
        <family val="2"/>
      </rPr>
      <t xml:space="preserve">work through chain of command, starting with Kim.
Hot near-term demand / follow-up interest indicated, could lead to opportunities &lt;60 days. 
 Kimberly / Dave will ask for a follow-up meeting on week of Oct 21.   NOTE:  Mike already sent promised case study (automated quads) over LinkedIn
</t>
    </r>
    <r>
      <rPr>
        <b/>
        <sz val="12"/>
        <color theme="1"/>
        <rFont val="Calibri"/>
        <family val="2"/>
      </rPr>
      <t xml:space="preserve">
Mike and Dani had call today (10/23) with Kimberly and Dave to reengage on moving this forward (KG)</t>
    </r>
  </si>
  <si>
    <t>Lindsey</t>
  </si>
  <si>
    <t>Benson</t>
  </si>
  <si>
    <t>lindsey.a.benson2.civ@us.navy.mil</t>
  </si>
  <si>
    <t>RTE</t>
  </si>
  <si>
    <t>760-793-8291</t>
  </si>
  <si>
    <r>
      <rPr>
        <b/>
        <sz val="12"/>
        <rFont val="Calibri"/>
        <family val="2"/>
      </rPr>
      <t xml:space="preserve">Do not contact at this time , </t>
    </r>
    <r>
      <rPr>
        <sz val="12"/>
        <rFont val="Calibri"/>
        <family val="2"/>
      </rPr>
      <t>work through chain of command, starting with Kim</t>
    </r>
  </si>
  <si>
    <t>California</t>
  </si>
  <si>
    <t>Samuel</t>
  </si>
  <si>
    <t>Celestine</t>
  </si>
  <si>
    <t>samuel.r.celestine.civ@us.navy.mil</t>
  </si>
  <si>
    <t>Derouse</t>
  </si>
  <si>
    <t>joshua.m.derousse.civ@us.navy.mil</t>
  </si>
  <si>
    <t>Mission System PM</t>
  </si>
  <si>
    <t>Pierrette</t>
  </si>
  <si>
    <t>Njikang</t>
  </si>
  <si>
    <t>pierrette_njikang@navyfederal.org</t>
  </si>
  <si>
    <t>Navy Federal Credit Union</t>
  </si>
  <si>
    <t>5716511147</t>
  </si>
  <si>
    <t>Likes the EA/Agile approach. Send case studies on GRC, modeling, quads, agile</t>
  </si>
  <si>
    <t>They want to read/talk more about our case studies, specifically Process-Aligned Risk and Compliance Automation, Automated Quads, Agile Assessment and Improvement, Alfabet ITPM (Federated Bank), and Effective Agility.</t>
  </si>
  <si>
    <t>Eva</t>
  </si>
  <si>
    <t>Owusu</t>
  </si>
  <si>
    <t>eva_owusu@navyfederal.org</t>
  </si>
  <si>
    <t>Lead System Analyst</t>
  </si>
  <si>
    <t>5715850177</t>
  </si>
  <si>
    <t>Jessica</t>
  </si>
  <si>
    <t>Crocker</t>
  </si>
  <si>
    <t>jessica_crocker@navyfederal.org</t>
  </si>
  <si>
    <t>5716091755</t>
  </si>
  <si>
    <t>They want to read/talk more about our case studies, specifically Process-Aligned Risk and Compliance Automation, Automated Quads, Agile Assessment and Improvement, Alfabet ITPM (Federated Bank), and Effective Agility. --- Requested LinkedIn Connection - no response to Inmail  - called and left vm to reconnect</t>
  </si>
  <si>
    <t>Sheila</t>
  </si>
  <si>
    <t>Olds</t>
  </si>
  <si>
    <t>solds@newscorp.com</t>
  </si>
  <si>
    <t>News Corp</t>
  </si>
  <si>
    <t>DIRECTOR, ENTERPRISE AGILE COACH</t>
  </si>
  <si>
    <t>704-609-1838</t>
  </si>
  <si>
    <t>North Carolina</t>
  </si>
  <si>
    <t>Pras</t>
  </si>
  <si>
    <t>Khuon</t>
  </si>
  <si>
    <t>prasna.khuon@ngc.com</t>
  </si>
  <si>
    <t>Northrop Grumman</t>
  </si>
  <si>
    <t>6307282488</t>
  </si>
  <si>
    <t>Discussion of some high level LSA services , not sure of interest - collaborate with Dani</t>
  </si>
  <si>
    <t>Suzette</t>
  </si>
  <si>
    <t>Johnson</t>
  </si>
  <si>
    <t>suzette.johnson@ngc.com</t>
  </si>
  <si>
    <t>NG Fellow</t>
  </si>
  <si>
    <t>410-746-7987</t>
  </si>
  <si>
    <t>Taylor - work with Dani to discuss this need with Suzette</t>
  </si>
  <si>
    <t>Reading between the lines, they need some process modeling/intelligence work too -   LinkedIn connection - sent in mail - no response. --called and left VM to set up meeting to reconnect</t>
  </si>
  <si>
    <t>Takenori</t>
  </si>
  <si>
    <t>Osada</t>
  </si>
  <si>
    <t>takenori.osada@nttdata.com</t>
  </si>
  <si>
    <t>NTT DATA Japan Corporation</t>
  </si>
  <si>
    <t>Tecnical Grade</t>
  </si>
  <si>
    <t>+818020151828</t>
  </si>
  <si>
    <t>Was in interview</t>
  </si>
  <si>
    <t>Japan</t>
  </si>
  <si>
    <t>Ajay Vohra</t>
  </si>
  <si>
    <t>ajvohra0!@gmail.com</t>
  </si>
  <si>
    <t>OCC</t>
  </si>
  <si>
    <t>Alyssa</t>
  </si>
  <si>
    <t>Catalano</t>
  </si>
  <si>
    <t>alyssa.catalano@panasonic.aero</t>
  </si>
  <si>
    <t>Panasonic Avionics</t>
  </si>
  <si>
    <t>Director -Project Management</t>
  </si>
  <si>
    <t>949-690-8070</t>
  </si>
  <si>
    <t>Met at lunch on LPM workshop day.  Panasonic , developing entertainment systems for aircraft , got a few ARTs, leadership not getting agile , competing “frameworks”, software dev using it … advised on improving principle 7 &amp; showing success in key areas, and making it less about frameworks and more about outcomes and results ..</t>
  </si>
  <si>
    <t>EMAIL_CLIENT_CUSTOM - Send the same LPM 2-page talkbook (National Grid)  to Alyssa and see if that helps spark discussion around Panasonic pain points ; insert usual links table</t>
  </si>
  <si>
    <t>Dan Palmer</t>
  </si>
  <si>
    <t>dan.palmer@paradyme.us</t>
  </si>
  <si>
    <t>Paradyme</t>
  </si>
  <si>
    <t>Friedman</t>
  </si>
  <si>
    <t>bfriedman@peraton.com</t>
  </si>
  <si>
    <t>Peraton</t>
  </si>
  <si>
    <t>Other: Retired but teaches safe courses for Peraton</t>
  </si>
  <si>
    <t>Said Peraton is engaged with a lot of different government contracting work. He lives in Reston Virginia and said that they are doing work with NASA and Army. I will need to get a further contact to be able to connect and get a stronger lead.</t>
  </si>
  <si>
    <t>Other: Said he could connect me to other contacts</t>
  </si>
  <si>
    <t>Some discussion about pain points and/or LSA solution.  He really couldn't speak to what else we could help Peraton with but he may be a possible connection on helping with connecting us to Peraton as a way into the Missile Defense Agency.</t>
  </si>
  <si>
    <t>Catherine</t>
  </si>
  <si>
    <t>Yeagle</t>
  </si>
  <si>
    <t>cdyeagle@gmail.com</t>
  </si>
  <si>
    <t>Phaedon</t>
  </si>
  <si>
    <t>Product Manager / Owner</t>
  </si>
  <si>
    <t>5713315860</t>
  </si>
  <si>
    <t>Other: Agile Practitioner</t>
  </si>
  <si>
    <t xml:space="preserve">Spoke about company phaedon and they are using agile, so may be more of a potential for partnership/teaming later on work.  </t>
  </si>
  <si>
    <t>Henry</t>
  </si>
  <si>
    <t>Jiang</t>
  </si>
  <si>
    <t>anke.jiang@plus3it.com</t>
  </si>
  <si>
    <t>Plus3 IT Solutions</t>
  </si>
  <si>
    <t>2024688285</t>
  </si>
  <si>
    <t>Todd</t>
  </si>
  <si>
    <t>Sheridan</t>
  </si>
  <si>
    <t>todd.sheridan@pnc.com</t>
  </si>
  <si>
    <t>PNC Bank</t>
  </si>
  <si>
    <t>Senior Agile Coach</t>
  </si>
  <si>
    <t>720-454-6342</t>
  </si>
  <si>
    <t>Little initial interest, but Mike to coordinate other contacts / angles in a response with Christy</t>
  </si>
  <si>
    <t>Sent Initial Email - 23 Oct - requested LinkedIn connection - no response, called and left VM to set up meeting to reconnect</t>
  </si>
  <si>
    <t>Presutti</t>
  </si>
  <si>
    <t>kenneth.presutti@pnc.com</t>
  </si>
  <si>
    <t>Coach</t>
  </si>
  <si>
    <t>Other: Agile Coach</t>
  </si>
  <si>
    <t>He works for  PNC as an RTE and offered to help make connections.  I mentioned we also have someone who has contacts at PNC but welcome any additional information</t>
  </si>
  <si>
    <t>Some interest and discussion about pain points and/or LSA solution.  Connect with him to try to get further connection and discussions at PNC.</t>
  </si>
  <si>
    <t>+14124070402</t>
  </si>
  <si>
    <t>Harold</t>
  </si>
  <si>
    <t>Wagner</t>
  </si>
  <si>
    <t>harold.wagner@cprime.com</t>
  </si>
  <si>
    <t>Process Velocity, Inc.</t>
  </si>
  <si>
    <t>Principal Consultant</t>
  </si>
  <si>
    <t>4693521366</t>
  </si>
  <si>
    <t>Keith</t>
  </si>
  <si>
    <t>Other: SPC  independent</t>
  </si>
  <si>
    <t>Was interested in our solutions overall. Independent safe trainer spc. Looking just to see how different companies can help on his projects when needed.</t>
  </si>
  <si>
    <t>Angela</t>
  </si>
  <si>
    <t>Campbell</t>
  </si>
  <si>
    <t>angela.campbell@progress.com</t>
  </si>
  <si>
    <t>Progress Software</t>
  </si>
  <si>
    <t>Senior Director of Transformation</t>
  </si>
  <si>
    <t>6035828980</t>
  </si>
  <si>
    <t>Needs Technical Data, Add to Mailing List</t>
  </si>
  <si>
    <t>Progress Software Corporation is an American public company that produces software for creating and deploying business applications. Founded in Burlington, Massachusetts with offices in 16 countries, the company posted revenues of $531.3 million in 2021 and employs approximately 2100 people.
Send general TEMPLATE_CUSTOMER_HIGH (4/5 template) with LPM talkbook pdf
Send draft to Mike/Dani for feedback</t>
  </si>
  <si>
    <t>Massachusetts</t>
  </si>
  <si>
    <t>Kimberly</t>
  </si>
  <si>
    <t>Bogden</t>
  </si>
  <si>
    <t>bogden_kim@hotmail.com</t>
  </si>
  <si>
    <t>Prudential</t>
  </si>
  <si>
    <t>Lead, Scrum Master</t>
  </si>
  <si>
    <t>908-468-9585</t>
  </si>
  <si>
    <t>Other: Just chatting about their already mature ARTs</t>
  </si>
  <si>
    <t>Seemed to have an answer for everything , didn’t need help …?</t>
  </si>
  <si>
    <t>Add to Mailing List, Other: AD</t>
  </si>
  <si>
    <t>Melody</t>
  </si>
  <si>
    <t>Gil</t>
  </si>
  <si>
    <t>melody.gil@prudential.com</t>
  </si>
  <si>
    <t>+12019605202</t>
  </si>
  <si>
    <t>Donald</t>
  </si>
  <si>
    <t>Brown</t>
  </si>
  <si>
    <t>donald.brown@prudential.com</t>
  </si>
  <si>
    <t>Prudential Financial</t>
  </si>
  <si>
    <t>862-703-6566</t>
  </si>
  <si>
    <t>Gave copy of robins book. He is heavily focused on devops.  Mike thought he was just curious and fishing for a job.</t>
  </si>
  <si>
    <t>Pennsylvania</t>
  </si>
  <si>
    <t>James</t>
  </si>
  <si>
    <t>Sessions</t>
  </si>
  <si>
    <t>james.sessions01@gmail.com</t>
  </si>
  <si>
    <t>Director, Release Train Engineer</t>
  </si>
  <si>
    <t>609-221-1863</t>
  </si>
  <si>
    <t>Melissa</t>
  </si>
  <si>
    <t>Grupp</t>
  </si>
  <si>
    <t>mrsmelissagrupp@gmail.com</t>
  </si>
  <si>
    <t>PULSE</t>
  </si>
  <si>
    <t>Senior Manager Product Owner</t>
  </si>
  <si>
    <t>4074060324</t>
  </si>
  <si>
    <t>Kavitha</t>
  </si>
  <si>
    <t>Paramathmuni</t>
  </si>
  <si>
    <t>kavitarajeev@gmail.com</t>
  </si>
  <si>
    <t>Radus Software</t>
  </si>
  <si>
    <t>603-320-6703</t>
  </si>
  <si>
    <t>Connected / NDA in Place</t>
  </si>
  <si>
    <t>Other: L</t>
  </si>
  <si>
    <t>Grabbed case studies.  Possible partner discussions.  Collaborate with Kurt on a meeting</t>
  </si>
  <si>
    <t>John</t>
  </si>
  <si>
    <t>Simmons</t>
  </si>
  <si>
    <t>john.simmons@radussoftware.com</t>
  </si>
  <si>
    <t>Radus Software LLC</t>
  </si>
  <si>
    <t>Director Business Development</t>
  </si>
  <si>
    <t>7039661562</t>
  </si>
  <si>
    <t>Gave a book.  Possible partner discussions.  Collaborate with Kurt on a meeting</t>
  </si>
  <si>
    <t>Cynthia</t>
  </si>
  <si>
    <t>Thomas</t>
  </si>
  <si>
    <t>sweetlorraine82@gmail.com</t>
  </si>
  <si>
    <t>SAIC</t>
  </si>
  <si>
    <t>Program Analyst Sr Principal</t>
  </si>
  <si>
    <t>5043881158</t>
  </si>
  <si>
    <t>Other: Na</t>
  </si>
  <si>
    <t>Louisiana</t>
  </si>
  <si>
    <t>Hogan</t>
  </si>
  <si>
    <t>jimmy.hogan@gmail.com</t>
  </si>
  <si>
    <t>Samtec</t>
  </si>
  <si>
    <t>Director of R&amp;D</t>
  </si>
  <si>
    <t>8033512796</t>
  </si>
  <si>
    <t>Casual interest. Keep in email list.</t>
  </si>
  <si>
    <t>send AFRL, R&amp;D experience related template TEMPLATE_CLIENT_HIGH and attach LPM talkbook pdf</t>
  </si>
  <si>
    <t>South Carolina</t>
  </si>
  <si>
    <t>Gerd</t>
  </si>
  <si>
    <t>Wessling</t>
  </si>
  <si>
    <t>gerd.wessling@scagilize.de</t>
  </si>
  <si>
    <t>Scagilize GmbH</t>
  </si>
  <si>
    <t>Founder &amp; Managing Director</t>
  </si>
  <si>
    <t>+491704445773</t>
  </si>
  <si>
    <t>Christy's iPhone (personal) / Kurt's Iphone (personal)</t>
  </si>
  <si>
    <t>Wants to do LinkedIn posts with content. Owner of the company.  Interested in expanding his operations globally.  He wanted our slides from Eek Monsters presentation and was to tag us in a linked in post</t>
  </si>
  <si>
    <t>Other: Send slides
Wants to expand globally with his agile operations. Based in Germany</t>
  </si>
  <si>
    <t>EMAIL_PARTNER_HIGH: Send email asking for follow-up discussion.  Dani sent Gerd our slides and Gerd included us in a LinkedIn post.  Seemed very interested in what we do and is interested in expanding his operations gloally.  Let's connect on how we can get inserted into the  expansion plan. -  is going to do the outreach. Dani sent the EEK slides to him and he is looking to expand his operations globally using LSA as a partner (KG)- Sent Email and have meeting set for Thursday morning for initial touch point- good initial meeting - Gerd will reach out to set up meeting in next few weeks to follow up and continue establishing networking opporotunities. ( https://www.scagilize.de/en-gb). -- connected on LinkedIn and sent inmail touchpoint to see how things are going and see about a follow up meeting.</t>
  </si>
  <si>
    <t>Germany</t>
  </si>
  <si>
    <t>Tom</t>
  </si>
  <si>
    <t>Hashem</t>
  </si>
  <si>
    <t>tom.hashem@seekquality.net</t>
  </si>
  <si>
    <t>Seek Quality, LLC</t>
  </si>
  <si>
    <t>8649401447</t>
  </si>
  <si>
    <t>Fred</t>
  </si>
  <si>
    <t>Champlain</t>
  </si>
  <si>
    <t>frederic.champlain@servicenow.com</t>
  </si>
  <si>
    <t>Service Now</t>
  </si>
  <si>
    <t>Agile Evangelist SPM BU</t>
  </si>
  <si>
    <t>Kurt's iPhone (personal) / Mike's iPhone (personal)</t>
  </si>
  <si>
    <t>Craig / Mike</t>
  </si>
  <si>
    <t>The service now Team stopped by. They wanted to look at their EA tool that they just released and use in our portfolio management element of it along with service now. Very interested in what we have to offer. They said they’ll stop back by later (KG) 
Works with With dan wood at snow … connect with both about EA (MI)</t>
  </si>
  <si>
    <r>
      <rPr>
        <b/>
        <sz val="12"/>
        <color theme="1"/>
        <rFont val="Calibri"/>
        <family val="2"/>
      </rPr>
      <t>Schedule Demo</t>
    </r>
    <r>
      <rPr>
        <sz val="12"/>
        <color theme="1"/>
        <rFont val="Calibri"/>
        <family val="2"/>
      </rPr>
      <t xml:space="preserve">
Needs Technical Data, Send Literature, Add to Mailing List, Current Customer, Schedule Demo</t>
    </r>
  </si>
  <si>
    <t>EMAIL_PARTNER_HIGH: Send email asking for follow-up discussion.  Schedule a demo and have Craig do a demo on how we can show EA capabilities.  Include Mike, Craig, Kurt</t>
  </si>
  <si>
    <t>Janeen</t>
  </si>
  <si>
    <t>Osselborn</t>
  </si>
  <si>
    <t>janeen.osselborn@servicenow.com</t>
  </si>
  <si>
    <t>ServiceNow</t>
  </si>
  <si>
    <t>Advisory Solution Consultant</t>
  </si>
  <si>
    <t>Craig</t>
  </si>
  <si>
    <t>The service now Team stopped by. They wanted to look at their EA told that they just released and use in SPM portfolio management element of it along with service now. Very interested in what we have to offer. They said they’ll stop back by later.</t>
  </si>
  <si>
    <t>Needs Technical Data, Send Literature, Add to Mailing List, Current Customer, Schedule Demo</t>
  </si>
  <si>
    <r>
      <t xml:space="preserve">EMAIL_PARTNER_HIGH: Send email asking for follow-up discussion. See Fred Champlain. </t>
    </r>
    <r>
      <rPr>
        <b/>
        <sz val="12"/>
        <rFont val="Calibri"/>
        <family val="2"/>
      </rPr>
      <t>Sent email to reach out about a follow-on call.  Waiting on her response and plan to follow-up Monday (10/28 if no response (KG)</t>
    </r>
  </si>
  <si>
    <t>Nelson</t>
  </si>
  <si>
    <t>de la Cruz</t>
  </si>
  <si>
    <t>nelson.delacruz@softwareag.com</t>
  </si>
  <si>
    <t>SoftwareAG</t>
  </si>
  <si>
    <t>Video entry</t>
  </si>
  <si>
    <t>Amita</t>
  </si>
  <si>
    <t>Koduru</t>
  </si>
  <si>
    <t>amitarao@yahoo.com</t>
  </si>
  <si>
    <t>Synchrony Financial</t>
  </si>
  <si>
    <t>77-8265345</t>
  </si>
  <si>
    <t>Sergio</t>
  </si>
  <si>
    <t>Reyes</t>
  </si>
  <si>
    <t>sreyes@tantustech.com</t>
  </si>
  <si>
    <t>Tantus Technologies, Inc.</t>
  </si>
  <si>
    <t>Deputy Program Manager</t>
  </si>
  <si>
    <t>2024927725</t>
  </si>
  <si>
    <t>Curtis</t>
  </si>
  <si>
    <t>Yee</t>
  </si>
  <si>
    <t>curtis.yee@td.com</t>
  </si>
  <si>
    <t>TD Bank</t>
  </si>
  <si>
    <t>Associate Vice President</t>
  </si>
  <si>
    <t>416-508-0249</t>
  </si>
  <si>
    <t xml:space="preserve">Messaging around GRC / compliance </t>
  </si>
  <si>
    <t>Marco</t>
  </si>
  <si>
    <t>Guerrero</t>
  </si>
  <si>
    <t>TecVeris</t>
  </si>
  <si>
    <t>Director, Tooling Solutions</t>
  </si>
  <si>
    <t>5128297440</t>
  </si>
  <si>
    <t>Looking for federal partners.  Taylor and Kurt saw the demo of their nVeris tool that can use AI to quickly layout the business process for agencies quickly and then you can have real time interaction online with others in the org to make sure the process is fully captured</t>
  </si>
  <si>
    <t>Reaching out to establish a partering relationship</t>
  </si>
  <si>
    <t>Millie</t>
  </si>
  <si>
    <t>Paniccia</t>
  </si>
  <si>
    <t>millie.paniccia@tecveris.com</t>
  </si>
  <si>
    <t>Co-Founder &amp; Managing Partner</t>
  </si>
  <si>
    <t>4438037180</t>
  </si>
  <si>
    <t>Looking for federal partners</t>
  </si>
  <si>
    <t>Marguerite Bryan</t>
  </si>
  <si>
    <t>mbryan@theagiletrust.com</t>
  </si>
  <si>
    <t>The Agile Trust</t>
  </si>
  <si>
    <t>Srinivasa</t>
  </si>
  <si>
    <t>Kasturi</t>
  </si>
  <si>
    <t>skasturi@worldbank.org</t>
  </si>
  <si>
    <t>The World Bank Group</t>
  </si>
  <si>
    <t>Senior Information Security Officer</t>
  </si>
  <si>
    <t>5714369070</t>
  </si>
  <si>
    <t>Interested in what secure UX is. Larry talked with him a bit. Gave him copy of book. Curious on how to do the UX research; liked the templates in the book. Question asked about ‘how do we get the developer to think about how a system can be abused/hacked during the design.’ Done through task flow analysis. Help them understand why they are doing it.</t>
  </si>
  <si>
    <t>Needs Technical Data, Schedule Demo</t>
  </si>
  <si>
    <t>Rebecca</t>
  </si>
  <si>
    <t>Stone</t>
  </si>
  <si>
    <t>rstone@tistatech.com</t>
  </si>
  <si>
    <t>TISTA Science &amp; Technology Corporation</t>
  </si>
  <si>
    <t>Human Centered Design (HCD) – Agile Adoption Coach</t>
  </si>
  <si>
    <t>(580) 235-7410</t>
  </si>
  <si>
    <t>Gave her a book</t>
  </si>
  <si>
    <t>Other: Connect on linkedin</t>
  </si>
  <si>
    <t>Nina</t>
  </si>
  <si>
    <t>Chavez</t>
  </si>
  <si>
    <t>nina.chavez@TSPi.net</t>
  </si>
  <si>
    <t>TSPi</t>
  </si>
  <si>
    <t>970 9803825</t>
  </si>
  <si>
    <t>Met her via Mike White.  Works at TSPi. They are focused on digital transformation, IT modernization, cloud and low, no code platform development, agile development, and DFS ops, data science, human centered design and user experience, robotic process automation, cyber security, geographic information system development. They are currently on the GSA-MAS schedule,  the CIO – SP3, USDA FPAC conservation software delivery services, NASA SEWP five, Seaport NXG, FAA eFast ￼</t>
  </si>
  <si>
    <t>EMAIL_PARTNER_HIGH: Send email asking for follow-up discussion; emphasize.  Possible connection with us being able to partner with them on opportunites that require cybersecurity, noc-ode/low-code expertise</t>
  </si>
  <si>
    <t>970 402 2951</t>
  </si>
  <si>
    <t>Loveland</t>
  </si>
  <si>
    <t>CO</t>
  </si>
  <si>
    <t>Jesse</t>
  </si>
  <si>
    <t>jesse.johnson@TSPi.net</t>
  </si>
  <si>
    <t>Works as an RTE at TSPi.  Mike White introduced me via Nina Chavez who also works there. Mainly focused on app development.</t>
  </si>
  <si>
    <t>See Nina Chavez</t>
  </si>
  <si>
    <t>540 338 5150</t>
  </si>
  <si>
    <t>Winchester</t>
  </si>
  <si>
    <t>VA</t>
  </si>
  <si>
    <t>Timothy</t>
  </si>
  <si>
    <t>Worley</t>
  </si>
  <si>
    <t>tworley@twilio.com</t>
  </si>
  <si>
    <t>Twilio</t>
  </si>
  <si>
    <t>Principal Technical Program Manager</t>
  </si>
  <si>
    <t>2106870800</t>
  </si>
  <si>
    <t>Very interested in learning more about our service details to help improve twilio scaled agile adoption</t>
  </si>
  <si>
    <t>Send Literature, Add to Mailing List, Schedule Demo</t>
  </si>
  <si>
    <t>Talk to Dani about pain points relevant for this lead - template for those who want scaled agile implementation and LSA's services</t>
  </si>
  <si>
    <t>Amber</t>
  </si>
  <si>
    <t>O Grady</t>
  </si>
  <si>
    <t>US Air Force</t>
  </si>
  <si>
    <t>Amber and 3 other team members stopped by the booth.  The work at Wright-Patterson in the Financial Management Division.  They would be good to follow-up with.  Mike mentioned the work we have done with Navy FMP and they seemed interested to learn more.</t>
  </si>
  <si>
    <r>
      <t>Some interest and discussion about pain points and/or LSA solution. Setup a call to follow-up on their needs in finance at WPAFB and uncover more ways we can possibly engage.</t>
    </r>
    <r>
      <rPr>
        <b/>
        <sz val="12"/>
        <rFont val="Calibri"/>
        <family val="2"/>
      </rPr>
      <t xml:space="preserve"> Sent email to reach out about a follow-on call.  Waiting on her response and plan to follow-up Monday (10/28 if no response (KG)</t>
    </r>
  </si>
  <si>
    <t>Cortez</t>
  </si>
  <si>
    <t>bonnie.cortez@usaa.com</t>
  </si>
  <si>
    <t>USAA</t>
  </si>
  <si>
    <t>Product Owner Senior</t>
  </si>
  <si>
    <t>2104780015</t>
  </si>
  <si>
    <t>See jorge garcia</t>
  </si>
  <si>
    <t>cc: on email to Jorge</t>
  </si>
  <si>
    <t>Jorge</t>
  </si>
  <si>
    <t>Garcia</t>
  </si>
  <si>
    <t>jorge.garcia1@usaa.com</t>
  </si>
  <si>
    <t>Program Manager Lead/RTE</t>
  </si>
  <si>
    <t>210-771-4845</t>
  </si>
  <si>
    <t>Discussed our involvement with ARIS GRC effort at USAA; they recognized the value and said it is still in use.  They were in a hurry.  Need more discussion to discover pain points / sell vectors</t>
  </si>
  <si>
    <t>EMAIL_CLIENT_CUSTOM - Send the same LPM 2-page talkbook (National Grid) ; recap our discussion about ARIS and other tools can help integrate  business / IT EA data to help with ompliance, better solution designs and summarized into a Lean Portfolio Canvas.  cc: Bonnie Cortez</t>
  </si>
  <si>
    <t>Bernadette Wile</t>
  </si>
  <si>
    <t>bernadette.wile@us.af.mil</t>
  </si>
  <si>
    <t>USAF</t>
  </si>
  <si>
    <t>Justin Brogden</t>
  </si>
  <si>
    <t>justin.brogden.l@us.af.mil</t>
  </si>
  <si>
    <t>Justin</t>
  </si>
  <si>
    <t>Brogden</t>
  </si>
  <si>
    <t>Justin and 3 other team members stopped by the booth.  The work at Wright-Patterson in the Financial Management Division.  They would be good to follow-up with.  Mike mentioned the work we have done with Navy FMP and they seemed interested to learn more.</t>
  </si>
  <si>
    <t>See Amber O'Grady</t>
  </si>
  <si>
    <t>WPAFB</t>
  </si>
  <si>
    <t>OH</t>
  </si>
  <si>
    <t>Sarah Hubert</t>
  </si>
  <si>
    <t>sarah.hubert.l@us.af.mil</t>
  </si>
  <si>
    <t>USAF finance</t>
  </si>
  <si>
    <t>Amber O'Grady</t>
  </si>
  <si>
    <t>amber.ogrady.3@us.af.mil</t>
  </si>
  <si>
    <t>USAF financial ERP</t>
  </si>
  <si>
    <t>Raymond Gandioneo</t>
  </si>
  <si>
    <t>raymond.gandioneo@gmail.com</t>
  </si>
  <si>
    <t>USCIS</t>
  </si>
  <si>
    <t>Mike Jenkins</t>
  </si>
  <si>
    <t>mjenkins@versagilitytechnologies.com</t>
  </si>
  <si>
    <t>Versagility Technologies</t>
  </si>
  <si>
    <t>Fromowitz</t>
  </si>
  <si>
    <t>mfromowitz@websterbank.com</t>
  </si>
  <si>
    <t>Webster Bank</t>
  </si>
  <si>
    <t>Managing Director</t>
  </si>
  <si>
    <t>2036104963</t>
  </si>
  <si>
    <t>Agile + GRC messaging</t>
  </si>
  <si>
    <t>Neha</t>
  </si>
  <si>
    <t>ngupta@websterbank.com</t>
  </si>
  <si>
    <t>Director Scrum Master</t>
  </si>
  <si>
    <t>484 6868704</t>
  </si>
  <si>
    <t>Liz Bush</t>
  </si>
  <si>
    <t>elizabeth.bush@etf.wi.gov</t>
  </si>
  <si>
    <t>WI Dept of Employee Trust Funds</t>
  </si>
  <si>
    <t>Carley LeMahien</t>
  </si>
  <si>
    <t>cmlemahien@gmail.com</t>
  </si>
  <si>
    <t>Christina Handley</t>
  </si>
  <si>
    <t>christinahandley@gmail.com</t>
  </si>
  <si>
    <t>Yiran Guan</t>
  </si>
  <si>
    <t>yiran105@gmail.com</t>
  </si>
  <si>
    <t>Sonya Garcia</t>
  </si>
  <si>
    <t>sonya.garcia@gdit.com</t>
  </si>
  <si>
    <t>EMAIL_PARTNER_HIGH: Send email asking for follow-up discussion.  Dani sent Gerd our slides and Gerd included us in a LinkedIn post.  Seemed very interested in what we do and is interested in expanding his operations gloally.  Let's connect on how we can get inserted into the  expansion plan. -  is going to do the outreach. Dani sent the EEK slides to him and he is looking to expand his operations globally using LSA as a partner (KG)- Sent Email and have meeting set for Thursday morning for initial touch point- good initial meeting - Gerd will reach out to set up meeting in next few weeks to follow up and continue establishing networking opporotunities. ( https://www.scagilize.de/en-gb)</t>
  </si>
  <si>
    <t>Reading between the lines, they need some process modeling/intelligence work too</t>
  </si>
  <si>
    <t>Paul</t>
  </si>
  <si>
    <t>Gattis</t>
  </si>
  <si>
    <t>Bad email address.  Sent a LinkedIn Connection</t>
  </si>
  <si>
    <t>AFSC/SWTP</t>
  </si>
  <si>
    <t>He is a engineer for a software development department that they stood up. He’s looking to see about the various enterprise architecture and understanding how they’re spending on their IT investments. Also looking at helping to understand more about how they can potentially get the organization to more standardize around the actual way of doing business.￼</t>
  </si>
  <si>
    <t>Needs Technical Data, Send Literature, Add to Mailing List</t>
  </si>
  <si>
    <r>
      <t>EMAIL_PARTNER_HIGH: Send email asking for follow-up discussion. Setup a follow-on conversation to help him assess a possible path forward and help the organization with stremlining their SDLC operations and bringing standardized approach to AFSC. 10/21:  Sent a LinkedIn Connection since his email address bounced.</t>
    </r>
    <r>
      <rPr>
        <b/>
        <sz val="12"/>
        <color theme="1"/>
        <rFont val="Calibri"/>
        <family val="2"/>
      </rPr>
      <t xml:space="preserve">  Waiting on a reply but will follow-up on 10/28 if no response.</t>
    </r>
  </si>
  <si>
    <t>Tanzeen</t>
  </si>
  <si>
    <t>Noori</t>
  </si>
  <si>
    <t>No contact info found</t>
  </si>
  <si>
    <t>Publicis Sapient</t>
  </si>
  <si>
    <t>Senior Manager</t>
  </si>
  <si>
    <t>They do a lot of similar things we do.  Large company with over 25k employees. Digital transformation firm.  AWS, Google. Microsoft partner.  They are working on getting Atlassian partnership.  She is an Atlassian SME.</t>
  </si>
  <si>
    <t>Some interest and discussion about pain points and/or LSA solution.  Keith and I can work to connect with them and offer the ability to leverage our Atlassian Partnership and collaborate on some work together.</t>
  </si>
  <si>
    <t>Works onsite supporting customers for LM.</t>
  </si>
  <si>
    <t>Tobias</t>
  </si>
  <si>
    <t>Schoenhaar</t>
  </si>
  <si>
    <t>bad email address sent LinkedIn Ivite</t>
  </si>
  <si>
    <t>Fast Lane</t>
  </si>
  <si>
    <t>Focused on Training mostly. About 4K employeees. Provide top-notch training and consultancy in diverse domains, from cloud computing and AI to cybersecurity and software development. Fast Lane's holistic approach covers wireless, mobility, modern workplace strategies, leadership skills, IT, and project management, solidifying its position as a global leader in the industry.</t>
  </si>
  <si>
    <t>Some discussion about pain points and/or LSA solutions.  They cover a lot of various trainings but we may be able to add the SNOW, Software AG, Atlassian supplemental training as an option</t>
  </si>
  <si>
    <t>Lauren Chambers</t>
  </si>
  <si>
    <t>Ashley</t>
  </si>
  <si>
    <t>Name</t>
  </si>
  <si>
    <t>Scaled Agile Partner</t>
  </si>
  <si>
    <t>Summit Sponsor?</t>
  </si>
  <si>
    <t>Met Before?</t>
  </si>
  <si>
    <t>In Hubspot</t>
  </si>
  <si>
    <t>LSA Assigned POC</t>
  </si>
  <si>
    <t>Status on OutReach - Kurt email</t>
  </si>
  <si>
    <t>Status on OutReach -  app</t>
  </si>
  <si>
    <t>Intro text</t>
  </si>
  <si>
    <t>Notes</t>
  </si>
  <si>
    <t>76 SWEG/ 558 CL</t>
  </si>
  <si>
    <t>76 SWEG/ 558 MXDPA</t>
  </si>
  <si>
    <t>76 SWEG/ 558 MXDPB</t>
  </si>
  <si>
    <t>Computer Scientist/Product Manager</t>
  </si>
  <si>
    <t>76 SWEG/ 558 MXDPC</t>
  </si>
  <si>
    <t>Lead Acquisition Program Manager</t>
  </si>
  <si>
    <t>76th Software Engineering Group (76 SWEG)</t>
  </si>
  <si>
    <t>Industrial Engineer</t>
  </si>
  <si>
    <t>Acato Information Management, LLC</t>
  </si>
  <si>
    <t>Accenture Federal Services</t>
  </si>
  <si>
    <t>SAFe SPCT</t>
  </si>
  <si>
    <t>Global SPCT</t>
  </si>
  <si>
    <t>Email Sent</t>
  </si>
  <si>
    <t>Sent</t>
  </si>
  <si>
    <t>Hello Shawn. I wanted to follow up on my previous email regarding potential opportunities to connect at the SAFe Summit. LSA Digital specializes in agility-at-scale + EA + ITSM solutions, and we’re keen to explore ways to collaborate or partner with Accenture to enhance process maturity and compliance adoption.
Looking forward to hearing from you and hopefully discussing potential synergies at the Summit!</t>
  </si>
  <si>
    <t>Chris Palmisano
David Sanvar
Erica Stevens
Nicole Koonce
Mr Scott Frost
Shelagh Worfolk
STEVE "ACE" LEE</t>
  </si>
  <si>
    <t>Accenture Federal Services (AFS)</t>
  </si>
  <si>
    <t>SAFe Fellow SPCT</t>
  </si>
  <si>
    <t xml:space="preserve">
Shawn Lowe
</t>
  </si>
  <si>
    <t>Adaptavist</t>
  </si>
  <si>
    <t>VP Enterprise Agility</t>
  </si>
  <si>
    <t>Gold</t>
  </si>
  <si>
    <t>Hello Jean. I wanted to follow up on my previous email regarding potential opportunities to connect at the SAFe Summit. LSA Digital specializes in agility-at-scale + EA + ITSM solutions, and we’re eager to explore ways to collaborate or partner with Adaptavist to enhance process maturity and compliance adoption.
Looking forward to hearing from you and hopefully discussing potential synergies at the Summit!</t>
  </si>
  <si>
    <t xml:space="preserve">Cassandra Moll
Jean Henson
Lorenzo aluzzi
Peter Kerigan
Tina Behers
Vanessa Finnie
</t>
  </si>
  <si>
    <t>Adaptworks</t>
  </si>
  <si>
    <t>Chief Learning Officer</t>
  </si>
  <si>
    <t>Connected / Sent</t>
  </si>
  <si>
    <t>Hello Roberto. I wanted to follow up on my previous email regarding potential opportunities to connect at the SAFe Summit. LSA Digital specializes in agility-at-scale + EA + ITSM solutions, and we’re eager to explore ways to collaborate or partner with Adaptworks to enhance process maturity and compliance adoption.
Looking forward to hearing from you and hopefully discussing potential synergies at the Summit!</t>
  </si>
  <si>
    <t>Roberto Baptista, PhD</t>
  </si>
  <si>
    <t>Advance Agility</t>
  </si>
  <si>
    <t>SAFe Coach - SPCT</t>
  </si>
  <si>
    <t>Platinum SPCT</t>
  </si>
  <si>
    <t>Aedifides LLC</t>
  </si>
  <si>
    <t>Founder</t>
  </si>
  <si>
    <t>Electronics Engineer</t>
  </si>
  <si>
    <t>Agile Agilist</t>
  </si>
  <si>
    <t>VP Transformation</t>
  </si>
  <si>
    <t>Agile Big Picture</t>
  </si>
  <si>
    <t>Consultant, SPCT, SAFe Fellow</t>
  </si>
  <si>
    <t>Agile Hive</t>
  </si>
  <si>
    <t>Sales Consultant</t>
  </si>
  <si>
    <t>Platform</t>
  </si>
  <si>
    <t xml:space="preserve"> I wanted to freach out about potential opportunities to connect at the SAFe Summit. LSA Digital, like Agile Hive, is an Atlassian partner specializing in agility-at-scale + EA + ITSM solutions, and we see great potential for collaboration. We’d love to explore how our Agile transformation and enterprise architecture capabilities can complement your offerings to drive even greater value for clients.</t>
  </si>
  <si>
    <t>Daniel Roller
Janik Röhler
Joshua Brock
Mr. Thomas Kretzer
Veline Schroth</t>
  </si>
  <si>
    <t>Agile Rising</t>
  </si>
  <si>
    <t>CEO, SPCT</t>
  </si>
  <si>
    <t>Gold SPCT</t>
  </si>
  <si>
    <t>I’m reaching out regarding potential opportunities to connect at the SAFe Summit. LSA Digital specializes in agility-at-scale + EA + ITSM solutions, and we see strong potential for collaboration with Agile Rising, given your expertise in enterprise agility and SAFe transformation. We’d love to explore how our Agile transformation and enterprise architecture capabilities can complement your offerings to drive greater value for clients.</t>
  </si>
  <si>
    <t>Chrstopher Ruch</t>
  </si>
  <si>
    <t>Transformation Coach</t>
  </si>
  <si>
    <t>Silver</t>
  </si>
  <si>
    <t>I’m reaching out regarding potential opportunities to connect at the SAFe Summit. LSA Digital specializes in agility-at-scale + EA + ITSM solutions, and we see strong potential for collaboration with Agile Velocity, given your expertise in Agile transformation and scaling frameworks. We’d love to explore how our Agile transformation and enterprise architecture capabilities can complement your services to drive greater value for clients.</t>
  </si>
  <si>
    <t>Bhavani Krishnan
Dave Gipp
David Pointer
James Hawks</t>
  </si>
  <si>
    <t>AgileKlix</t>
  </si>
  <si>
    <t>AgileMindset</t>
  </si>
  <si>
    <t>AgileSherpas</t>
  </si>
  <si>
    <t>Chief Value Officer</t>
  </si>
  <si>
    <t>Bronze</t>
  </si>
  <si>
    <t>I’m reaching out regarding potential opportunities to connect at the SAFe Summit. LSA Digital specializes in agility-at-scale + EA + ITSM solutions, and we see strong potential for collaboration with AgileSherpas, given your expertise in Agile marketing and transformation. We’d love to explore how our Agile transformation and enterprise architecture capabilities can complement your services to drive greater value for clients.</t>
  </si>
  <si>
    <t>Andrea Fyrear
Ross Libby</t>
  </si>
  <si>
    <t>AgilityHealth</t>
  </si>
  <si>
    <t>VP Partners and Government</t>
  </si>
  <si>
    <t>Georgia Ouren - This is an opportunity for LSA to partner with Agility Health Radar and Scaled Agile Institute to provide training as part of gap closure from the health assessments service.</t>
  </si>
  <si>
    <t xml:space="preserve">I’m reaching out regarding potential opportunities to connect at the SAFe Summit. LSA Digital specializes in agility-at-scale + EA + ITSM solutions, and we see great potential for collaboration with AgilityHealth, given your expertise in Agile maturity assessments and transformation. We’d love to explore how our Agile transformation and enterprise architecture capabilities can complement your offerings to drive greater value for clients.
</t>
  </si>
  <si>
    <t>Erin Rae McCaslin
Georgia Ouren
Mike Stoner
Trisha Hal</t>
  </si>
  <si>
    <t>AgilityIRL, Inc.</t>
  </si>
  <si>
    <t>Partner</t>
  </si>
  <si>
    <t>Aledade</t>
  </si>
  <si>
    <t>Director, Agile Process</t>
  </si>
  <si>
    <t>Allegis Group, Inc.</t>
  </si>
  <si>
    <t>Alliant Credit Union</t>
  </si>
  <si>
    <t>American Chemical Society</t>
  </si>
  <si>
    <t>Technology Strategy Analyst</t>
  </si>
  <si>
    <t>American Express</t>
  </si>
  <si>
    <t>Director- Product Development and Integration</t>
  </si>
  <si>
    <t>NGLCC</t>
  </si>
  <si>
    <t>American Honda</t>
  </si>
  <si>
    <t>Enterprise SPC</t>
  </si>
  <si>
    <t>American Honda Motor</t>
  </si>
  <si>
    <t>IT Manager</t>
  </si>
  <si>
    <t>American Honda Motor Co., Inc.</t>
  </si>
  <si>
    <t>Director, New Business Support &amp; Compliance</t>
  </si>
  <si>
    <t>American Honda Motor Company</t>
  </si>
  <si>
    <t>IT Team manager</t>
  </si>
  <si>
    <t>American Honda Motor Inc.</t>
  </si>
  <si>
    <t>Release Train Engineer (RTE)</t>
  </si>
  <si>
    <t>American Integrity Insurance</t>
  </si>
  <si>
    <t>Project Delivery Manager</t>
  </si>
  <si>
    <t>American National Insurance Company</t>
  </si>
  <si>
    <t>Lead Scrum Master</t>
  </si>
  <si>
    <t>American Red Cross</t>
  </si>
  <si>
    <t>Agile Transformation Coach</t>
  </si>
  <si>
    <t>Governance and Oversight Division Chief</t>
  </si>
  <si>
    <t>Amex</t>
  </si>
  <si>
    <t>Amgen</t>
  </si>
  <si>
    <t>NGLCC / SAFe Day Gov 2024 - Jamie Shopland</t>
  </si>
  <si>
    <t>AnaVation</t>
  </si>
  <si>
    <t>Principle for Cyber Technologies</t>
  </si>
  <si>
    <t>Anika Systems</t>
  </si>
  <si>
    <t>Ansys, Inc.</t>
  </si>
  <si>
    <t>I.T. Manager</t>
  </si>
  <si>
    <t>Appddiction Studio</t>
  </si>
  <si>
    <t>I wanted to follow up on my previous email regarding potential opportunities to connect at the SAFe Summit. LSA Digital specializes in agility-at-scale + EA + ITSM solutions, and we’re interested in exploring ways to collaborate or partner with Appddiction Studio to enhance process maturity and compliance adoption.</t>
  </si>
  <si>
    <t>Timothy Porter (CEO)
Anthony Ortega</t>
  </si>
  <si>
    <t>Applied Frameworks</t>
  </si>
  <si>
    <t>SVP Sales</t>
  </si>
  <si>
    <t>I wanted to follow up on my previous email regarding potential opportunities to connect at the SAFe Summit. LSA Digital specializes in agility-at-scale + EA + ITSM solutions, and we see a strong synergy between our capabilities and Applied Frameworks’ expertise in SAFe and Agile practices.
We believe there’s a great opportunity to collaborate, combining our strengths in scaling Agile frameworks, enterprise architecture, and ITSM solutions with your proven methodologies in Agile transformation. Together, we could accelerate the adoption of mature processes and compliance for our clients.
Looking forward to hearing from you and discussing potential partnership opportunities at the Summit!</t>
  </si>
  <si>
    <t>Luke Hohmann
Laura Caldie</t>
  </si>
  <si>
    <t>Applied Frameworks, Inc.</t>
  </si>
  <si>
    <t>Chief Innovation Officer</t>
  </si>
  <si>
    <t xml:space="preserve">ibm
</t>
  </si>
  <si>
    <t>Solutions Architect</t>
  </si>
  <si>
    <t>Platform Plus</t>
  </si>
  <si>
    <t>ArcBest Technologies</t>
  </si>
  <si>
    <t>Associate Director</t>
  </si>
  <si>
    <t>Ariel Partners</t>
  </si>
  <si>
    <t>CTO</t>
  </si>
  <si>
    <t>NDA Partners / Craeg Strong CTO</t>
  </si>
  <si>
    <t>NDA Partners / Email Sent</t>
  </si>
  <si>
    <t>Hey Craeg.  looking forward to seeing you at the summit and exploring more ways we can partner together</t>
  </si>
  <si>
    <t>Craeg Strong</t>
  </si>
  <si>
    <t>Armstrong Fluid Technology</t>
  </si>
  <si>
    <t>Director, Agile Portfolio Management</t>
  </si>
  <si>
    <t>Army</t>
  </si>
  <si>
    <t>Requirements Manager/APM Intern</t>
  </si>
  <si>
    <t>Army CHESS</t>
  </si>
  <si>
    <t>Technical Director</t>
  </si>
  <si>
    <t>Arvest</t>
  </si>
  <si>
    <t>Arvest Bank</t>
  </si>
  <si>
    <t>Unknown</t>
  </si>
  <si>
    <t>Ascend SC</t>
  </si>
  <si>
    <t>Ascendant Agility</t>
  </si>
  <si>
    <t>SAFe Fellow</t>
  </si>
  <si>
    <t>Ascension Health</t>
  </si>
  <si>
    <t>Director Technology</t>
  </si>
  <si>
    <t>Aspen Technology</t>
  </si>
  <si>
    <t>Sr. Engineer</t>
  </si>
  <si>
    <t>Assurant</t>
  </si>
  <si>
    <t>Director of Agile Enablement Office</t>
  </si>
  <si>
    <t>AstraZeneca</t>
  </si>
  <si>
    <t>IT Patient Platform Delivery Lead, RTE</t>
  </si>
  <si>
    <t>Atlas Revolutions</t>
  </si>
  <si>
    <t>CIO</t>
  </si>
  <si>
    <t>Field Marketing Manager</t>
  </si>
  <si>
    <t>Charlee Chayatanan</t>
  </si>
  <si>
    <t>Partners</t>
  </si>
  <si>
    <t>Hi Charlee,</t>
  </si>
  <si>
    <t>Charlene</t>
  </si>
  <si>
    <t>Bank of Industry Limited</t>
  </si>
  <si>
    <t>Senior Manager/Scrum Master</t>
  </si>
  <si>
    <t>BCBSND</t>
  </si>
  <si>
    <t>Sr. System Delivery Analyst</t>
  </si>
  <si>
    <t>I’ll be at the Summit and would love to connect if you have a few minutes? LSA Digital is an Atlassian Silver Partner, working with clients in implementation and best practices.</t>
  </si>
  <si>
    <t>BCforward</t>
  </si>
  <si>
    <t>SPC, Release Train Engineer</t>
  </si>
  <si>
    <t>I wanted to follow up on my previous email regarding potential opportunities to connect at the SAFe Summit. LSA Digital specializes in agility-at-scale + EA + ITSM solutions, and we see potential for strong collaboration with BCforward, leveraging our combined strengths to enhance process maturity and compliance adoption for clients.
We’d love to explore how our expertise in scaling Agile frameworks and enterprise architecture could complement your delivery capabilities</t>
  </si>
  <si>
    <t>Carla Uycoque
Elizabeth German
Jeremy Wheratt
Jospeh Haskins</t>
  </si>
  <si>
    <t>Bell Canada</t>
  </si>
  <si>
    <t>I’d love to hear from you on how we can best market &amp; work with the Atlassian team to deliver results to our current mutual clients and potential ones.</t>
  </si>
  <si>
    <t>Beyond Enough</t>
  </si>
  <si>
    <t>Biogen</t>
  </si>
  <si>
    <t>Director, ITSM &amp; DevOps Processes</t>
  </si>
  <si>
    <t>I’ll be there all week (Monday AM to Friday AM).</t>
  </si>
  <si>
    <t>Blackbaud</t>
  </si>
  <si>
    <t>Manager, PMO</t>
  </si>
  <si>
    <t>Blackbaud, inc</t>
  </si>
  <si>
    <t>SPC</t>
  </si>
  <si>
    <t>Cheers,</t>
  </si>
  <si>
    <t>Bloomberg</t>
  </si>
  <si>
    <t>Product Delivery Manager</t>
  </si>
  <si>
    <t>RocketReach</t>
  </si>
  <si>
    <t>Bloomberg LP</t>
  </si>
  <si>
    <t>ENG Core Group PDM Manager</t>
  </si>
  <si>
    <t>Blue Cross Blue Shield Association</t>
  </si>
  <si>
    <t>Managing Director, Digital Design Program</t>
  </si>
  <si>
    <t>Blue Shield of California</t>
  </si>
  <si>
    <t>Executive Agile Coach</t>
  </si>
  <si>
    <t>BlueShield of California</t>
  </si>
  <si>
    <t>Sr. Manager Program Management</t>
  </si>
  <si>
    <t>Bobcat</t>
  </si>
  <si>
    <t>Bobcat Company</t>
  </si>
  <si>
    <t>Digital Products RTE and DXP Program Manager</t>
  </si>
  <si>
    <t>Booz Allen</t>
  </si>
  <si>
    <t>Senior Enterprise Coach</t>
  </si>
  <si>
    <t>Government Elite</t>
  </si>
  <si>
    <t>NGLCC / Registered in Portal</t>
  </si>
  <si>
    <t>Principal/Director</t>
  </si>
  <si>
    <t>Brightlens Group</t>
  </si>
  <si>
    <t>VP, Change</t>
  </si>
  <si>
    <t>Gold &amp; Platform</t>
  </si>
  <si>
    <t>I wanted to follow up on my previous email regarding potential opportunities to connect at the SAFe Summit. LSA Digital specializes in agility-at-scale + EA + ITSM solutions, and we see a great opportunity to collaborate with Broadcom, combining our expertise in enterprise architecture and Agile transformation with your robust portfolio of enterprise solutions. We believe working together could accelerate process maturity, compliance adoption, and agility efforts.</t>
  </si>
  <si>
    <t>Bill Bunce
Brad Kistler
Emma Price
Jennifer Castro
Marie Kalliney
Matthew Gorbsky
Pamela Meredith</t>
  </si>
  <si>
    <t>I wanted to follow up on my previous email regarding potential opportunities to connect at the SAFe Summit. LSA Digital specializes in agility-at-scale + EA + ITSM solutions, and we see great alignment with CACI’s mission-critical technology solutions. We’d love to explore how our expertise in Agile transformation and IT service management can complement CACI’s strengths in cybersecurity and enterprise IT to drive impactful outcomes for government clients.</t>
  </si>
  <si>
    <t>Anju Baraya
Chris Ham
Steve Brylski</t>
  </si>
  <si>
    <t>Campbell Soup Company</t>
  </si>
  <si>
    <t>Sr. Manager, Digital Partner</t>
  </si>
  <si>
    <t>Canada Goose</t>
  </si>
  <si>
    <t>Senior Director, Agile COE</t>
  </si>
  <si>
    <t>Capco</t>
  </si>
  <si>
    <t>Capgemini</t>
  </si>
  <si>
    <t>Engagement Director</t>
  </si>
  <si>
    <t>CapTech Consulting</t>
  </si>
  <si>
    <t>RR Lead</t>
  </si>
  <si>
    <t>I wanted to follow up on my previous email regarding potential opportunities to connect at the SAFe Summit. LSA Digital specializes in agility-at-scale + EA + ITSM solutions, and we see strong alignment with CapTech’s focus on delivering innovative digital solutions. We’d love to explore how our expertise in Agile transformation and enterprise architecture can complement CapTech’s capabilities to drive better outcomes for our clients.</t>
  </si>
  <si>
    <t>MC Moore
Virginia Madigan</t>
  </si>
  <si>
    <t>Carefirst</t>
  </si>
  <si>
    <t>Carefirst/FEPOC</t>
  </si>
  <si>
    <t>Cascades</t>
  </si>
  <si>
    <t>IT Director</t>
  </si>
  <si>
    <t>Caterpillar Financial</t>
  </si>
  <si>
    <t>Caterpillar, Inc.</t>
  </si>
  <si>
    <t>Digital Product Manager</t>
  </si>
  <si>
    <t>catworkx</t>
  </si>
  <si>
    <t>Global Chief Delivery Officer</t>
  </si>
  <si>
    <t>German Company</t>
  </si>
  <si>
    <t>No email sent</t>
  </si>
  <si>
    <t>I wanted to follow up on my previous email regarding potential opportunities to connect at the SAFe Summit. LSA Digital, like Catworkx, is an Atlassian partner specializing in agility-at-scale + EA + ITSM solutions, and we see great potential for collaboration. We’d love to explore how our Agile transformation and enterprise architecture expertise can complement your Atlassian services to drive better outcomes for our clients.</t>
  </si>
  <si>
    <t>Marco W. Steinborn</t>
  </si>
  <si>
    <t>catworkx GmbH</t>
  </si>
  <si>
    <t>sent</t>
  </si>
  <si>
    <t>Michael Luer</t>
  </si>
  <si>
    <t>Cencora</t>
  </si>
  <si>
    <t>Lead Agile Coach</t>
  </si>
  <si>
    <t>Cenlar FSB</t>
  </si>
  <si>
    <t>SVP, Operations</t>
  </si>
  <si>
    <t>Centene</t>
  </si>
  <si>
    <t>Project Manager III</t>
  </si>
  <si>
    <t>Center for Internet Security</t>
  </si>
  <si>
    <t>Center For Internet Security (CIS)</t>
  </si>
  <si>
    <t>Enterprise Agility Leader, Sr. Director</t>
  </si>
  <si>
    <t>Centers for Medicare and Medicaid</t>
  </si>
  <si>
    <t>Contracting Officer Representative</t>
  </si>
  <si>
    <t>Central Bank of Costa Rica</t>
  </si>
  <si>
    <t>Software development director</t>
  </si>
  <si>
    <t>Agile Coach &amp; Agile Center of Excellence Lead</t>
  </si>
  <si>
    <t>Global Platform SPCT</t>
  </si>
  <si>
    <t>I wanted to follow up on my previous email regarding potential opportunities to connect at the SAFe Summit. LSA Digital specializes in agility-at-scale + EA + ITSM solutions, and we see strong alignment with CGI’s focus on delivering innovative IT and business consulting services. We’d love to explore how our expertise in Agile transformation and enterprise architecture can complement CGI’s capabilities to deliver greater value to clients.</t>
  </si>
  <si>
    <t>Heath Rasnake
Mrs. Jalpa Purani
John Pavlov
Kim Roper
Mohamed Alami Chahboune
Nicholas Londei
Sameer Pandit
Mr. Steven Lacroix
Ms. Teri Musick
Tim Browne</t>
  </si>
  <si>
    <t>CGI Federal</t>
  </si>
  <si>
    <t>Director, Emerging Technologies Practice - Standards and Frameworks Department</t>
  </si>
  <si>
    <t>Charter Communications</t>
  </si>
  <si>
    <t>Sr Manager (Intake and Release)</t>
  </si>
  <si>
    <t>Charter Communications - Spectrum Reach</t>
  </si>
  <si>
    <t>Chevron</t>
  </si>
  <si>
    <t>Air/GHG Product Manager</t>
  </si>
  <si>
    <t>Cigna</t>
  </si>
  <si>
    <t>Release train engineer</t>
  </si>
  <si>
    <t>Cigna Healthcare</t>
  </si>
  <si>
    <t>Cisco</t>
  </si>
  <si>
    <t>IT Program Manager</t>
  </si>
  <si>
    <t>Cisco Systems</t>
  </si>
  <si>
    <t>Citizens Property Insurance Corporation</t>
  </si>
  <si>
    <t>Sr. Director, Enterprise Business Agility</t>
  </si>
  <si>
    <t>City of Burbank</t>
  </si>
  <si>
    <t>Chief Information Officer</t>
  </si>
  <si>
    <t>CME Group</t>
  </si>
  <si>
    <t>Director, Business Transformation</t>
  </si>
  <si>
    <t>Director of Value Management &amp; Innovation</t>
  </si>
  <si>
    <t>CNA Insurance</t>
  </si>
  <si>
    <t>AVP Business Relationship Management and Innovation</t>
  </si>
  <si>
    <t>CNO Financial</t>
  </si>
  <si>
    <t>Senior Director, Agile Practice</t>
  </si>
  <si>
    <t>Collins Aerospace</t>
  </si>
  <si>
    <t>Sr. Technology Fellow</t>
  </si>
  <si>
    <t>Comparative Agility</t>
  </si>
  <si>
    <t>Marketing Director</t>
  </si>
  <si>
    <t>ConocoPhillips</t>
  </si>
  <si>
    <t>AVP, Training and Transformation</t>
  </si>
  <si>
    <t>Gold SPCT &amp; Platform</t>
  </si>
  <si>
    <t>I’m reaching out regarding potential opportunities to connect at the SAFe Summit. LSA Digital specializes in agility-at-scale + EA + ITSM solutions, and we see strong potential for collaboration with cPrime, given your expertise in Agile transformation and product development. We’d love to explore how our Agile transformation and enterprise architecture capabilities can complement your services to drive greater value for clients.</t>
  </si>
  <si>
    <t>Andrew Garvey
Anthony Crain
Dan Weikart
Denise Joseph
Ken France
Mr. Kyle Dukes
Praveen Goel
Sarah Sego
Traci Taylor</t>
  </si>
  <si>
    <t>Cprime, Inc</t>
  </si>
  <si>
    <t>Channel Manager</t>
  </si>
  <si>
    <t>Holly Hogan</t>
  </si>
  <si>
    <t>CSAA</t>
  </si>
  <si>
    <t>CSAA IG</t>
  </si>
  <si>
    <t>CSAA Insurance Group</t>
  </si>
  <si>
    <t>Sr. Agile Coach</t>
  </si>
  <si>
    <t>CSS</t>
  </si>
  <si>
    <t>Sr. Director of Program Management</t>
  </si>
  <si>
    <t>CTIS, Inc.</t>
  </si>
  <si>
    <t>IDIQ Program Manager</t>
  </si>
  <si>
    <t>Cummins Inc</t>
  </si>
  <si>
    <t>Cummins, Inc</t>
  </si>
  <si>
    <t>Sr. Scrum Master/Agile Coach</t>
  </si>
  <si>
    <t>Davita</t>
  </si>
  <si>
    <t>Senior Scrum Master</t>
  </si>
  <si>
    <t>DCS Corporation</t>
  </si>
  <si>
    <t>DEAMS</t>
  </si>
  <si>
    <t>Program Manager</t>
  </si>
  <si>
    <t>Defense Intelligence Agency</t>
  </si>
  <si>
    <t>Deloitte</t>
  </si>
  <si>
    <t>NGLCC / Deloitte</t>
  </si>
  <si>
    <t>Deloitte  Consulting</t>
  </si>
  <si>
    <t>Agile Transformation Coach, Trainer &amp; RTE</t>
  </si>
  <si>
    <t>Deloitte Consulting</t>
  </si>
  <si>
    <t>Product Owner</t>
  </si>
  <si>
    <t>Delta Dental of Michigan</t>
  </si>
  <si>
    <t>Department of Veteran Affairs</t>
  </si>
  <si>
    <t>IT Project Manager</t>
  </si>
  <si>
    <t>Department of Veterans Affairs</t>
  </si>
  <si>
    <t>IT Specialist</t>
  </si>
  <si>
    <t>Navy Gold Coast, Solicitation Response</t>
  </si>
  <si>
    <t>Desjardins</t>
  </si>
  <si>
    <t>DevStride</t>
  </si>
  <si>
    <t xml:space="preserve">I wanted to follow up on my previous email regarding potential opportunities to connect at the SAFe Summit. LSA Digital specializes in agility-at-scale + EA + ITSM solutions, and we see great potential for collaboration with DevStride, particularly given your expertise in strategic portfolio management. We’d love to explore how our Agile transformation and enterprise architecture expertise can complement DevStride’s strengths to deliver greater value to clients.
</t>
  </si>
  <si>
    <t>Phil Reynolds</t>
  </si>
  <si>
    <t>Dewpoint</t>
  </si>
  <si>
    <t>Scaled Agile Consultant</t>
  </si>
  <si>
    <t>I wanted to follow up on my previous email regarding potential opportunities to connect at the SAFe Summit. LSA Digital specializes in agility-at-scale + EA + ITSM solutions, and we see strong potential for collaboration with Dewpoint, given your focus on IT solutions and consulting. We’d love to explore how our expertise in Agile transformation and enterprise architecture can complement Dewpoint’s offerings to drive greater value for clients.</t>
  </si>
  <si>
    <t>Diane Jaimes</t>
  </si>
  <si>
    <t>DIA</t>
  </si>
  <si>
    <t>Portfolio/Solution Manager</t>
  </si>
  <si>
    <t>Dialog</t>
  </si>
  <si>
    <t>Project manager</t>
  </si>
  <si>
    <t>I wanted to follow up on my previous email regarding potential opportunities to connect at the SAFe Summit. LSA Digital specializes in agility-at-scale + EA + ITSM solutions, and we see a strong alignment with Digital Tango’s focus on delivering digital transformation solutions. We’d love to explore how our expertise in Agile transformation and enterprise architecture can complement your offerings to drive even greater value for clients.</t>
  </si>
  <si>
    <t>Mr. Etienne Laverdiere</t>
  </si>
  <si>
    <t>Discover Financial Services</t>
  </si>
  <si>
    <t>Principle Product Owner</t>
  </si>
  <si>
    <t>DoD</t>
  </si>
  <si>
    <t>Systems Engineer</t>
  </si>
  <si>
    <t>DOJ/FBI</t>
  </si>
  <si>
    <t>Supervisory Management and Program Analyst</t>
  </si>
  <si>
    <t>SAFe Day Gov 2024</t>
  </si>
  <si>
    <t>Easyum</t>
  </si>
  <si>
    <t>President</t>
  </si>
  <si>
    <t>I wanted to follow up on my previous email regarding potential opportunities to connect at the SAFe Summit. LSA Digital specializes in agility-at-scale + EA + ITSM solutions, and we see strong potential for collaboration with Easyum, especially given your focus on simplifying digital transformations. We’d love to explore how our expertise in Agile transformation and enterprise architecture can complement your offerings to deliver even greater value for clients.</t>
  </si>
  <si>
    <t>Sebastien Poher</t>
  </si>
  <si>
    <t>ECS Federal</t>
  </si>
  <si>
    <t>Generative Change Lead</t>
  </si>
  <si>
    <t>Edward Jones</t>
  </si>
  <si>
    <t>EisnerAmper, LLC</t>
  </si>
  <si>
    <t>Eli Lilly and Company</t>
  </si>
  <si>
    <t>Eliassen Group</t>
  </si>
  <si>
    <t>Account Director- Consultant Staffing</t>
  </si>
  <si>
    <t>I wanted to follow up on my previous email regarding potential opportunities to connect at the SAFe Summit. LSA Digital specializes in agility-at-scale + EA + ITSM solutions, and we see strong potential for collaboration with Eliassen Group, particularly given your focus on Agile consulting and workforce solutions. We’d love to explore how our expertise in Agile transformation and enterprise architecture can complement your services to drive greater value for clients.</t>
  </si>
  <si>
    <t>Bob Fischer
Jason Hicks
Jeff Green
Kolby Kappes
Rita Emmons
Ryan Jackson</t>
  </si>
  <si>
    <t>eMoney Advisor</t>
  </si>
  <si>
    <t>Platnum SPCT</t>
  </si>
  <si>
    <t>I’m reaching out regarding potential opportunities to connect at the SAFe Summit. LSA Digital specializes in agility-at-scale + EA + ITSM solutions, and we see strong potential for collaboration with Engaged Agility, given your expertise in Agile coaching and transformation. We’d love to explore how our Agile transformation and enterprise architecture capabilities can complement your offerings to drive greater value for clients.</t>
  </si>
  <si>
    <t>Martin Olson
Matt Lasater
Michael Robertson
Tad Beaty</t>
  </si>
  <si>
    <t>Enterprise Agility</t>
  </si>
  <si>
    <t>Founder - Principal Consultant</t>
  </si>
  <si>
    <t>I’m reaching out regarding potential opportunities to connect at the SAFe Summit. LSA Digital specializes in agility-at-scale + EA + ITSM solutions, and we see strong potential for collaboration with Enterprise Agility, given your focus on Agile transformation and business agility. We’d love to explore how our Agile transformation and enterprise architecture capabilities can complement your offerings to drive greater value for clients.</t>
  </si>
  <si>
    <t>Mr. Pragati Kapila</t>
  </si>
  <si>
    <t>Ericsson</t>
  </si>
  <si>
    <t>Enterprise Agile Coach |  iSPCT Candidate</t>
  </si>
  <si>
    <t>Estee Lauder Companies</t>
  </si>
  <si>
    <t>Director of Program/Project Management</t>
  </si>
  <si>
    <t>EvolvedAgile, LLC</t>
  </si>
  <si>
    <t>Expleo</t>
  </si>
  <si>
    <t>I wanted to follow up on my previous email regarding potential opportunities to connect at the SAFe Summit. LSA Digital specializes in agility-at-scale + EA + ITSM solutions, and we see strong potential for collaboration with Expleo, particularly given your expertise in engineering and technology consulting. We’d love to explore how our Agile transformation and enterprise architecture capabilities can complement your offerings to deliver greater value to clients.</t>
  </si>
  <si>
    <t>Kenneth King</t>
  </si>
  <si>
    <t>ExxonMobil</t>
  </si>
  <si>
    <t>Talent Management Advisor</t>
  </si>
  <si>
    <t>F&amp;G</t>
  </si>
  <si>
    <t>Director, Retail Portfolio Management</t>
  </si>
  <si>
    <t>F&amp;G Life</t>
  </si>
  <si>
    <t>Director, Retail Project Management</t>
  </si>
  <si>
    <t>F15217</t>
  </si>
  <si>
    <t>Agile coach and trainer</t>
  </si>
  <si>
    <t>I wanted to follow up on my previous email regarding potential opportunities to connect at the SAFe Summit. LSA Digital specializes in agility-at-scale + EA + ITSM solutions, and we see strong potential for collaboration with Fast Lane, particularly given your expertise in digital transformation and IT training. We’d love to explore how our Agile transformation and enterprise architecture capabilities can complement your offerings to drive greater value for clients.</t>
  </si>
  <si>
    <t>Mikael Jälefors
Tobias Schoenhaar</t>
  </si>
  <si>
    <t>FBI CJIS Division</t>
  </si>
  <si>
    <t>Federal Information Systems</t>
  </si>
  <si>
    <t>Senior Director</t>
  </si>
  <si>
    <t>Federal Reserve</t>
  </si>
  <si>
    <t>Senior Product Owner</t>
  </si>
  <si>
    <t>Federal Reserve Bank</t>
  </si>
  <si>
    <t>Federal Reserve Bank of Chicago</t>
  </si>
  <si>
    <t>Federal Reserve Bank of Kansas City</t>
  </si>
  <si>
    <t>Assistant Vice President</t>
  </si>
  <si>
    <t>Federal Reserve Bank of Richmond</t>
  </si>
  <si>
    <t>Sr Manager - Technology</t>
  </si>
  <si>
    <t>Federal Reserve Board</t>
  </si>
  <si>
    <t>Federal Reserve National IT</t>
  </si>
  <si>
    <t>FedEx</t>
  </si>
  <si>
    <t>Customer Technology Support Specialist</t>
  </si>
  <si>
    <t>FEPOC CareFirst</t>
  </si>
  <si>
    <t>Senior Instructional Designer</t>
  </si>
  <si>
    <t>Fifth Third Bank</t>
  </si>
  <si>
    <t>Director of Enterprise Product Ownership, VP</t>
  </si>
  <si>
    <t>Flexential</t>
  </si>
  <si>
    <t>Software Product manager</t>
  </si>
  <si>
    <t>Florida Blue</t>
  </si>
  <si>
    <t>Flow Sphere Switzerland</t>
  </si>
  <si>
    <t>SPCT | Managing Director</t>
  </si>
  <si>
    <t>I wanted to follow up on my previous email regarding potential opportunities to connect at the SAFe Summit. LSA Digital specializes in agility-at-scale + EA + ITSM solutions, and we see strong potential for collaboration with Flow Sphere Switzerland, particularly given your expertise in Agile and SAFe consulting. We’d love to explore how our Agile transformation and enterprise architecture capabilities can complement your services to deliver greater value to clients.</t>
  </si>
  <si>
    <t>Stephen Neck</t>
  </si>
  <si>
    <t>Ford Motor Credit Company</t>
  </si>
  <si>
    <t>Director of Strategic Initiatives</t>
  </si>
  <si>
    <t>Frameworx Consulting</t>
  </si>
  <si>
    <t>Director of Agile Delivery</t>
  </si>
  <si>
    <t>I wanted to follow up on my previous email regarding potential opportunities to connect at the SAFe Summit. LSA Digital specializes in agility-at-scale + EA + ITSM solutions, and we see strong potential for collaboration with Frameworx Consulting, given your focus on Agile and SAFe transformation consulting. We’d love to explore how our expertise in Agile transformation and enterprise architecture can complement your services to deliver even greater value to clients.</t>
  </si>
  <si>
    <t>David Gijsbers
Mark Rosania
Richard Knaster
Tom Wessel</t>
  </si>
  <si>
    <t>FRB Chicago</t>
  </si>
  <si>
    <t>Front Porch Agility</t>
  </si>
  <si>
    <t>I’m reaching out regarding potential opportunities to connect at the SAFe Summit. LSA Digital specializes in agility-at-scale + EA + ITSM solutions, and we see strong potential for collaboration with Front Porch Agility, given your expertise in Agile transformation and coaching. We’d love to explore how our Agile transformation and enterprise architecture capabilities can complement your services to drive greater value for clients.</t>
  </si>
  <si>
    <t>Bill Sizemore
Charlene Newton
Neil Hays</t>
  </si>
  <si>
    <t>Fujitsu Limited</t>
  </si>
  <si>
    <t>Technical Program Manager</t>
  </si>
  <si>
    <t>I wanted to follow up on my previous email regarding potential opportunities to connect at the SAFe Summit. LSA Digital specializes in agility-at-scale + EA + ITSM solutions, and we see strong potential for collaboration with Fujitsu Limited, given your expertise in digital transformation and IT services. We’d love to explore how our Agile transformation and enterprise architecture capabilities can complement your offerings to drive greater value for clients.</t>
  </si>
  <si>
    <t>Ravindra Kumar Matta</t>
  </si>
  <si>
    <t>Future Agile</t>
  </si>
  <si>
    <t>Managing Partner</t>
  </si>
  <si>
    <t>I’m reaching out regarding potential opportunities to connect at the SAFe Summit. LSA Digital specializes in agility-at-scale + EA + ITSM solutions, and we see strong potential for collaboration with Future Agile, given your expertise in Agile transformation and scaling frameworks. We’d love to explore how our Agile transformation and enterprise architecture capabilities can complement your services to drive greater value for clients.</t>
  </si>
  <si>
    <t>Balasubramanian Swaminathan
Ramesh Nori</t>
  </si>
  <si>
    <t>Gartner</t>
  </si>
  <si>
    <t>Analyst</t>
  </si>
  <si>
    <t>GCI</t>
  </si>
  <si>
    <t>SPC/IT Sr Cloud Programs Manager</t>
  </si>
  <si>
    <t>GCI Communication</t>
  </si>
  <si>
    <t>Scrum Master/ Team Coach</t>
  </si>
  <si>
    <t>GDIT</t>
  </si>
  <si>
    <t>Scrum Master Advisor</t>
  </si>
  <si>
    <t>I wanted to follow up on my previous email regarding potential opportunities to connect at the SAFe Summit. LSA Digital specializes in agility-at-scale + EA + ITSM solutions, and we see great potential for collaboration with GDIT, given your expertise in delivering mission-critical IT solutions. We are already in your supplier portal and had the opportunity to meet with your team at the 33rd Annual Government Procurement Conference in DC earlier this year</t>
  </si>
  <si>
    <t>Joveth Sampson
Mark Summers
Sonya Garcia</t>
  </si>
  <si>
    <t>GDIT Chief Technology Office</t>
  </si>
  <si>
    <t>Solution Architect</t>
  </si>
  <si>
    <t>Becky Patterson</t>
  </si>
  <si>
    <t>Genentech, Inc</t>
  </si>
  <si>
    <t>Portfolio Manager</t>
  </si>
  <si>
    <t>Senior Advanced Software Engineer/Scrum Master</t>
  </si>
  <si>
    <t>I wanted to follow up on my previous email regarding potential opportunities to connect at the SAFe Summit. LSA Digital specializes in agility-at-scale + EA + ITSM solutions, and we see great potential for collaboration with Genesis Consulting, given your expertise in Agile transformation and business process improvement. We’d love to explore how our Agile transformation and enterprise architecture capabilities can complement your services to drive greater value for clients.</t>
  </si>
  <si>
    <t>Beth Hatter
Jason Fair (CEO)</t>
  </si>
  <si>
    <t>Genesys</t>
  </si>
  <si>
    <t>Sr Scrum Master</t>
  </si>
  <si>
    <t>Georgia-Pacific</t>
  </si>
  <si>
    <t>Agile Delivery Manager</t>
  </si>
  <si>
    <t>Gladwell Academy - Highberg Company</t>
  </si>
  <si>
    <t>Founder and Partner</t>
  </si>
  <si>
    <t>I wanted to follow up on my colleague’s  previous email regarding potential opportunities to connect at the SAFe Summit. LSA Digital specializes in agility-at-scale + EA + ITSM solutions, and we see great potential for collaboration with Gladwell Academy. We’d love to explore how our Agile transformation and enterprise architecture expertise can complement DevStride’s strengths to deliver greater value to clients.</t>
  </si>
  <si>
    <t>Miranda Gossens</t>
  </si>
  <si>
    <t>Glappy Foundation</t>
  </si>
  <si>
    <t>Vp of Product Devlopment</t>
  </si>
  <si>
    <t>Global Payments</t>
  </si>
  <si>
    <t>GLOBO COMUNICAÇÃO E PARTICIPAÇÕES S/A</t>
  </si>
  <si>
    <t>AGILITY SENIOR MANAGER</t>
  </si>
  <si>
    <t>GM Financial</t>
  </si>
  <si>
    <t>Sr. Project Manager</t>
  </si>
  <si>
    <t>GMFinancial</t>
  </si>
  <si>
    <t>ScrumMaster</t>
  </si>
  <si>
    <t>Gocious LLC</t>
  </si>
  <si>
    <t>Head of Sales</t>
  </si>
  <si>
    <t>I wanted to follow up on my colleague’s  previous email regarding potential opportunities to connect at the SAFe Summit. LSA Digital specializes in agility-at-scale + EA + ITSM solutions, and we see great potential for collaboration with Gossius Academy. We’d love to explore how our Agile transformation and enterprise architecture expertise can complement DevStride’s strengths to deliver greater value to clients.</t>
  </si>
  <si>
    <t>Brittany Co</t>
  </si>
  <si>
    <t>I wanted to follow up on my colleague’s  previous email regarding potential opportunities to connect at the SAFe Summit. LSA Digital specializes in agility-at-scale + EA + ITSM solutions, and we see great potential for collaboration with GovCIO. We’d love to explore how our Agile transformation and enterprise architecture expertise can complement DevStride’s strengths to deliver greater value to clients.</t>
  </si>
  <si>
    <t>GS1 US</t>
  </si>
  <si>
    <t>Director, Program Management</t>
  </si>
  <si>
    <t>Gs1us</t>
  </si>
  <si>
    <t>Guindon-Slater</t>
  </si>
  <si>
    <t>Director of Engineering</t>
  </si>
  <si>
    <t>Habitat for Humanity</t>
  </si>
  <si>
    <t>Hawaiian Airlines</t>
  </si>
  <si>
    <t>Senior Director, Strategy and Business Operations</t>
  </si>
  <si>
    <t>Hawwa Enterprise Agile Coaching Inc</t>
  </si>
  <si>
    <t>I’m reaching out regarding potential opportunities to connect at the SAFe Summit. LSA Digital specializes in agility-at-scale + EA + ITSM solutions, and we see strong potential for collaboration with Hawwa Enterprise Agile Coaching Inc., given your expertise in Agile coaching and transformation. We’d love to explore how our Agile transformation and enterprise architecture capabilities can complement your services to drive greater value for clients.</t>
  </si>
  <si>
    <t>Samer Hawwa</t>
  </si>
  <si>
    <t>HBL</t>
  </si>
  <si>
    <t>Head ADC IT Ops</t>
  </si>
  <si>
    <t>I wanted to follow up on my colleague’s  previous email regarding potential opportunities to connect at the SAFe Summit. LSA Digital specializes in agility-at-scale + EA + ITSM solutions, and we see great potential for collaboration with HCLTech. We’d love to explore how our Agile transformation and enterprise architecture expertise can complement HCLTech's strengths to deliver greater value to clients.</t>
  </si>
  <si>
    <t>Healthfirst</t>
  </si>
  <si>
    <t>Healthy Agile LLC</t>
  </si>
  <si>
    <t>SAFe Coach</t>
  </si>
  <si>
    <t>Honda</t>
  </si>
  <si>
    <t>Transformation Leader</t>
  </si>
  <si>
    <t>Honda Dev. and Mfg. of Am.,LLC</t>
  </si>
  <si>
    <t>Honda Development &amp; Manufacturing of America, LLC</t>
  </si>
  <si>
    <t>Strategic Planning, Technical Principal Project Manager</t>
  </si>
  <si>
    <t>Humana</t>
  </si>
  <si>
    <t>Humana Insurance Company</t>
  </si>
  <si>
    <t>Associate Director - Technology Solutions</t>
  </si>
  <si>
    <t>Hypr</t>
  </si>
  <si>
    <t>HZM Consulting</t>
  </si>
  <si>
    <t>No contact on RR</t>
  </si>
  <si>
    <t>I wanted to reach out to talk about potential opportunities to connect at the SAFe Summit. LSA Digital specializes in agility-at-scale + EA + ITSM solutions, and we see great potential for collaboration with HZM Consulting. We’d love to explore how our Agile transformation and enterprise architecture expertise can complement your strengths to deliver greater value to clients.</t>
  </si>
  <si>
    <t>Hady Zaky</t>
  </si>
  <si>
    <t>Agile Coach and Deputy Program Manager</t>
  </si>
  <si>
    <t>I’m reaching out regarding potential opportunities to connect at the SAFe Summit. LSA Digital specializes in agility-at-scale + EA + ITSM solutions, and we see great potential for collaboration with IBM, given your expertise in digital and business transformation. My colleague Craig Barbakow previously worked with IBM, and we’d love to explore how our Agile transformation and enterprise architecture capabilities can complement your services to drive greater value for clients.</t>
  </si>
  <si>
    <t>Amanda Balliet
Charles Moore
Derrick Mallison
Jed Hadley
Mark Byers
Rachel Bradstock
Tracy Yen
Vishnu Parasraman
Yuliya Oberman</t>
  </si>
  <si>
    <t>IBM Apptio</t>
  </si>
  <si>
    <t>Vice President - Targetprocess</t>
  </si>
  <si>
    <t>I’m reaching out regarding potential opportunities to connect at the SAFe Summit. LSA Digital specializes in agility-at-scale + EA + ITSM solutions, and we see strong potential for collaboration with IBM Apptio, given your expertise in IT management and business transformation. My colleague Craig Barbakow previously worked with IBM, and we’d love to explore how our Agile transformation and enterprise architecture capabilities can complement your offerings to drive greater value for clients.</t>
  </si>
  <si>
    <t>Andrew Satriano
Bob Carter
Corby James
Henry Garcia
Mark Des Biens
Robert Marzullo
Thodi Andersson</t>
  </si>
  <si>
    <t>IBM Consulting</t>
  </si>
  <si>
    <t>I’m reaching out regarding potential opportunities to connect at the SAFe Summit. LSA Digital specializes in agility-at-scale + EA + ITSM solutions, and we see strong potential for collaboration with IBM Consulting, given your expertise in digital and business transformation. My colleague Craig Barbakow previously worked with IBM, and we’d love to explore how our Agile transformation and enterprise architecture capabilities can complement your services to drive greater value for clients.</t>
  </si>
  <si>
    <t>Emily Moccia
Lexi Mitchell
Mariah Koster
Mr. Russell Taylor, Ph.D.
Sophia Thompson</t>
  </si>
  <si>
    <t>IBM North America</t>
  </si>
  <si>
    <t>Strategy Consultant</t>
  </si>
  <si>
    <t>I’m reaching out regarding potential opportunities to connect at the SAFe Summit. LSA Digital specializes in agility-at-scale + EA + ITSM solutions, and we see great potential for collaboration with IBM North America, given your expertise in digital and business transformation. My colleague Craig Barbakow previously worked with IBM, and we’d love to explore how our Agile transformation and enterprise architecture capabilities can complement your services to drive greater value for clients.</t>
  </si>
  <si>
    <t>Jim Porter</t>
  </si>
  <si>
    <t>Principal Consultant &amp; SAFe Fellow, SPCT</t>
  </si>
  <si>
    <t>I’m reaching out regarding potential opportunities to connect at the SAFe Summit. LSA Digital specializes in agility-at-scale + EA + ITSM solutions, and we see strong potential for collaboration with Icon Agility, given your expertise in Agile transformation and scaling. We’d love to explore how our Agile transformation and enterprise architecture capabilities can complement your offerings to drive greater value for clients.</t>
  </si>
  <si>
    <t>Charlene Cuenca
Daylon Walton</t>
  </si>
  <si>
    <t>Business Agility Transformation Coach</t>
  </si>
  <si>
    <t>I’m reaching out regarding potential opportunities to connect at the SAFe Summit. LSA Digital specializes in agility-at-scale + EA + ITSM solutions, and we see strong potential for collaboration with ICON Agility Services, given your expertise in Agile transformation and scaling frameworks. We’d love to explore how our Agile transformation and enterprise architecture capabilities can complement your offerings to drive greater value for clients.</t>
  </si>
  <si>
    <t>Blake Lawson
Mr. Doug Less
Duane Bushman
John Miller
Ms. Kathy Marshak
Miss Katie Snelson
Matt Aaron
Stella O'Brien</t>
  </si>
  <si>
    <t>IDC</t>
  </si>
  <si>
    <t>Research Director</t>
  </si>
  <si>
    <t>IHG</t>
  </si>
  <si>
    <t>Team Coach/RTE</t>
  </si>
  <si>
    <t>InfoSoft Nigeria Limited</t>
  </si>
  <si>
    <t>I wanted to follow up on my colleague’s  previous email regarding potential opportunities to connect at the SAFe Summit. LSA Digital specializes in agility-at-scale + EA + ITSM solutions, and we see great potential for collaboration with InfoSys. We’d love to explore how our Agile transformation and enterprise architecture expertise can complement your strengths to deliver greater value to clients.</t>
  </si>
  <si>
    <t>Vijay Reddy</t>
  </si>
  <si>
    <t>INPO</t>
  </si>
  <si>
    <t>Enterprise Project Manager</t>
  </si>
  <si>
    <t>VP of Systems Engineering</t>
  </si>
  <si>
    <t>IntePros Federal Inc.</t>
  </si>
  <si>
    <t>Chief Agilist</t>
  </si>
  <si>
    <t>InterContinental Hotel Group</t>
  </si>
  <si>
    <t>Manage IT Products</t>
  </si>
  <si>
    <t>International Business Consultants LLC</t>
  </si>
  <si>
    <t>Chief Transformation Officer</t>
  </si>
  <si>
    <t>Iridium</t>
  </si>
  <si>
    <t>Iridium Communications</t>
  </si>
  <si>
    <t>iTech AG</t>
  </si>
  <si>
    <t>Adam Byer</t>
  </si>
  <si>
    <t>Scrum Master II</t>
  </si>
  <si>
    <t>Jack Henry &amp; Associates</t>
  </si>
  <si>
    <t>Sr Program Manager</t>
  </si>
  <si>
    <t>Jairosoft Inc</t>
  </si>
  <si>
    <t>Phillipines company</t>
  </si>
  <si>
    <t>I wanted to reach out to talk about potential opportunities to connect at the SAFe Summit. LSA Digital specializes in agility-at-scale + EA + ITSM solutions, and we see great potential for collaboration with Jairosoft. We’d love to explore how our Agile transformation and enterprise architecture expertise can complement your strengths to deliver greater value to clients.</t>
  </si>
  <si>
    <t>Mary Grace Garcia</t>
  </si>
  <si>
    <t>JLG Industries</t>
  </si>
  <si>
    <t>Global Process Owner</t>
  </si>
  <si>
    <t>JM Family</t>
  </si>
  <si>
    <t>Delivery Manager</t>
  </si>
  <si>
    <t>JM Family Enterprises</t>
  </si>
  <si>
    <t>JPMorganChase</t>
  </si>
  <si>
    <t>Business Transformation Manager</t>
  </si>
  <si>
    <t>Just Leading Solutions</t>
  </si>
  <si>
    <t>Executive Advisor | SAFe Fellow</t>
  </si>
  <si>
    <t>I wanted to follow up on my colleague’s  previous email regarding potential opportunities to connect at the SAFe Summit. LSA Digital specializes in agility-at-scale + EA + ITSM solutions, and we see great potential for collaboration with Tantus. We’d love to explore how our Agile transformation and enterprise architecture expertise can complement your strengths to deliver greater value to clients.</t>
  </si>
  <si>
    <t>Michael Stump</t>
  </si>
  <si>
    <t>KBR</t>
  </si>
  <si>
    <t>KEGON</t>
  </si>
  <si>
    <t>Management Consultant, Systemic Organizational Coach</t>
  </si>
  <si>
    <t>German company</t>
  </si>
  <si>
    <t>I wanted to reach out to talk about potential opportunities to connect at the SAFe Summit. LSA Digital specializes in agility-at-scale + EA + ITSM solutions, and we see great potential for collaboration with Peacock Hill. We’d love to explore how our Agile transformation and enterprise architecture expertise can complement your strengths to deliver greater value to clients.</t>
  </si>
  <si>
    <t>Johnathan Batsch</t>
  </si>
  <si>
    <t>KEGON AG</t>
  </si>
  <si>
    <t>Sales Manager</t>
  </si>
  <si>
    <t>KPMG</t>
  </si>
  <si>
    <t>Director, Consulting</t>
  </si>
  <si>
    <t>Navy Gold Coast</t>
  </si>
  <si>
    <t>L3Harris Technologies</t>
  </si>
  <si>
    <t>Director, SW Engineering</t>
  </si>
  <si>
    <t>LAP Alliance</t>
  </si>
  <si>
    <t>Thougth Leader &amp; President</t>
  </si>
  <si>
    <t>Launch</t>
  </si>
  <si>
    <t>Agile Senior Specialist Advisor</t>
  </si>
  <si>
    <t>Sent message on app</t>
  </si>
  <si>
    <t>Hi Armen,hoping we can connect at the Summit!  I also met some Enterprise Architecture folks from NTT Data - Philip Morokian and Luis Ferrer.. Would be great to hear what kind of client challenges you guys typically have, and how we might be able to help in a sub-contract role.</t>
  </si>
  <si>
    <t>Armen Sanasarian, Digital Solution Architect, Director</t>
  </si>
  <si>
    <t>Launch (NTT Data)</t>
  </si>
  <si>
    <t>Sr. Advisor</t>
  </si>
  <si>
    <t>Global Platnum</t>
  </si>
  <si>
    <t>HubSpot</t>
  </si>
  <si>
    <t>Carmine Paragano
Daniel Presten
Deirdre Lohr
Glenn Watson
Janet Needham
Jason Aitchison
Jason Foster
Juan Soto
Keith Buehlman
Kenichiro Adachi
Kilian Muller
Mr. Koji Ichikawa
Kosuke Kawama
Laura Krieter
Lindsey Palmer
Maegan Anderson
Masatoshi Hiraoka
Mike Ostheim
Puilee Chia
Ravishankar Purushothaman
Richard Mellor
Rodrigo Marques
Shoji Miyoshi
Shumpei Asahara
Takenori Osada
Thom Baxter
Tonya Johnson
Yuhei Kanekiyo
Ms. Yuuko Nishijima</t>
  </si>
  <si>
    <t>Bruce Nix</t>
  </si>
  <si>
    <t>Launch by NTT Data, Inc.</t>
  </si>
  <si>
    <t>Agilist Management Director</t>
  </si>
  <si>
    <t>Logan Daigle</t>
  </si>
  <si>
    <t>‪Senior Enterprise Solutions Executive</t>
  </si>
  <si>
    <t>Jennifer MacFarland</t>
  </si>
  <si>
    <t>Leidos</t>
  </si>
  <si>
    <t>Software Center Lead</t>
  </si>
  <si>
    <t>Lexmark International</t>
  </si>
  <si>
    <t>Liberty Mutual</t>
  </si>
  <si>
    <t>FastRope / Dayton Area Events</t>
  </si>
  <si>
    <t>I wanted to follow up on my previous email regarding opportunities to connect at the SAFe Summit. LSA Digital specializes in agility-at-scale + EA + ITSM solutions, and I’ve connected with several LMI team members in the Dayton/Wright-Patterson AFB area. I’d love to explore how our Agile transformation and enterprise architecture capabilities can complement LMI’s offerings to deliver greater value to government clients.</t>
  </si>
  <si>
    <t>Joseph Marina</t>
  </si>
  <si>
    <t>Software Factory - Agile Talent Center Manager</t>
  </si>
  <si>
    <t>LSA Digital</t>
  </si>
  <si>
    <t>Director of ITSM</t>
  </si>
  <si>
    <t xml:space="preserve">Gold </t>
  </si>
  <si>
    <t>Lufthansa Industry Solutions</t>
  </si>
  <si>
    <t>Transformation Manager</t>
  </si>
  <si>
    <t>Lutron</t>
  </si>
  <si>
    <t>Senior Information Technology Analyst</t>
  </si>
  <si>
    <t>Lutron Electronics</t>
  </si>
  <si>
    <t>Lutron Electronics Co</t>
  </si>
  <si>
    <t>Engineering Project Leader</t>
  </si>
  <si>
    <t>M&amp;T Bank</t>
  </si>
  <si>
    <t>Mantech</t>
  </si>
  <si>
    <t>Agile Release Train Engineer</t>
  </si>
  <si>
    <t>Mantech International</t>
  </si>
  <si>
    <t>Executive Director</t>
  </si>
  <si>
    <t>Marathon Petroleum</t>
  </si>
  <si>
    <t>RTE / Lead Scrum Master</t>
  </si>
  <si>
    <t>Marathon Petroleum Company</t>
  </si>
  <si>
    <t>Markel</t>
  </si>
  <si>
    <t>Markel Insurance</t>
  </si>
  <si>
    <t>Senior Scrum Master / Project Manager</t>
  </si>
  <si>
    <t>Marriot International</t>
  </si>
  <si>
    <t>Senior Manager, Portfolio Management, Planning &amp; Strategy</t>
  </si>
  <si>
    <t>Marriott International</t>
  </si>
  <si>
    <t>Mattel</t>
  </si>
  <si>
    <t>Sr Project Manager</t>
  </si>
  <si>
    <t>Mattel Inc</t>
  </si>
  <si>
    <t>Sr. IT Manager, ePMO</t>
  </si>
  <si>
    <t>Meijer</t>
  </si>
  <si>
    <t>Meisterplan Inc. USA</t>
  </si>
  <si>
    <t>Director of Customer Success</t>
  </si>
  <si>
    <t>Meridian Cooperatie</t>
  </si>
  <si>
    <t>Meridian Cooperative</t>
  </si>
  <si>
    <t>Director of PMO</t>
  </si>
  <si>
    <t>MetaPhase Consulting</t>
  </si>
  <si>
    <t>MetLife</t>
  </si>
  <si>
    <t>MFS Investment Management</t>
  </si>
  <si>
    <t>Vice President, Director of IT Delivery &amp; Agile Enablement Office</t>
  </si>
  <si>
    <t>Milliman</t>
  </si>
  <si>
    <t>Mindset180 LLC</t>
  </si>
  <si>
    <t>MITRE</t>
  </si>
  <si>
    <t>Montana Department of Transportation</t>
  </si>
  <si>
    <t>Mutual of Omaha</t>
  </si>
  <si>
    <t>Project Portfolio Manager</t>
  </si>
  <si>
    <t>Mutual of Omaha Insurance Company</t>
  </si>
  <si>
    <t>Information Systems Manager</t>
  </si>
  <si>
    <t>33rd Annual Government Procurement Conference</t>
  </si>
  <si>
    <t>NASA EED-3 / Raytheon Technologies</t>
  </si>
  <si>
    <t>National Nuclear Security Administration</t>
  </si>
  <si>
    <t>Program Analyst</t>
  </si>
  <si>
    <t>Solution Manager</t>
  </si>
  <si>
    <t>Navy Federal</t>
  </si>
  <si>
    <t>Analyst/RTE</t>
  </si>
  <si>
    <t>Asst. Manager</t>
  </si>
  <si>
    <t>New Balance</t>
  </si>
  <si>
    <t>Nitor Delta Oy</t>
  </si>
  <si>
    <t>SAFe Fellow Managing Director</t>
  </si>
  <si>
    <t>Rami Sirkia</t>
  </si>
  <si>
    <t>Noblis</t>
  </si>
  <si>
    <t>IT Sr Manager</t>
  </si>
  <si>
    <t>Regan Ramirez</t>
  </si>
  <si>
    <t>Principal Product Trainer/RTE</t>
  </si>
  <si>
    <t xml:space="preserve"> wanted to follow up on my previous email regarding potential opportunities to connect at the SAFe Summit. LSA Digital specializes in agility-at-scale + EA + ITSM solutions, and we have greatly enjoyed working alongside Robin Yeman, who has co-authored books with you. We see exciting potential for collaboration and would love to explore how our Agile transformation and enterprise architecture capabilities can complement your work to deliver even greater value to clients.</t>
  </si>
  <si>
    <t>Dr. Suzette Johnson</t>
  </si>
  <si>
    <t>Consulting Agile Coach</t>
  </si>
  <si>
    <t>I wanted to follow up on my previous email regarding potential opportunities to connect at the SAFe Summit. LSA Digital specializes in agility-at-scale + EA + ITSM solutions, and we’ve enjoyed working alongside Robin Yeman, who co-authored books with Dr. Suzette Johnson. We see great potential to collaborate with Northrop Grumman and explore how our Agile transformation and enterprise architecture capabilities can enhance your mission-critical work.</t>
  </si>
  <si>
    <t xml:space="preserve">Abigail McNally
Alvis Floyd
Ganesh Kamat
Mrs. Heidi Hatch
John Gough
Pras Khuon
Dr. Ray Renner
Stephen Mobley
</t>
  </si>
  <si>
    <t>NTT DATA</t>
  </si>
  <si>
    <t>Transformation Lead</t>
  </si>
  <si>
    <t>NGLCC / ScoreApp</t>
  </si>
  <si>
    <t>NTT DATA Corporation</t>
  </si>
  <si>
    <t>NTT DATA Deutschalnd SE</t>
  </si>
  <si>
    <t>Head of Transformation Consulting and Agile Transformation</t>
  </si>
  <si>
    <t>NTT DATA Deutschland SE</t>
  </si>
  <si>
    <t>Head of Organizational Change Management and Solution Architect for Business Consulting</t>
  </si>
  <si>
    <t>NTT DATA INTELLILINK Corporation</t>
  </si>
  <si>
    <t>Corporate Executive</t>
  </si>
  <si>
    <t>Nymble Consulting Ltd</t>
  </si>
  <si>
    <t>Oak Ridge National Lab</t>
  </si>
  <si>
    <t>IT Ops Director</t>
  </si>
  <si>
    <t>Oracle</t>
  </si>
  <si>
    <t>VP, Oracle Applications Labs</t>
  </si>
  <si>
    <t>Oracle Corporation</t>
  </si>
  <si>
    <t>Senior Director, Product and Portfolio Center of Excellence</t>
  </si>
  <si>
    <t>Organon</t>
  </si>
  <si>
    <t>Assoc. Director/SAFe Agile Coach, Business Technology Strategic Execution</t>
  </si>
  <si>
    <t>P HBA S SPECIALE LTEE</t>
  </si>
  <si>
    <t>P&amp;G</t>
  </si>
  <si>
    <t>Global Director of Portfolio Management</t>
  </si>
  <si>
    <t>P3 automotive GmbH</t>
  </si>
  <si>
    <t>Principal | Executive Coach | OKR Advisor</t>
  </si>
  <si>
    <t>Paradyme, Inc.</t>
  </si>
  <si>
    <t>Parsons</t>
  </si>
  <si>
    <t>SR IT Program Manager</t>
  </si>
  <si>
    <t>Parsons Corporation</t>
  </si>
  <si>
    <t>Peacock Hill Consulting</t>
  </si>
  <si>
    <t>President &amp; CEO</t>
  </si>
  <si>
    <t>No RR contact info</t>
  </si>
  <si>
    <t>Ann Marvin</t>
  </si>
  <si>
    <t>PEO EIS, IPPS-A</t>
  </si>
  <si>
    <t>PETROBRAS</t>
  </si>
  <si>
    <t>Senior Technical Consultant</t>
  </si>
  <si>
    <t>Dani (via Vinicius Pabon CDO)</t>
  </si>
  <si>
    <t>Petrobras Brasileiro S/A - PETROBRAS</t>
  </si>
  <si>
    <t>Innovation Manager</t>
  </si>
  <si>
    <t>Petroleo Brasileiro SA - Petrobras</t>
  </si>
  <si>
    <t>Telecom Engineer Master</t>
  </si>
  <si>
    <t>Physicians Mutual</t>
  </si>
  <si>
    <t>Program Manager - Enterprise Technology Group</t>
  </si>
  <si>
    <t>Planisware</t>
  </si>
  <si>
    <t>Director, Solution Engineers</t>
  </si>
  <si>
    <t>Planview</t>
  </si>
  <si>
    <t>Solution Consultant</t>
  </si>
  <si>
    <t>PLQ Consulting Solutions</t>
  </si>
  <si>
    <t>CONSULTANT</t>
  </si>
  <si>
    <t>PNC</t>
  </si>
  <si>
    <t>Scrum Master Sr.</t>
  </si>
  <si>
    <t>PNC Bank National Association</t>
  </si>
  <si>
    <t>Sr. Coach</t>
  </si>
  <si>
    <t>PRAECIPIO</t>
  </si>
  <si>
    <t>FIELD CTO</t>
  </si>
  <si>
    <t>Praecipio Consulting</t>
  </si>
  <si>
    <t>Principal Architect</t>
  </si>
  <si>
    <t>Pretty Agile</t>
  </si>
  <si>
    <t>Em Campbell-Pretty</t>
  </si>
  <si>
    <t>Procentrix LLC</t>
  </si>
  <si>
    <t>Agile Lead</t>
  </si>
  <si>
    <t>Procter &amp; Gamble</t>
  </si>
  <si>
    <t>Proctor and Gamble</t>
  </si>
  <si>
    <t>Progress</t>
  </si>
  <si>
    <t>SVP Engineering</t>
  </si>
  <si>
    <t>Project &amp; Team</t>
  </si>
  <si>
    <t>Director, Business Agility</t>
  </si>
  <si>
    <t>NGLCC / Rocket Reach</t>
  </si>
  <si>
    <t>Prudential Financial Inc.</t>
  </si>
  <si>
    <t>PULSE - Discover Financial</t>
  </si>
  <si>
    <t>PULSE, a Discover company</t>
  </si>
  <si>
    <t>PwC</t>
  </si>
  <si>
    <t>LACE - Tools Lead</t>
  </si>
  <si>
    <t>Ali Gowhwe, Jessica Williams, Johnathan Bush, Kyle Thorton, Marianna Viegas, Michelle Shand, Mike Lutsky, Robert Giambone, Thomas Shows, Victoria Bergeron</t>
  </si>
  <si>
    <t>Qualcomm</t>
  </si>
  <si>
    <t>Senior IT Project Manager</t>
  </si>
  <si>
    <t>Raytheon</t>
  </si>
  <si>
    <t>NGLCC - IngaLee Puentes</t>
  </si>
  <si>
    <t>REI Systems</t>
  </si>
  <si>
    <t>Associate Program Manager</t>
  </si>
  <si>
    <t>Republic Services</t>
  </si>
  <si>
    <t>Sr. Manager, IT Agile Transformation</t>
  </si>
  <si>
    <t>RLI Corp</t>
  </si>
  <si>
    <t>Portfolio Coordinator</t>
  </si>
  <si>
    <t>RLI Corporation</t>
  </si>
  <si>
    <t>Sr Technical Project Manager</t>
  </si>
  <si>
    <t>Roche</t>
  </si>
  <si>
    <t>Roche Diagnostics</t>
  </si>
  <si>
    <t>LACE</t>
  </si>
  <si>
    <t>Roche Tissue Diagnostics</t>
  </si>
  <si>
    <t>Senior Scientist</t>
  </si>
  <si>
    <t>Roche Tissue Diagnostics (Ventana Medical Systems)</t>
  </si>
  <si>
    <t>Assay Development Manager</t>
  </si>
  <si>
    <t>RTX</t>
  </si>
  <si>
    <t>NGLCC / 2024 AFLCMC/AFRL Lifecycle Industry Days (Andrew Volpendesta)</t>
  </si>
  <si>
    <t>RTX Enterprise</t>
  </si>
  <si>
    <t>Agile Consultant/SPC</t>
  </si>
  <si>
    <t>S&amp;P Global</t>
  </si>
  <si>
    <t>Head of Agile Practices</t>
  </si>
  <si>
    <t>NGLCC (Henry Murphy)</t>
  </si>
  <si>
    <t>Safety National</t>
  </si>
  <si>
    <t>Manager- Technical Services</t>
  </si>
  <si>
    <t>Safety National Insurance</t>
  </si>
  <si>
    <t>Systems Compliance Manager</t>
  </si>
  <si>
    <t>SAI</t>
  </si>
  <si>
    <t>Service Operations Coordinator</t>
  </si>
  <si>
    <t>I wanted to reach out to talk about potential opportunities to connect at the SAFe Summit. LSA Digital specializes in agility-at-scale + EA + ITSM solutions, and we see great potential for collaboration with SAIC. We’d love to explore how our Agile transformation and enterprise architecture expertise can complement your strengths to deliver greater value to clients.</t>
  </si>
  <si>
    <t>Cynthia Thomas, Erica Surratt</t>
  </si>
  <si>
    <t>SailPoint</t>
  </si>
  <si>
    <t>Director of Product Engineering</t>
  </si>
  <si>
    <t>Sallie Mae</t>
  </si>
  <si>
    <t>Rocket Reach</t>
  </si>
  <si>
    <t>Samsung Electronics</t>
  </si>
  <si>
    <t>Principal Engineer</t>
  </si>
  <si>
    <t>Sandia National Laboratories</t>
  </si>
  <si>
    <t>SAFe Day Gov 2024 (Alfred Lorber)</t>
  </si>
  <si>
    <t>Sandia National Labs</t>
  </si>
  <si>
    <t>Sayva Solutions</t>
  </si>
  <si>
    <t>SVP, Client Solutions</t>
  </si>
  <si>
    <t>Scaled Agile</t>
  </si>
  <si>
    <t>Director of Product Management</t>
  </si>
  <si>
    <t>partnner</t>
  </si>
  <si>
    <t>Scaled Agile Inc</t>
  </si>
  <si>
    <t>Sr. Director Engineering</t>
  </si>
  <si>
    <t>Scaled Agile Inc.</t>
  </si>
  <si>
    <t>Senior Digital Marketing Manager</t>
  </si>
  <si>
    <t>Scaled Agile, Inc</t>
  </si>
  <si>
    <t>Sr. Product Designer</t>
  </si>
  <si>
    <t>Scaled Agile, Inc.</t>
  </si>
  <si>
    <t>Director, Global Events</t>
  </si>
  <si>
    <t>Security Benefit</t>
  </si>
  <si>
    <t>Sr Director</t>
  </si>
  <si>
    <t>Seek Quality</t>
  </si>
  <si>
    <t>VP of Agile/Lean-AI Experiential Learning</t>
  </si>
  <si>
    <t>SEP</t>
  </si>
  <si>
    <t>Director of Innovation</t>
  </si>
  <si>
    <t>Service Benefit Plan Administrative Services Corporation (SBPASC)</t>
  </si>
  <si>
    <t>Manager, Learning &amp; Development</t>
  </si>
  <si>
    <t>partner</t>
  </si>
  <si>
    <t>Services Conseils ; Flowfast Consulting</t>
  </si>
  <si>
    <t>Business agility Lead</t>
  </si>
  <si>
    <t>Shakthy, Inc</t>
  </si>
  <si>
    <t>President/CEO</t>
  </si>
  <si>
    <t>Shaping Agility</t>
  </si>
  <si>
    <t>Founding Creator</t>
  </si>
  <si>
    <t>ShopriteX</t>
  </si>
  <si>
    <t>Agile Delivery Chapter Lead</t>
  </si>
  <si>
    <t>Sila SG</t>
  </si>
  <si>
    <t>Strategy &amp; Transformation Lead Consultant</t>
  </si>
  <si>
    <t>SiriusXM</t>
  </si>
  <si>
    <t>Vice President, Web Software Engineering</t>
  </si>
  <si>
    <t>Skillbook</t>
  </si>
  <si>
    <t>AVP - Enterprise Sales and Client Partnerships</t>
  </si>
  <si>
    <t>Skillbook Academy</t>
  </si>
  <si>
    <t>Trainer</t>
  </si>
  <si>
    <t>Skillbook Inc.</t>
  </si>
  <si>
    <t>SAFe Transformation Leader and Agile Coach</t>
  </si>
  <si>
    <t>Softrams LLC</t>
  </si>
  <si>
    <t>Softworld</t>
  </si>
  <si>
    <t>SPCT</t>
  </si>
  <si>
    <t>Softwworld</t>
  </si>
  <si>
    <t>Chief Scientist, VSM</t>
  </si>
  <si>
    <t>Solar Turbines</t>
  </si>
  <si>
    <t>Information Technology Manager</t>
  </si>
  <si>
    <t>Solidify</t>
  </si>
  <si>
    <t>Marketing</t>
  </si>
  <si>
    <t>Denmark Company</t>
  </si>
  <si>
    <t>Johan Nasstrom, Hannah Bink</t>
  </si>
  <si>
    <t>Solidify AB</t>
  </si>
  <si>
    <t>Mathias Olausson</t>
  </si>
  <si>
    <t>SOS International</t>
  </si>
  <si>
    <t>Southern Company</t>
  </si>
  <si>
    <t>Southwest Airlines</t>
  </si>
  <si>
    <t>Cybersecurity Analust</t>
  </si>
  <si>
    <t>NGLCC (Pam Glover)</t>
  </si>
  <si>
    <t>Hi, hoping we can connect at the Summit!  We spoke with someone from Southwest at the NGLCC conference in Palm Springs.  LSA Digital connects agility-at-scale + EA/Process + ITSM solutions together.  Would love to discuss some ideas on combining Southwest capabilities for better digital outcomes!</t>
  </si>
  <si>
    <t>Brandon Bius
Caroline Wahl
Cynthia George
Evan Pounds
Fabian Beltran
Justin Barker
Tanner Wulff</t>
  </si>
  <si>
    <t>Spectrum Reach</t>
  </si>
  <si>
    <t>Spire Services Inc</t>
  </si>
  <si>
    <t>Manager, Agile Operations</t>
  </si>
  <si>
    <t>Stratagen</t>
  </si>
  <si>
    <t>Data Engineer - Partner</t>
  </si>
  <si>
    <t>Synchrony</t>
  </si>
  <si>
    <t>VP, Office of Agile</t>
  </si>
  <si>
    <t>Takeda</t>
  </si>
  <si>
    <t>Head of Agile Transformation</t>
  </si>
  <si>
    <t>Tantus Technologies</t>
  </si>
  <si>
    <t>Marc Santini</t>
  </si>
  <si>
    <t>Aldo Barbaran</t>
  </si>
  <si>
    <t>AVP, Transformation</t>
  </si>
  <si>
    <t>Jason Kenney</t>
  </si>
  <si>
    <t>Hi Jason,hoping we can connect at the Summit!  We spoke with someone from TD Bank at the NGLCC conference in Palm Springs.  LSA Digital connects agility-at-scale + EA + ITSM solutions together.  Would love to discuss some ideas on combining TD Bank capabilities for better digital outcomes!</t>
  </si>
  <si>
    <t>Also sent to:  David Golen, Debbie Awde, Curtis Yee</t>
  </si>
  <si>
    <t>TD Canada Trust</t>
  </si>
  <si>
    <t>Manager, Organization Effectiveness</t>
  </si>
  <si>
    <t>TDC SOFT Inc.</t>
  </si>
  <si>
    <t>Fellow</t>
  </si>
  <si>
    <t>TECVERIS</t>
  </si>
  <si>
    <t>I wanted to follow up on my colleague’s  previous email regarding potential opportunities to connect at the SAFe Summit. LSA Digital specializes in agility-at-scale + EA + ITSM solutions, and we see great potential for collaboration with TecVeris. We’d love to explore how our Agile transformation and enterprise architecture expertise can complement your strengths to deliver greater value to clients.</t>
  </si>
  <si>
    <t>Millie Paniccia</t>
  </si>
  <si>
    <t>TEKsystems</t>
  </si>
  <si>
    <t>Practice Architect</t>
  </si>
  <si>
    <t>TEKsystems Global Services</t>
  </si>
  <si>
    <t>Lead Agile Coach- SPCT</t>
  </si>
  <si>
    <t>TEKSystems LLC</t>
  </si>
  <si>
    <t>Chief Agility Architect</t>
  </si>
  <si>
    <t>Tempo Software</t>
  </si>
  <si>
    <t>Manager, Solution Engineering</t>
  </si>
  <si>
    <t>The Adaptavist Group</t>
  </si>
  <si>
    <t>Solution Engineer</t>
  </si>
  <si>
    <t>I wanted to follow up on my colleague’s  previous email regarding potential opportunities to connect at the SAFe Summit. LSA Digital specializes in agility-at-scale + EA + ITSM solutions, and we see great potential for collaboration with The Adaptavist Group. We’d love to explore how our Agile transformation and enterprise architecture expertise can complement your strengths to deliver greater value to clients.</t>
  </si>
  <si>
    <t>Peter Kerrigan</t>
  </si>
  <si>
    <t>The Aerospace Corpration</t>
  </si>
  <si>
    <t>Sr. Project Leader</t>
  </si>
  <si>
    <t>Principal Consultant, SPCT</t>
  </si>
  <si>
    <t>THE HARTFORD</t>
  </si>
  <si>
    <t>AGILE COACH</t>
  </si>
  <si>
    <t>The Hartford Ins.</t>
  </si>
  <si>
    <t>Portfolio Coach</t>
  </si>
  <si>
    <t>The Hershey Company</t>
  </si>
  <si>
    <t>Sr. Mgr. Portfolio Governance, LPM Champion</t>
  </si>
  <si>
    <t>NGLCC (Marisa Jakubovic)</t>
  </si>
  <si>
    <t>The Home Depot</t>
  </si>
  <si>
    <t>Senior Program Product Director</t>
  </si>
  <si>
    <t>The MITRE Corporation</t>
  </si>
  <si>
    <t>Senior Project Manager</t>
  </si>
  <si>
    <t>The World Bank</t>
  </si>
  <si>
    <t>thyssenkrupp NA</t>
  </si>
  <si>
    <t>SAP Support and Specialist</t>
  </si>
  <si>
    <t>TIAA</t>
  </si>
  <si>
    <t>I wanted to follow up on my colleague’s  previous email regarding potential opportunities to connect at the SAFe Summit. LSA Digital specializes in agility-at-scale + EA + ITSM solutions, and we see great potential for collaboration with TISTA. We’d love to explore how our Agile transformation and enterprise architecture expertise can complement TISTA’s strengths to deliver greater value to clients.</t>
  </si>
  <si>
    <t>Anthony Cannon</t>
  </si>
  <si>
    <t>Treasury/OCC</t>
  </si>
  <si>
    <t>Senior Advisor</t>
  </si>
  <si>
    <t>Tripoint Solutions</t>
  </si>
  <si>
    <t>Triverus Consulting, LLC</t>
  </si>
  <si>
    <t>SAFe Coach/Trainer</t>
  </si>
  <si>
    <t xml:space="preserve">I wanted to reach out to talk about potential opportunities </t>
  </si>
  <si>
    <t>Troy Douglas</t>
  </si>
  <si>
    <t>Truist</t>
  </si>
  <si>
    <t>Nate Fandel</t>
  </si>
  <si>
    <t>Software AG, (2) NGLCC,</t>
  </si>
  <si>
    <t>Hi ,hoping we can connect at the Summit!  LSA Digital connects agility-at-scale + EA + ITSM solutions together, and I know Truist has already invested in ARIS business process management software (we are an ARIS Premier partner).  Would love to discuss some ideas on combining Truist capabilities for better outcomes!</t>
  </si>
  <si>
    <t>Also: Rachel Harris, scrum master</t>
  </si>
  <si>
    <t>Truist Bank</t>
  </si>
  <si>
    <t>Software Engineering Director</t>
  </si>
  <si>
    <t>Anne-Mare Prinsloo</t>
  </si>
  <si>
    <t xml:space="preserve">Software AG, (2) NGLCC, </t>
  </si>
  <si>
    <t>Hi ,hoping we can connect at the Summit!  LSA Digital connects agility-at-scale + EA + ITSM solutions together, and I know Truist has already invested in ARIS business process management software (we are an ARIS Premier partner).  Also, our ServiceNow / ITSM director can demo how we accelerate software engineering by aligning ITSM and agile tools.  Would love to discuss some ideas on combining Truist capabilities for better outcomes!</t>
  </si>
  <si>
    <t>Truist Financial</t>
  </si>
  <si>
    <t>VP - Enterprise Data and Analytics</t>
  </si>
  <si>
    <t>Derrick Brown</t>
  </si>
  <si>
    <t>Hi Derrick, hoping we can connect at the Summit!  LSA Digital connects agility-at-scale + EA + ITSM solutions together, and I know Truist has already invested in ARIS business process management software (we are an ARIS Premier partner).  This can be especially powerful for process mining to auto-build more realistic processes based on data flow through systems.
Would love to discuss some ideas on combining Truist capabilities for better outcomes!</t>
  </si>
  <si>
    <t>Truist Financial Corporation</t>
  </si>
  <si>
    <t>Ed Pulley</t>
  </si>
  <si>
    <t>Hi Ed,hoping we can connect at the Summit!  LSA Digital connects agility-at-scale + EA + ITSM solutions together, and I know Truist has already invested in ARIS business process management software (we are an ARIS Premier partner).  Would love to discuss some ideas on combining Truist capabilities for better outcomes!</t>
  </si>
  <si>
    <t>TSavvy Consulting Inc</t>
  </si>
  <si>
    <t>Turkish Aerospace</t>
  </si>
  <si>
    <t>Corporate Transformation Agent</t>
  </si>
  <si>
    <t>U.S. Air Force</t>
  </si>
  <si>
    <t>Chief Development Test Deputy</t>
  </si>
  <si>
    <t>Umano</t>
  </si>
  <si>
    <t>United States Army Acquisition Support Center</t>
  </si>
  <si>
    <t>System Release Manager</t>
  </si>
  <si>
    <t>University of Auckland</t>
  </si>
  <si>
    <t>Portfolio Change Manager</t>
  </si>
  <si>
    <t>Unum</t>
  </si>
  <si>
    <t>Unum - US</t>
  </si>
  <si>
    <t>UpGrad</t>
  </si>
  <si>
    <t>Senior Agile Transformation Lead</t>
  </si>
  <si>
    <t>US Army PEO Enterprise</t>
  </si>
  <si>
    <t>US Army PEO IES IPPS-A</t>
  </si>
  <si>
    <t>System Engineer</t>
  </si>
  <si>
    <t>US Army, PEO-EIS, IPPS-A</t>
  </si>
  <si>
    <t>System Architect</t>
  </si>
  <si>
    <t>US Navy</t>
  </si>
  <si>
    <t>NGLCC / Rocket Reach / Multiple Contacts</t>
  </si>
  <si>
    <t>Hi Alexis, hoping we can connect at the Summit!  LSA Digital connects agility-at-scale + EA + ITSM solutions together, and I helped Brian Clatterbuck and others at USAA implement ARIS web-based process design, analysis and compliance in 2021 (we are an ARIS Premier partner).  
It would be great to hear how things are going, and if there are any opportunities to accelerate your agility efforts with better process / compliance maturity and adoption!</t>
  </si>
  <si>
    <t>Alexis Foster
Andrew Almaraz
Bonnie Cortez
Dan Lestage
Donna Olson
Jeffrey Smith
Jenny Pobanz
Jorge Garcia
Roy Nichols</t>
  </si>
  <si>
    <t>No contacts in HubSpot</t>
  </si>
  <si>
    <t>UT-Battelle/Oak Ridge National Lab</t>
  </si>
  <si>
    <t>Group Leader, Systems Management</t>
  </si>
  <si>
    <t>SAFe Practice Consultant (SPC)</t>
  </si>
  <si>
    <t>Vertex, Inc.</t>
  </si>
  <si>
    <t>Vitech Systems Group</t>
  </si>
  <si>
    <t>Principle Enterprise Coach</t>
  </si>
  <si>
    <t>Vitech Systems Group, Inc</t>
  </si>
  <si>
    <t>Sr. Director, Head of Methodology</t>
  </si>
  <si>
    <t>Volkswagen Financial Services</t>
  </si>
  <si>
    <t>Agile Transformation Manager</t>
  </si>
  <si>
    <t>VW Credit Inc</t>
  </si>
  <si>
    <t>Domain Portfolio Manager</t>
  </si>
  <si>
    <t>Washington Technology Solutions</t>
  </si>
  <si>
    <t>Asst Director</t>
  </si>
  <si>
    <t>Wellmark BCBS</t>
  </si>
  <si>
    <t>Wellmark BCBS of IA &amp; SD</t>
  </si>
  <si>
    <t>Wesco</t>
  </si>
  <si>
    <t>Director Business Agility | Lean Portfolio Management Lead</t>
  </si>
  <si>
    <t>Wespath Benefits | Investments</t>
  </si>
  <si>
    <t>Sr. Business Analyst/Product Owner</t>
  </si>
  <si>
    <t>Wespath Benefits and Investments</t>
  </si>
  <si>
    <t>Westcroft Partners</t>
  </si>
  <si>
    <t>Westfield Insurance</t>
  </si>
  <si>
    <t>Technical Consultant Project and Program Manager - Agile Coach</t>
  </si>
  <si>
    <t>WI Dept. of Employee Trust Funds</t>
  </si>
  <si>
    <t>IAS Product Owner</t>
  </si>
  <si>
    <t>WoodmenLife</t>
  </si>
  <si>
    <t>Agile Program Manager</t>
  </si>
  <si>
    <t>World Bank</t>
  </si>
  <si>
    <t>IT Consultant</t>
  </si>
  <si>
    <t>Yeret Agility</t>
  </si>
  <si>
    <t>SAFe Fellow | SPCT</t>
  </si>
  <si>
    <t>Zelis</t>
  </si>
  <si>
    <t>Engineering Operations Manager</t>
  </si>
  <si>
    <t>Priority of Contact</t>
  </si>
  <si>
    <t>Company</t>
  </si>
  <si>
    <t>Comments</t>
  </si>
  <si>
    <t>LSA POC</t>
  </si>
  <si>
    <t>High</t>
  </si>
  <si>
    <t>Hawk</t>
  </si>
  <si>
    <t>Chief Strategy Officer</t>
  </si>
  <si>
    <t>I would love to get together explore potential partnering.</t>
  </si>
  <si>
    <t>Erin Rae</t>
  </si>
  <si>
    <t>McClasin</t>
  </si>
  <si>
    <t>Hi Kurt, would love to connect at the event. We‚Äôre looking for strategic partners and see synergies. Should we schedule a time for a conversation?</t>
  </si>
  <si>
    <t>ROBERTO</t>
  </si>
  <si>
    <t>BAPTISTA</t>
  </si>
  <si>
    <t>Hi Kurt, yes, I'd be glad to talk about it at the Summit.</t>
  </si>
  <si>
    <t>Ross</t>
  </si>
  <si>
    <t>Libby</t>
  </si>
  <si>
    <t>Hi Kurt, great to connect and talk about collaboration opportunities. Will you be there for Partner Day?</t>
  </si>
  <si>
    <t>Nadia</t>
  </si>
  <si>
    <t>Kouri</t>
  </si>
  <si>
    <t>CSPO, Director of Growth</t>
  </si>
  <si>
    <t>Praecipio</t>
  </si>
  <si>
    <t>Are you attending the SAFe Summit? I'd love to connect, discuss potential collaborations.</t>
  </si>
  <si>
    <t>Luke</t>
  </si>
  <si>
    <t>Hohmann</t>
  </si>
  <si>
    <t>I‚Äôd love to connect. Best options are the euchre and Profit Streams party on Monday or my presentation Wednesday.</t>
  </si>
  <si>
    <t>Andrea</t>
  </si>
  <si>
    <t>Fryrear</t>
  </si>
  <si>
    <t>Hi Kurt, happy to chat while we're at the Summit. I am getting in Monday.</t>
  </si>
  <si>
    <t>Very interested to know if you've done anything in the large-scale renewables space.</t>
  </si>
  <si>
    <t>Michael</t>
  </si>
  <si>
    <t>Lüer</t>
  </si>
  <si>
    <t>Hi Kurt, nice to meet you virtually. Then let's try physically. Any ideas?</t>
  </si>
  <si>
    <t>Stella</t>
  </si>
  <si>
    <t>O'Brien</t>
  </si>
  <si>
    <t>Sr. VP Sales</t>
  </si>
  <si>
    <t>Thanks Kurt! Yes, let‚ try to meet up. Would you want an invite to our Lean Coffee on AI? It's on Wednesday at 10:15 AM with Steve Mayner, SAI. Please send me your email and I'l invite you!</t>
  </si>
  <si>
    <t>Low</t>
  </si>
  <si>
    <t>Amanda</t>
  </si>
  <si>
    <t>Balliet</t>
  </si>
  <si>
    <t>Agile Coach/SPC</t>
  </si>
  <si>
    <t>Looking forward to it!</t>
  </si>
  <si>
    <t>Nicholas</t>
  </si>
  <si>
    <t>Londei</t>
  </si>
  <si>
    <t>Transformative Coach</t>
  </si>
  <si>
    <t>Please come see us at our booth. We'll connect you with the right person.</t>
  </si>
  <si>
    <t>Would be thrilled to connect. Let's coordinate a time.</t>
  </si>
  <si>
    <t>This is my first SAFe Summit. I'd love to catch up at the booth or schedule a time.</t>
  </si>
  <si>
    <t>Hey Kurt! Happy to connect!</t>
  </si>
  <si>
    <t>Medium</t>
  </si>
  <si>
    <t>Kretzer</t>
  </si>
  <si>
    <t>Let's meet for a coffee at our booth 200 and chat.</t>
  </si>
  <si>
    <t>Stephan</t>
  </si>
  <si>
    <t>Neck</t>
  </si>
  <si>
    <t>SPCT, Managing Director</t>
  </si>
  <si>
    <t>Do you have a booth?</t>
  </si>
  <si>
    <t>Wendy</t>
  </si>
  <si>
    <t>Griffin</t>
  </si>
  <si>
    <t>Management and Program Analyst</t>
  </si>
  <si>
    <t>I will stop by.</t>
  </si>
  <si>
    <t>Aitchison</t>
  </si>
  <si>
    <t>Tech Solutions Architect Sr. Director</t>
  </si>
  <si>
    <t>Launch by NTT Data</t>
  </si>
  <si>
    <t>Yes - of course. Come by booth 308 or message me here for some time</t>
  </si>
  <si>
    <t>Glenn</t>
  </si>
  <si>
    <t>Watson</t>
  </si>
  <si>
    <t>Sr. Advisor, Launch (NTT Data)</t>
  </si>
  <si>
    <t>Yes, hope to connect.  Sent a linkedIn invite</t>
  </si>
  <si>
    <t>Buehlman</t>
  </si>
  <si>
    <t>Digital Product Sr. Director</t>
  </si>
  <si>
    <t>100% stop by the booth or we can have a coffee or drink</t>
  </si>
  <si>
    <t>Daniel</t>
  </si>
  <si>
    <t>Presten</t>
  </si>
  <si>
    <t>Sr. Director Value Stream Management &amp; Business Agility</t>
  </si>
  <si>
    <t>NTT Data</t>
  </si>
  <si>
    <t>Sounds interesting let's connect and see where opportunities may exist!</t>
  </si>
  <si>
    <t>Armen</t>
  </si>
  <si>
    <t>Sanasarian</t>
  </si>
  <si>
    <t>Digital Solution Architect, Director</t>
  </si>
  <si>
    <t>Sure.  I'd love to chat about what you're seeing and your perspectives.  However, Launch @ NTT DATA doesn't subcontract.  Don’t' want to mislead</t>
  </si>
  <si>
    <t>Thanks for the connect!</t>
  </si>
  <si>
    <t>Last Registration Date (GMT-07:00) Mountain [US &amp; Canada]</t>
  </si>
  <si>
    <t>Electronics Engineer(Technical Specialist)/RTE</t>
  </si>
  <si>
    <t>Computer Scientist</t>
  </si>
  <si>
    <t>x</t>
  </si>
  <si>
    <t>Public Sector Account Executive</t>
  </si>
  <si>
    <t>Business Development Representative</t>
  </si>
  <si>
    <t>SPCT-Candidate Agility Advisor Expert</t>
  </si>
  <si>
    <t>Product Marketing Manager</t>
  </si>
  <si>
    <t>Technical Content Writer</t>
  </si>
  <si>
    <t>CSO</t>
  </si>
  <si>
    <t>VP Enterprise Solutions</t>
  </si>
  <si>
    <t>VP Sales</t>
  </si>
  <si>
    <t>SR MANAGER-DIGITAL PORTFOLIO MGMT, EFFICIENCY CONSULTING</t>
  </si>
  <si>
    <t>Senior Technical Program Manager</t>
  </si>
  <si>
    <t>Director, Portfolio &amp; Investments</t>
  </si>
  <si>
    <t>Senior Manager, Agile Transformation</t>
  </si>
  <si>
    <t>SAFe Agile Coach</t>
  </si>
  <si>
    <t>AVP, Solution Architecture</t>
  </si>
  <si>
    <t>AMTRAK</t>
  </si>
  <si>
    <t>Senior Director, Organizational Change Management</t>
  </si>
  <si>
    <t>AVP, Operations Management and Tech</t>
  </si>
  <si>
    <t>Senior Director, Lean Portfolio Management</t>
  </si>
  <si>
    <t>Vice President, DT Technology Operations</t>
  </si>
  <si>
    <t>Vice President, Chief Digital Officer</t>
  </si>
  <si>
    <t>Sr Solution Architect</t>
  </si>
  <si>
    <t>Apptio, an IBM Company</t>
  </si>
  <si>
    <t>Sr. Solutions Consultant</t>
  </si>
  <si>
    <t>Partner Sales Manager Americas ATP</t>
  </si>
  <si>
    <t>Product Lead</t>
  </si>
  <si>
    <t>Principal Operational Strategist</t>
  </si>
  <si>
    <t>Astrazeneca</t>
  </si>
  <si>
    <t>Scrum Manager</t>
  </si>
  <si>
    <t>Global Lean-Agile Capability Leas</t>
  </si>
  <si>
    <t>SAFe 6.0 iSPCT, Kotter Certified Advanced Change Leader</t>
  </si>
  <si>
    <t>Associate Director, Continuous Improvement</t>
  </si>
  <si>
    <t>SPC, Agile Coach</t>
  </si>
  <si>
    <t>SPC, Solution Train Engineer</t>
  </si>
  <si>
    <t>RTE / Sr Mgr PMO</t>
  </si>
  <si>
    <t>Lead SAFe Coach</t>
  </si>
  <si>
    <t>MSI SAFe Transformation Lead</t>
  </si>
  <si>
    <t>Sr Product Marketing Engineer</t>
  </si>
  <si>
    <t>ValueOps Specialist</t>
  </si>
  <si>
    <t>Senior Product Marketing Manager</t>
  </si>
  <si>
    <t>Managing Director, Digital Transformation</t>
  </si>
  <si>
    <t>Registered in Portal</t>
  </si>
  <si>
    <t>Scrum Master, Sales Technology</t>
  </si>
  <si>
    <t>Director, CTS Digital Transformation</t>
  </si>
  <si>
    <t>Managing Principal</t>
  </si>
  <si>
    <t>Sr Consultant</t>
  </si>
  <si>
    <t>Senior Scrum  Master</t>
  </si>
  <si>
    <t>IT Director - Business Solution</t>
  </si>
  <si>
    <t>Test and Release Manager</t>
  </si>
  <si>
    <t>Project Manager IV</t>
  </si>
  <si>
    <t>Agile Coach - Senior Business Consultant</t>
  </si>
  <si>
    <t>Vice-President, Consulting Services</t>
  </si>
  <si>
    <t>Director Expert - Enterprise Agile Coach</t>
  </si>
  <si>
    <t>Director Consulting Services</t>
  </si>
  <si>
    <t>Agile Chapter Manager</t>
  </si>
  <si>
    <t>Sub-Chapter Head - Agile Delivery</t>
  </si>
  <si>
    <t>Lead Solution Train Engineer</t>
  </si>
  <si>
    <t>Assistant CIO</t>
  </si>
  <si>
    <t>Senior Director Business Office</t>
  </si>
  <si>
    <t>AVP, Product Management Office</t>
  </si>
  <si>
    <t>AVP, LACE Leader</t>
  </si>
  <si>
    <t>Co-founder</t>
  </si>
  <si>
    <t>Strategy Planning &amp; Portfolio Sr. Analyst</t>
  </si>
  <si>
    <t>Communications &amp; Change Sr. Analyst</t>
  </si>
  <si>
    <t>Lean Agile Consultant</t>
  </si>
  <si>
    <t>Vice President, Agile PMO</t>
  </si>
  <si>
    <t>AVP, Agile PMO</t>
  </si>
  <si>
    <t>Cprime</t>
  </si>
  <si>
    <t>Practice Director - Portfolio &amp; Scaling Tools</t>
  </si>
  <si>
    <t>Practice Director - Scaled Agility</t>
  </si>
  <si>
    <t>VP Enterprise Agility, SAFe Fellow</t>
  </si>
  <si>
    <t>Business Agility Consultant</t>
  </si>
  <si>
    <t>Sr. Project Manager, IT, PMO</t>
  </si>
  <si>
    <t>Senior Manager, IT</t>
  </si>
  <si>
    <t>DaVita</t>
  </si>
  <si>
    <t>Program Manager, PMO</t>
  </si>
  <si>
    <t>Software Engineer/Product Owner</t>
  </si>
  <si>
    <t>Capabilities and Requirements Manager</t>
  </si>
  <si>
    <t>Specialist Leader</t>
  </si>
  <si>
    <t>Senior Consultant</t>
  </si>
  <si>
    <t>Manager - Product Owner</t>
  </si>
  <si>
    <t>Innovation &amp; Ventures Director</t>
  </si>
  <si>
    <t>Consulting Manager</t>
  </si>
  <si>
    <t>Manager/Agile Coach</t>
  </si>
  <si>
    <t>DEPARTMENT OF VETERAN AFFAIRS</t>
  </si>
  <si>
    <t>DIRECTOR PRODUCT DELIVERY</t>
  </si>
  <si>
    <t>MANAGEMENT AND PROGRAM ANALYST</t>
  </si>
  <si>
    <t>SENIOR IT SPECIALIST</t>
  </si>
  <si>
    <t>SUPERVISORY MANAGEMENT AND PROGRAM ANALYST</t>
  </si>
  <si>
    <t>IT SPECIALIST</t>
  </si>
  <si>
    <t>PROGRAM MANAGER</t>
  </si>
  <si>
    <t>Department Leader</t>
  </si>
  <si>
    <t>Sr Scrum master</t>
  </si>
  <si>
    <t>Department Leader | Product Operations</t>
  </si>
  <si>
    <t>Sr. Team Leader</t>
  </si>
  <si>
    <t>Leadership Development, Colleague Enablement Leader</t>
  </si>
  <si>
    <t>Sr. Manager</t>
  </si>
  <si>
    <t>Digital Lead</t>
  </si>
  <si>
    <t>Account Executive- Agile</t>
  </si>
  <si>
    <t>Senior Account Executive- Agile</t>
  </si>
  <si>
    <t>Enterprise Agile Coach/Trainer</t>
  </si>
  <si>
    <t>Independent Consultant - SPCT Candidate</t>
  </si>
  <si>
    <t>President and Lead Coach</t>
  </si>
  <si>
    <t>Enterprise Cybersecurity and Risk - Global Head of Execution</t>
  </si>
  <si>
    <t>Transformation Consultant</t>
  </si>
  <si>
    <t>SUPERVISORY BUDGET ANALYST</t>
  </si>
  <si>
    <t>Enterprise Transformation Coach</t>
  </si>
  <si>
    <t>Manager of Portfolio and Program Management</t>
  </si>
  <si>
    <t>FEDERAL RESERVE BANK OF CHICAGO</t>
  </si>
  <si>
    <t>Agile Coach / Release Train Engineer</t>
  </si>
  <si>
    <t>Senior Business Analyst</t>
  </si>
  <si>
    <t>Assistant Manager</t>
  </si>
  <si>
    <t>Director, IT</t>
  </si>
  <si>
    <t>Sr IT Project Manager</t>
  </si>
  <si>
    <t>Sr IT Director</t>
  </si>
  <si>
    <t>Sr IT Manager</t>
  </si>
  <si>
    <t>Senior Program Manager</t>
  </si>
  <si>
    <t>Agile Solutions Architect</t>
  </si>
  <si>
    <t>Director and Principal</t>
  </si>
  <si>
    <t>Front Porch Agility Ltd.</t>
  </si>
  <si>
    <t>Principal</t>
  </si>
  <si>
    <t>Managing Partner | Executive Advisor</t>
  </si>
  <si>
    <t>Scrum Msster/ Team Coach</t>
  </si>
  <si>
    <t>Senior Software Developer</t>
  </si>
  <si>
    <t>Solutions Senior Manager</t>
  </si>
  <si>
    <t>Engineering Technical Advisor / Agile Coach</t>
  </si>
  <si>
    <t>Engineering Manager</t>
  </si>
  <si>
    <t>Head of Product Development</t>
  </si>
  <si>
    <t>Head of Customer Success</t>
  </si>
  <si>
    <t>Sr Director - EPMO</t>
  </si>
  <si>
    <t>Quality Manager</t>
  </si>
  <si>
    <t>Team Coach</t>
  </si>
  <si>
    <t>GS1US</t>
  </si>
  <si>
    <t>Technical Product Owner</t>
  </si>
  <si>
    <t>IT Project Manager III</t>
  </si>
  <si>
    <t>Director - Digital Communications Platforms</t>
  </si>
  <si>
    <t>Practice Director</t>
  </si>
  <si>
    <t>Product Owner II</t>
  </si>
  <si>
    <t>Group Leader</t>
  </si>
  <si>
    <t>EDI Lead</t>
  </si>
  <si>
    <t>Associate Director, Agile Delivery</t>
  </si>
  <si>
    <t>Portfolio Principal</t>
  </si>
  <si>
    <t>Enterprise Lean-Agile Lead</t>
  </si>
  <si>
    <t>Director of Portfolio Management</t>
  </si>
  <si>
    <t>Portfolio Management Lead</t>
  </si>
  <si>
    <t>Director IT Portfolio Management Transformation</t>
  </si>
  <si>
    <t>Director, Agile Transformation &amp; Portfolio Management</t>
  </si>
  <si>
    <t>HZM consulting</t>
  </si>
  <si>
    <t>Strategic Advisor</t>
  </si>
  <si>
    <t>Sales Development Rep</t>
  </si>
  <si>
    <t>Associate Partner</t>
  </si>
  <si>
    <t>Agile Sales Director</t>
  </si>
  <si>
    <t>Advanced Scrum Master (SASM)</t>
  </si>
  <si>
    <t>Practice Leader | Agile Tranformation</t>
  </si>
  <si>
    <t>IBM Consulting - Federal</t>
  </si>
  <si>
    <t>IT Architect</t>
  </si>
  <si>
    <t>IBM/Apptio</t>
  </si>
  <si>
    <t>Director - Agile</t>
  </si>
  <si>
    <t>Transformation Coach, SPCT</t>
  </si>
  <si>
    <t>ICON Agility Services</t>
  </si>
  <si>
    <t>Recruiter &amp; Sales Support</t>
  </si>
  <si>
    <t>Principle Consultant, SPCT</t>
  </si>
  <si>
    <t>Vice President, Business Management</t>
  </si>
  <si>
    <t>Icon Agility Services, Inc.</t>
  </si>
  <si>
    <t>Business Agility Principal Consultant</t>
  </si>
  <si>
    <t>CDO</t>
  </si>
  <si>
    <t>Director of Strategic Consulting</t>
  </si>
  <si>
    <t>SAFe Product Manager</t>
  </si>
  <si>
    <t>ERP Program Manager</t>
  </si>
  <si>
    <t>Business Agility Enabler &amp; Partner</t>
  </si>
  <si>
    <t>Agile HR Thought Leader</t>
  </si>
  <si>
    <t>Senior Associate, Banking &amp; Payments</t>
  </si>
  <si>
    <t>Lead Project Engineer</t>
  </si>
  <si>
    <t>Managing Director, Client Partner</t>
  </si>
  <si>
    <t>Sr. Marketing Analyst</t>
  </si>
  <si>
    <t>Director, Agilist Management</t>
  </si>
  <si>
    <t>RVP of Digital Experiences Partnership</t>
  </si>
  <si>
    <t>Technical Solutions Architect Senior Director</t>
  </si>
  <si>
    <t>Digital Product Senior Manager</t>
  </si>
  <si>
    <t>Digital Product Senior Director</t>
  </si>
  <si>
    <t>Project Engineer</t>
  </si>
  <si>
    <t>Senior Staff Systems &amp; Software Engineer</t>
  </si>
  <si>
    <t>Project Engineer Sr Staff (Solution Train Engineer)</t>
  </si>
  <si>
    <t>Orchestrator / Agile Coach</t>
  </si>
  <si>
    <t>Sr Agile Coach, Portfolio Orchestrator - FORCE</t>
  </si>
  <si>
    <t>Sr. Advisor - Manager - Business Development &amp; Digital IT Services</t>
  </si>
  <si>
    <t>Director of Agility-at-Scale</t>
  </si>
  <si>
    <t>Sr. Advisor, Manager</t>
  </si>
  <si>
    <t>Director, UX Architecture</t>
  </si>
  <si>
    <t>Sr. Advisor/ Manager - Agile Coach</t>
  </si>
  <si>
    <t>Director - Engineering</t>
  </si>
  <si>
    <t>Lux Resi Product Management</t>
  </si>
  <si>
    <t>ManTech International</t>
  </si>
  <si>
    <t>Engineering Fellow</t>
  </si>
  <si>
    <t>VMO/Portfolio Manager</t>
  </si>
  <si>
    <t>Lead Product Manager</t>
  </si>
  <si>
    <t>RTE / Program Manager</t>
  </si>
  <si>
    <t>Director - Salesforce Platform</t>
  </si>
  <si>
    <t>Sr. Manager - Enterprise Coach</t>
  </si>
  <si>
    <t>Release Train Engineer / SPC</t>
  </si>
  <si>
    <t>Manager</t>
  </si>
  <si>
    <t>IT Governance Analyst</t>
  </si>
  <si>
    <t>Head of Global Execution Excellence</t>
  </si>
  <si>
    <t>AVP, Chief Scrum Master</t>
  </si>
  <si>
    <t>Principal, Agile Design and Engineering</t>
  </si>
  <si>
    <t>I/S Principal Program Manager</t>
  </si>
  <si>
    <t>Information Services Manager</t>
  </si>
  <si>
    <t>Dir ART Product Managment</t>
  </si>
  <si>
    <t>IS Manager</t>
  </si>
  <si>
    <t>Director, Application &amp; Platform Services</t>
  </si>
  <si>
    <t>Software Engineering Manager</t>
  </si>
  <si>
    <t>Manager, Digital Portfolio Strategy</t>
  </si>
  <si>
    <t>Director of Agile Implementation</t>
  </si>
  <si>
    <t>Contract Officer Representative</t>
  </si>
  <si>
    <t>F/A-18 &amp; EA-18G IPT Chief Strategy Officer</t>
  </si>
  <si>
    <t>Manager LACE</t>
  </si>
  <si>
    <t>Manager Digital Strategy &amp; Change</t>
  </si>
  <si>
    <t>AVP, Digital Strategy</t>
  </si>
  <si>
    <t>Program Manager II</t>
  </si>
  <si>
    <t>Mgr Projects &amp; Proc Improvement</t>
  </si>
  <si>
    <t>Business Portfolio &amp; Value Mgr I</t>
  </si>
  <si>
    <t>Snr. Agile Coach, Agile Services Team, Information Security</t>
  </si>
  <si>
    <t>Project Manager II</t>
  </si>
  <si>
    <t>Scrum Master Lead</t>
  </si>
  <si>
    <t>Senior Principal Engineer - AI/ML/NLP</t>
  </si>
  <si>
    <t>Project Manager I</t>
  </si>
  <si>
    <t>Lead Systems Analyst</t>
  </si>
  <si>
    <t>Manager, Marketing Project &amp; Production Mgmt/ Release Train Engineer</t>
  </si>
  <si>
    <t>Business Portfolio Analyst</t>
  </si>
  <si>
    <t>Manager, Projects and Process Improvement</t>
  </si>
  <si>
    <t>Technical Program manager</t>
  </si>
  <si>
    <t>Sr Experience Analyst</t>
  </si>
  <si>
    <t>Asst. Manager Real Estate Lending Origination Systems</t>
  </si>
  <si>
    <t>Manager, Lending Portfolio Governance &amp; Value Management</t>
  </si>
  <si>
    <t>Support Lead IV</t>
  </si>
  <si>
    <t>Manager, Communications &amp; Employee Experience</t>
  </si>
  <si>
    <t>Asst Mgr Real Estate Servicing Systems</t>
  </si>
  <si>
    <t>Asst. Manager Marketing Proj Mgmt</t>
  </si>
  <si>
    <t>Northorp Grumman</t>
  </si>
  <si>
    <t>Staff Agile Coach</t>
  </si>
  <si>
    <t>Agile Coach Manager</t>
  </si>
  <si>
    <t>Agile Coach / Information Technology Manager</t>
  </si>
  <si>
    <t>Software Engineering Manager 2 - Agile Coach</t>
  </si>
  <si>
    <t>Engineer</t>
  </si>
  <si>
    <t>Director - Enterprise Agility</t>
  </si>
  <si>
    <t>Agility Executive Manager</t>
  </si>
  <si>
    <t>Deputy Manager</t>
  </si>
  <si>
    <t>Sr. Director Value Stream Management and Business Agility</t>
  </si>
  <si>
    <t>Systems Engineering Senior Advisor</t>
  </si>
  <si>
    <t>Petrobras</t>
  </si>
  <si>
    <t>System Analyst</t>
  </si>
  <si>
    <t>Head of Agility</t>
  </si>
  <si>
    <t>Senior Director of Program Delivery</t>
  </si>
  <si>
    <t>Director of Program Delivery</t>
  </si>
  <si>
    <t>Functional Consultant</t>
  </si>
  <si>
    <t>Associate Account Executive</t>
  </si>
  <si>
    <t>Director, Enterprise Account Executive</t>
  </si>
  <si>
    <t>Director, Services Delivery</t>
  </si>
  <si>
    <t>Strategic Account Executive</t>
  </si>
  <si>
    <t>Sr. Account Executive - Enterprise</t>
  </si>
  <si>
    <t>Director, Solution Consulting</t>
  </si>
  <si>
    <t>Partner Marketing Director</t>
  </si>
  <si>
    <t>Sr.Scrum Master/SPC</t>
  </si>
  <si>
    <t>Sr Strategy And Planning Group Manager</t>
  </si>
  <si>
    <t>Vice-President/Agile Coach</t>
  </si>
  <si>
    <t>SPC,  Assistant Vice President, Retail MIS Business Technology &amp; Innovation</t>
  </si>
  <si>
    <t>Director, Business Operations</t>
  </si>
  <si>
    <t>Quality Lead</t>
  </si>
  <si>
    <t>SW Technical Lead, Principal Engineer, SPC</t>
  </si>
  <si>
    <t>Strategic Program Manager</t>
  </si>
  <si>
    <t>Principal, gSPCT</t>
  </si>
  <si>
    <t>Technical Services Manager</t>
  </si>
  <si>
    <t>Director of Business Architecture</t>
  </si>
  <si>
    <t>Senior Director of Globalization Services</t>
  </si>
  <si>
    <t>Customer Success Manager</t>
  </si>
  <si>
    <t>Enterprise Account Exec</t>
  </si>
  <si>
    <t>Senior Learning Content Developer</t>
  </si>
  <si>
    <t>Senior Software Engineer</t>
  </si>
  <si>
    <t>Engineer I, Web Developer</t>
  </si>
  <si>
    <t>Learning Content Developer</t>
  </si>
  <si>
    <t>Sr. Events Manager</t>
  </si>
  <si>
    <t>Director, Information Security &amp; IT</t>
  </si>
  <si>
    <t>Principal, SAFe Fellow</t>
  </si>
  <si>
    <t>Sr. Director Partner Business Development</t>
  </si>
  <si>
    <t>Director of Software Engineering</t>
  </si>
  <si>
    <t>Summits Promotions &amp; Branding Manager</t>
  </si>
  <si>
    <t>Director of Community Engagement</t>
  </si>
  <si>
    <t>Sr. Director Marketing BS</t>
  </si>
  <si>
    <t>Strategic Growth Lead, Government</t>
  </si>
  <si>
    <t>Account Executive</t>
  </si>
  <si>
    <t>Country Manager, Japan</t>
  </si>
  <si>
    <t>Sr. Director Customer Success and Operations</t>
  </si>
  <si>
    <t>Portfolio Strategy Leader</t>
  </si>
  <si>
    <t>Chief Customer Learning Officer</t>
  </si>
  <si>
    <t>Commercial Counsel</t>
  </si>
  <si>
    <t>Senior Salesforce Administrator</t>
  </si>
  <si>
    <t>Solutions Engineer</t>
  </si>
  <si>
    <t>Marketing Automation Manager</t>
  </si>
  <si>
    <t>Partner Manager</t>
  </si>
  <si>
    <t>Multimedia Team</t>
  </si>
  <si>
    <t>Enterprise Strategic Advisor SPCT-C/LSS</t>
  </si>
  <si>
    <t>Sr. Director, Learning Strategies &amp; Solutions</t>
  </si>
  <si>
    <t>SAFe Solutions Executive - Canada</t>
  </si>
  <si>
    <t>Paralegal</t>
  </si>
  <si>
    <t>Methodologist</t>
  </si>
  <si>
    <t>Enterprise Solutions</t>
  </si>
  <si>
    <t>Government Enterprise Solutions</t>
  </si>
  <si>
    <t>Senior Customer Engagement Specialist</t>
  </si>
  <si>
    <t>Sr. Customer Success Manager</t>
  </si>
  <si>
    <t>Community Events Coordinator</t>
  </si>
  <si>
    <t>AE</t>
  </si>
  <si>
    <t>Post Production Manager</t>
  </si>
  <si>
    <t>Methodologist/Fellow</t>
  </si>
  <si>
    <t>Customer Success Systems Analyst</t>
  </si>
  <si>
    <t>Product Marketing Director</t>
  </si>
  <si>
    <t>Senior Team Coach</t>
  </si>
  <si>
    <t>US Enterprise</t>
  </si>
  <si>
    <t>Software Engineer</t>
  </si>
  <si>
    <t>Sr. Software Engineering Manager</t>
  </si>
  <si>
    <t>—</t>
  </si>
  <si>
    <t>VP, Enterprise Business Segment</t>
  </si>
  <si>
    <t>Controller</t>
  </si>
  <si>
    <t>SAFe Fellow and Framework Methodologist</t>
  </si>
  <si>
    <t>Canadain Country Manager</t>
  </si>
  <si>
    <t>People Operations Analyst</t>
  </si>
  <si>
    <t>VP Framework, Methodologist &amp; SAFe Fellow</t>
  </si>
  <si>
    <t>Sr. Partner Manager</t>
  </si>
  <si>
    <t>Senior Learning Solutions Manager</t>
  </si>
  <si>
    <t>Sr. Director, Strategic Communications &amp; Innovation</t>
  </si>
  <si>
    <t>Event Manager</t>
  </si>
  <si>
    <t>Methodologist and SAFe Fellow</t>
  </si>
  <si>
    <t>Senior Graphic Designer</t>
  </si>
  <si>
    <t>Vice President, PMO</t>
  </si>
  <si>
    <t>Sr Mgr, Inbound Product Mgmt SPM BU</t>
  </si>
  <si>
    <t>Sr. Principal Product Manager</t>
  </si>
  <si>
    <t>Product Sales Executive</t>
  </si>
  <si>
    <t>Sr Product Owner</t>
  </si>
  <si>
    <t>SOG LOB Lead</t>
  </si>
  <si>
    <t>LACE Lead</t>
  </si>
  <si>
    <t>Senior Enterprise Agile Coach</t>
  </si>
  <si>
    <t>Program Direction</t>
  </si>
  <si>
    <t>AVP, Portfolio Management and Governance</t>
  </si>
  <si>
    <t>AVP Executive Journey Product Owner, Merchant Solutions</t>
  </si>
  <si>
    <t>nVeris Solution Architect</t>
  </si>
  <si>
    <t>Principal Solutions Architect</t>
  </si>
  <si>
    <t>Co-founder &amp; Managing Partner</t>
  </si>
  <si>
    <t>Principal Coach</t>
  </si>
  <si>
    <t>Senior Practice Manager</t>
  </si>
  <si>
    <t>Sr. Solutions Engineer</t>
  </si>
  <si>
    <t>Partnerships &amp; Ecosystem Alliances</t>
  </si>
  <si>
    <t>Enterprise Account Director</t>
  </si>
  <si>
    <t>The Hartford</t>
  </si>
  <si>
    <t>DIRECTOR, Agile Center of Enablement</t>
  </si>
  <si>
    <t>Manager, Agile Delivery &amp; Coaching</t>
  </si>
  <si>
    <t>Performance Coach</t>
  </si>
  <si>
    <t>iFAMS RTE</t>
  </si>
  <si>
    <t>Principal Agile Consultant</t>
  </si>
  <si>
    <t>Associate Director Strategic Programmes</t>
  </si>
  <si>
    <t>Enterprise Agile Coach - Director</t>
  </si>
  <si>
    <t>Director of Enterprise Agile Office</t>
  </si>
  <si>
    <t>Director, Agile Product Management</t>
  </si>
  <si>
    <t>Development Product Owner</t>
  </si>
  <si>
    <t>Director, Development Product Owner</t>
  </si>
  <si>
    <t>Agile Coach Lead</t>
  </si>
  <si>
    <t>Lead Program Manager</t>
  </si>
  <si>
    <t>Release Train Enginer</t>
  </si>
  <si>
    <t>Lead Development Product Owner</t>
  </si>
  <si>
    <t>Domain Portfolio Manager/Release Train Engineer</t>
  </si>
  <si>
    <t>Director, Office of the CIO</t>
  </si>
  <si>
    <t>Team Leader, Agile Program Office</t>
  </si>
  <si>
    <t>Business Analyst/Product Owner</t>
  </si>
  <si>
    <t>Sr. Business Analyst</t>
  </si>
  <si>
    <t>IT Manager - Agile Transformation Leader</t>
  </si>
  <si>
    <t>PAS Product Owner</t>
  </si>
  <si>
    <t>Director, Application Services</t>
  </si>
  <si>
    <t>Director of Enterprise Agility</t>
  </si>
  <si>
    <t>Agile Manager</t>
  </si>
  <si>
    <t>WORLD BANK</t>
  </si>
  <si>
    <t>PMO</t>
  </si>
  <si>
    <t>Record ID</t>
  </si>
  <si>
    <t>Company name</t>
  </si>
  <si>
    <t>NDA Status</t>
  </si>
  <si>
    <t>Socio-Economic Profile</t>
  </si>
  <si>
    <t>Certifications</t>
  </si>
  <si>
    <t>Capabilities</t>
  </si>
  <si>
    <t>List of Current Contracts and Contract Vehicles</t>
  </si>
  <si>
    <t>Current Customers</t>
  </si>
  <si>
    <t>Supplier Portal Registration Complete?</t>
  </si>
  <si>
    <t>Website URL</t>
  </si>
  <si>
    <t>Industry</t>
  </si>
  <si>
    <t>Type</t>
  </si>
  <si>
    <t>Create Date</t>
  </si>
  <si>
    <t>Description</t>
  </si>
  <si>
    <t>Phone Number</t>
  </si>
  <si>
    <t>Associated Deal</t>
  </si>
  <si>
    <t>Number of Associated Deals</t>
  </si>
  <si>
    <t>Partner Name</t>
  </si>
  <si>
    <t>Associated Deal IDs</t>
  </si>
  <si>
    <t>22391464521</t>
  </si>
  <si>
    <t/>
  </si>
  <si>
    <t>qulaitresources.com</t>
  </si>
  <si>
    <t>21647513699</t>
  </si>
  <si>
    <t>Aarnest</t>
  </si>
  <si>
    <t>aarnest.com</t>
  </si>
  <si>
    <t>Computer Software</t>
  </si>
  <si>
    <t>Aarnest Inc is a technology company that provides a broad suite of services to address the challenges organizations face in the 21st century. They offer robust software solutions, state-of-the-art cybersecurity, IT development, data migration, and digi...</t>
  </si>
  <si>
    <t>22702849321</t>
  </si>
  <si>
    <t>AARP</t>
  </si>
  <si>
    <t>aarp.org</t>
  </si>
  <si>
    <t>Consumer Services</t>
  </si>
  <si>
    <t>AARP is dedicated to empowering individuals aged 50 and older by providing resources, advocacy, and benefits that enhance their quality of life and promote active engagement in their communities.</t>
  </si>
  <si>
    <t xml:space="preserve"> +1 202-434-3220</t>
  </si>
  <si>
    <t>20157158027</t>
  </si>
  <si>
    <t>www.aarp.com</t>
  </si>
  <si>
    <t>Helping Asian American &amp; Pacific Islander Families Get More Out of Life</t>
  </si>
  <si>
    <t>866-448-3614</t>
  </si>
  <si>
    <t>20157166461</t>
  </si>
  <si>
    <t>Abbott Laboratories</t>
  </si>
  <si>
    <t>www.abbott.com</t>
  </si>
  <si>
    <t>Hospital &amp; Health Care</t>
  </si>
  <si>
    <t>Abbott is a global healthcare leader that provides innovative medical devices and health care solutions for cardiovascular health, diabetes management, diagnostic testing, nutrition, chronic pain, and more. With a diverse portfolio of life-changing tec...</t>
  </si>
  <si>
    <t>Some questions are needed to be answered. Suggest to get input from Mike to get the best answers</t>
  </si>
  <si>
    <t>20157204915</t>
  </si>
  <si>
    <t>AbbVie</t>
  </si>
  <si>
    <t>www.abbvie.com</t>
  </si>
  <si>
    <t>Construction</t>
  </si>
  <si>
    <t>AbbVie is a global biopharmaceutical company dedicated to developing innovative therapies for serious diseases, striving to impact lives through advanced medicines in key therapeutic areas.</t>
  </si>
  <si>
    <t>1 (800) 255-5162</t>
  </si>
  <si>
    <t>23461423745</t>
  </si>
  <si>
    <t>ABN AMRO Bank N.V.</t>
  </si>
  <si>
    <t>http://www.abnamro.nl</t>
  </si>
  <si>
    <t>Banking</t>
  </si>
  <si>
    <t>ABN AMRO Bank is a leading Dutch financial institution that offers a wide range of banking services including retail banking, private banking, and corporate banking. With a focus on sustainability, ABN AMRO aims to support customers in transitioning to more sustainable ways of living and working. The bank has a strong online presence and a dedicated team available 24/7 to assist customers with their financial needs.</t>
  </si>
  <si>
    <t>23465122480</t>
  </si>
  <si>
    <t>ACA Compliance Group</t>
  </si>
  <si>
    <t>https://www.acaglobal.com</t>
  </si>
  <si>
    <t>Professional Training &amp; Coaching</t>
  </si>
  <si>
    <t>ACA Group is the leading governance, risk, and compliance advisor in the financial services industry, offering scalable solutions to protect peace of mind. Their services cover regulatory compliance, cybersecurity, privacy, ESG, investment performance, and financial crimes, empowering clients to make confident decisions and maximize efficiency through innovative GRC solutions.</t>
  </si>
  <si>
    <t xml:space="preserve"> +1 212-951-1030</t>
  </si>
  <si>
    <t>23453381223</t>
  </si>
  <si>
    <t>ACA Group</t>
  </si>
  <si>
    <t>acacompliancegroup.com</t>
  </si>
  <si>
    <t>ACA Compliance Group is a leading provider of risk management and technology solutions that focus on regulatory compliance, performance, financial crime, and cybersecurity.</t>
  </si>
  <si>
    <t>19816075548</t>
  </si>
  <si>
    <t>ACC</t>
  </si>
  <si>
    <t>acc.af.mil</t>
  </si>
  <si>
    <t>Defense &amp; Space</t>
  </si>
  <si>
    <t>The United States Air Force provides air, space, and cyber capabilities for use by the combatant commanders.</t>
  </si>
  <si>
    <t>AIR FORCE TECHNICAL APPLICATION CENTER CYBER ENTERPRISE SUPPORT 2 (ACES)</t>
  </si>
  <si>
    <t>18380514630</t>
  </si>
  <si>
    <t>20317182273</t>
  </si>
  <si>
    <t>Accenture</t>
  </si>
  <si>
    <t>accenture.com</t>
  </si>
  <si>
    <t>Information Technology and Services</t>
  </si>
  <si>
    <t>Accenture strives to maximize the value of our supplier relationships and places a high value on diversity as evidenced by our ongoing programs to attract, retain and advance women, minorities and other diverse groups. Since 2002, when Accenture’s Supplier Diversity Program was formalized, we have focused on expanding our source of diverse suppliers while maintaining our standards for providing high-quality service delivery.
It is the policy of Accenture that diverse suppliers should have equal opportunity to participate in the procurement sourcing process.
Suppliers interested in doing business with Accenture in the United States should register their capabilities online by visiting the Accenture Supplier Portal at www.accenture.com/vendor, clicking on the Supplier Portal link and completing the online profile. Once completed, their information will be submitted to our database for review by our sourcing and commodity managers and other buying groups for future procurement needs. If there is a business fit, they may be contacted. Please note that registration does not guarantee business with Accenture. 
Accenture recommends that suppliers obtain certification from the following certifying agencies or their regional affiliates: the National Minority Supplier Development Council (NMSDC), the Women’s Business Enterprise National Council (WBENC) or the National Gay and Lesbian Chamber of Commerce (NGLCC).</t>
  </si>
  <si>
    <t xml:space="preserve"> +353 1 646 2000</t>
  </si>
  <si>
    <t>23109080912</t>
  </si>
  <si>
    <t>http://www.accenturefederal.com</t>
  </si>
  <si>
    <t>Legal Services</t>
  </si>
  <si>
    <t>Accenture Federal Services is a subsidiary of Accenture that provides consulting, technology, and outsourcing services to the U.S. federal government.</t>
  </si>
  <si>
    <t>20752866476</t>
  </si>
  <si>
    <t>20752829856</t>
  </si>
  <si>
    <t>ADEPT Force Group</t>
  </si>
  <si>
    <t>20315980911</t>
  </si>
  <si>
    <t>Adobe</t>
  </si>
  <si>
    <t>20157273859</t>
  </si>
  <si>
    <t>ADP</t>
  </si>
  <si>
    <t>www.adp.com</t>
  </si>
  <si>
    <t>ADP is a global leader in business outsourcing solutions, specializing in HR, payroll, tax, and benefits administration services to enhance workplace productivity and happiness.</t>
  </si>
  <si>
    <t xml:space="preserve"> +1 973-974-5000</t>
  </si>
  <si>
    <t>22703512491</t>
  </si>
  <si>
    <t>Advanced Technology Consulting</t>
  </si>
  <si>
    <t>In-Progress</t>
  </si>
  <si>
    <t>4atc.com</t>
  </si>
  <si>
    <t>Advanced Technology Consulting (ATC) is an independent IT consulting firm specializing in Digital Transformation (DX) in voice, network, cloud, and cybersecurity. ATC's Delta Model simplifies the process of implementing next-gen IT technologies for bus...</t>
  </si>
  <si>
    <t xml:space="preserve"> +1 513-299-1177</t>
  </si>
  <si>
    <t>20157294851</t>
  </si>
  <si>
    <t>Advantage Solutions</t>
  </si>
  <si>
    <t>www.advantagesolutions.net</t>
  </si>
  <si>
    <t>This page uses frames, but your browser doesn't support them. IT Services and IT Consulting</t>
  </si>
  <si>
    <t xml:space="preserve"> +1 212-429-2211</t>
  </si>
  <si>
    <t>20317516570</t>
  </si>
  <si>
    <t>AEG</t>
  </si>
  <si>
    <t>aegworldwide.com</t>
  </si>
  <si>
    <t>Entertainment</t>
  </si>
  <si>
    <t>AEG's Supplier Diversity Team works to encourage the utilization and development of diverse suppliers in our procurement processes.  We collaborate with chambers of commerce and business associations to help us identify qualified, competitive suppliers through trade shows, match making events, and other networking opportunities. Together, we help create mutually beneficial business relationships with diverse suppliers that strengthen the communities we serve.</t>
  </si>
  <si>
    <t xml:space="preserve"> +1 213-337-4855</t>
  </si>
  <si>
    <t>23447300024</t>
  </si>
  <si>
    <t>Aegon Asset Management</t>
  </si>
  <si>
    <t>https://www.aegonam.com</t>
  </si>
  <si>
    <t>Investment Management</t>
  </si>
  <si>
    <t>Aegon Asset Management is a global investment firm that offers a wide range of financial services, including fixed income, equities, real assets, and multi-asset solutions. They cater to a diverse client base, including pension plans, insurance companies, banks, and family offices, with a focus on sustainable and responsible investing practices.</t>
  </si>
  <si>
    <t>23438056051</t>
  </si>
  <si>
    <t>aegonusa.com</t>
  </si>
  <si>
    <t>20157149821</t>
  </si>
  <si>
    <t>Aetna Supplier Diversity Program</t>
  </si>
  <si>
    <t>www.aetna.com</t>
  </si>
  <si>
    <t>Insurance</t>
  </si>
  <si>
    <t>Aetna Inc., a CVS Health® company, is a diversified healthcare benefits provider offering health, dental, pharmacy, group life, disability, and long-term care insurance products. With a focus on making healthcare easy, affordable, and personalized, Aet...</t>
  </si>
  <si>
    <t xml:space="preserve"> +1 860-273-0123</t>
  </si>
  <si>
    <t>22812225461</t>
  </si>
  <si>
    <t>AFCyberworx</t>
  </si>
  <si>
    <t>afcyberworx.org</t>
  </si>
  <si>
    <t>AF CyberWorx is an innovation lab focused on optimizing products, processes, and policies using Human Centered Design best practices. They are the Air Force's leading problem-solving hub, working on solving problems using Human Centered Design, acceler...</t>
  </si>
  <si>
    <t>22248974407</t>
  </si>
  <si>
    <t>AFIMSC/SB</t>
  </si>
  <si>
    <t>www.afimsc.af.mil</t>
  </si>
  <si>
    <t>22248936297</t>
  </si>
  <si>
    <t>20316644118</t>
  </si>
  <si>
    <t>Aflac</t>
  </si>
  <si>
    <t>aflac.com</t>
  </si>
  <si>
    <t>Aflac is America’s most recognized supplemental insurance company, offering coverage to help with out-of-pocket expenses not covered by major medical insurance. With a commitment to providing financial services that support individuals and businesses, ...</t>
  </si>
  <si>
    <t xml:space="preserve"> +1 706-323-3431</t>
  </si>
  <si>
    <t>22249037617</t>
  </si>
  <si>
    <t>AFLCMC/RO</t>
  </si>
  <si>
    <t>https://www.aflcmc.af.mil/Small-Business-Office/</t>
  </si>
  <si>
    <t>22249151915</t>
  </si>
  <si>
    <t>AFLCMC/SB</t>
  </si>
  <si>
    <t>22248990317</t>
  </si>
  <si>
    <t>AFLCMC/WI</t>
  </si>
  <si>
    <t>22249120696</t>
  </si>
  <si>
    <t>22249194376</t>
  </si>
  <si>
    <t>AFLCMC/WL</t>
  </si>
  <si>
    <t>22249116282</t>
  </si>
  <si>
    <t>AFLCMC/WN</t>
  </si>
  <si>
    <t>22248891696</t>
  </si>
  <si>
    <t>AFLCMC/XP</t>
  </si>
  <si>
    <t>22248847433</t>
  </si>
  <si>
    <t>AFMC/SB</t>
  </si>
  <si>
    <t>22248955780</t>
  </si>
  <si>
    <t>AFNWC</t>
  </si>
  <si>
    <t>22249042750</t>
  </si>
  <si>
    <t>AFNWC/SB</t>
  </si>
  <si>
    <t>16038144822</t>
  </si>
  <si>
    <t>AFRL/RQ</t>
  </si>
  <si>
    <t>afrl.af.mil</t>
  </si>
  <si>
    <t>Prospect</t>
  </si>
  <si>
    <t>The Aerospace Systems Directorate brings together world-class facilities including a fuels research facility, structural testing labs, compressor research facility, rocket testing facilities, supersonic and subsonic wind tunnels, flight simulation lab, and many other cutting-edge research labs.
Among the technologies in development in the Aerospace Systems Directorate are scramjet engines, alternative fuels, unmanned vehicles, hypersonic vehicles, collision avoidance and aircraft energy optimization.</t>
  </si>
  <si>
    <t>7036145746</t>
  </si>
  <si>
    <t>AFRL/RQ - EA / SAFe Support</t>
  </si>
  <si>
    <t>Air Force Research Labs</t>
  </si>
  <si>
    <t>13678356064</t>
  </si>
  <si>
    <t>20752383335</t>
  </si>
  <si>
    <t>AFRL/RVIS</t>
  </si>
  <si>
    <t>18640511351</t>
  </si>
  <si>
    <t>AFRL/RW</t>
  </si>
  <si>
    <t>Government Administration</t>
  </si>
  <si>
    <t>Other</t>
  </si>
  <si>
    <t>The United States Air Force provides air, space, and cyber capabilities for use by the combatant commanders. The primary mission of Security Forces units is to provide force protection to ensure operational readiness and to protect war fighting resourc...</t>
  </si>
  <si>
    <t>16065800059</t>
  </si>
  <si>
    <t>AFRL/RY</t>
  </si>
  <si>
    <t>The United States Air Force is the air service branch of the United States Armed Forces, and is one of the eight US uniformed services.</t>
  </si>
  <si>
    <t>AFRL/RY Proposal (Revisit FY26 Q1)</t>
  </si>
  <si>
    <t>18801665338</t>
  </si>
  <si>
    <t>22249060360</t>
  </si>
  <si>
    <t>AFRL/SB</t>
  </si>
  <si>
    <t>22249091484</t>
  </si>
  <si>
    <t>AFSC/SB</t>
  </si>
  <si>
    <t>22249151914</t>
  </si>
  <si>
    <t>AFWERX</t>
  </si>
  <si>
    <t>17151893673</t>
  </si>
  <si>
    <t>Agility Consulting LLC</t>
  </si>
  <si>
    <t>Active</t>
  </si>
  <si>
    <t>Women Owned Small Business (WOSB)</t>
  </si>
  <si>
    <t>agilityconsultinginternational.com</t>
  </si>
  <si>
    <t>Education Management</t>
  </si>
  <si>
    <t>8a Agility Consulting's Agile training, transformation, and coaching services will allow your organization to thrive and adapt.</t>
  </si>
  <si>
    <t>20805157031</t>
  </si>
  <si>
    <t>agilityhealthradar.com</t>
  </si>
  <si>
    <t>Management Consulting</t>
  </si>
  <si>
    <t>Enterprise agility team management and continuous improvement Measure maturity performance and outcomes at every level using the leading enterprise agility team management software platform The most powerful Agile Assessment Tool has arrived! AgilityHe...</t>
  </si>
  <si>
    <t>Agility Health Radar &amp; SAI</t>
  </si>
  <si>
    <t>15705011865</t>
  </si>
  <si>
    <t>20315701587</t>
  </si>
  <si>
    <t>Ahold Delhaize USA</t>
  </si>
  <si>
    <t>peapoddigitallabs.com</t>
  </si>
  <si>
    <t>Ahold Delhaize is committed to developing mutually beneficial and successful partnerships with diverse suppliers both nationally and with businesses headquartered in our geographic footprint. We develop these relationships by incorporating diverse-owned businesses into the everyday process of category reviews and product/service bids.Our supplier diversity program enhances the procurement process by developing strong business relationships with a talented group of diverse-owned businesses that offer quality products and services, excellent customer service, and competitive costs.</t>
  </si>
  <si>
    <t>20315694485</t>
  </si>
  <si>
    <t>AIG</t>
  </si>
  <si>
    <t>cvmas21.cvmsolutions.com</t>
  </si>
  <si>
    <t>It is AIGs policy to proactively seek out diverse-owned enterprises and ensure opportunities for these businesses to participate in the bidding and procurement process. Supplier Diversity is a strategic business initiative, aligned with the goals of AIG Global Sourcing &amp;amp; Procurement Services (GS&amp;amp;PS). 
 AIGs commitment to Supplier Diversity is grounded in sound business strategy.  The utilization of diverse suppliers provides AIG access to the widest possible selection of qualified suppliers, innovative solutions and is a driver of our cost reduction efforts. Engaging economically with diverse-owned businesses demonstrates the companys resolve to support the growth of the communities in which it conducts business.</t>
  </si>
  <si>
    <t>20157354585</t>
  </si>
  <si>
    <t>www.aig.com</t>
  </si>
  <si>
    <t>American International Group, Inc. (AIG) is a leading global insurance organization providing a wide range of property casualty insurance, life insurance, retirement solutions, and other financial services to customers in approximately 70 countries and...</t>
  </si>
  <si>
    <t>https://leanscaledarchitects.atlassian.net/browse/PIPE-102</t>
  </si>
  <si>
    <t>16171832749</t>
  </si>
  <si>
    <t>Air Force Life Cycle Management Center Command (AFLCMC)</t>
  </si>
  <si>
    <t>aflcmc.af.mil</t>
  </si>
  <si>
    <t>Air Force LCMC - Cloud One Next Environment and Common Shared Services Performance Work Statement (PWS)</t>
  </si>
  <si>
    <t>13796285733</t>
  </si>
  <si>
    <t>15871833163</t>
  </si>
  <si>
    <t>https://www.afrl.af.mil</t>
  </si>
  <si>
    <t>AFRL Digital Capabilities Directorate (DCD) RFI Response</t>
  </si>
  <si>
    <t>18476174468</t>
  </si>
  <si>
    <t>20157438875</t>
  </si>
  <si>
    <t>Air Products</t>
  </si>
  <si>
    <t>www.airproducts.com</t>
  </si>
  <si>
    <t>Chemicals</t>
  </si>
  <si>
    <t>Air Products &amp; Chemicals, Inc. is a global industrial gases company providing essential gases, equipment, and expertise to diverse industries. They lead in sustainability, supplying clean hydrogen and LNG technology globally.</t>
  </si>
  <si>
    <t xml:space="preserve"> +1 610-481-4911</t>
  </si>
  <si>
    <t>20159064854</t>
  </si>
  <si>
    <t>AirBnB</t>
  </si>
  <si>
    <t>www.airbnb.com</t>
  </si>
  <si>
    <t>Airbnb is the world's largest community-driven hospitality company, offering homes and experiences in 191 countries. It is an online marketplace connecting people to unique accommodations and experiences globally.</t>
  </si>
  <si>
    <t xml:space="preserve"> +1 415-800-5959</t>
  </si>
  <si>
    <t>20159103130</t>
  </si>
  <si>
    <t>AirBus</t>
  </si>
  <si>
    <t>www.airbus.com</t>
  </si>
  <si>
    <t>Aviation &amp; Aerospace</t>
  </si>
  <si>
    <t>Airbus is a global leader in aeronautics, space, and related services, providing a wide range of aircraft and space solutions with a focus on sustainability and customer satisfaction.</t>
  </si>
  <si>
    <t>20316644120</t>
  </si>
  <si>
    <t>AJ Gallagher</t>
  </si>
  <si>
    <t>ajg.com</t>
  </si>
  <si>
    <t>Capital Markets</t>
  </si>
  <si>
    <t>For more than 90 years, Gallagher has provided insurance, risk management and consulting services to businesses and communities around the globe. We live in a culture defined by our
people, over 32,000 strong, serving our clients with custom solutions that will protect them and fuel their futures.Our supplier diversity network, Gallagher Connect Partners, is an inclusive community of minority-owned, woman-owned, veteran-owned, and other diverse, certified insurance firms that were strategically selected based on their unique specializations, shared values and proven ability to best serve our clients’ risk management, insurance and supplier diversity needs. As a team, we support the growth of Minority/Women-owned Business Enterprises (MWBEs) in insurance and help attract more diverse talent to the industry.</t>
  </si>
  <si>
    <t xml:space="preserve"> +1 630-773-3800</t>
  </si>
  <si>
    <t>23124506468</t>
  </si>
  <si>
    <t>Akima</t>
  </si>
  <si>
    <t>http://www.akima.com/</t>
  </si>
  <si>
    <t>Akima is a government contractor that enhances federal missions through a diverse portfolio of specialized 8(a) companies, focusing on IT, logistics, and other critical services while proudly representing its Alaskan heritage.</t>
  </si>
  <si>
    <t xml:space="preserve"> +1 571-323-5473</t>
  </si>
  <si>
    <t>23458169183</t>
  </si>
  <si>
    <t>Al Ghurair Investment</t>
  </si>
  <si>
    <t>http://www.al-ghurair.com</t>
  </si>
  <si>
    <t>Al Ghurair Investment LLC, also known as Abdulla Al Ghurair Group of Companies, is a diversified industrial group based in Dubai. With operations in seven industry sectors including foods, resources, properties, construction, energy, transportation, and ventures, the company has a global presence spanning over 50 countries. Established in 1960, Al Ghurair is a prominent player in the Middle East with a rich history of innovation and entrepreneurship.</t>
  </si>
  <si>
    <t>20315737464</t>
  </si>
  <si>
    <t>Albemarle</t>
  </si>
  <si>
    <t>albemarle.com</t>
  </si>
  <si>
    <t>Albemarle Corporation is a global specialty chemicals company with leading positions in lithium, bromine, refining catalysts, and applied surface treatments. They partner with customers in various industries to develop customized solutions that enhance...</t>
  </si>
  <si>
    <t xml:space="preserve"> +1 980-299-5700</t>
  </si>
  <si>
    <t>20316787748</t>
  </si>
  <si>
    <t>Alight Solutions LLC</t>
  </si>
  <si>
    <t>alight.com</t>
  </si>
  <si>
    <t>Apparel &amp; Fashion</t>
  </si>
  <si>
    <t>Alight Solutions is a cloud-based provider of benefits administration and HR solutions, empowering organizations and individuals with data-driven insights and a seamless user experience.</t>
  </si>
  <si>
    <t xml:space="preserve"> +1 702-323-7330</t>
  </si>
  <si>
    <t>23463983421</t>
  </si>
  <si>
    <t>ALKAMI</t>
  </si>
  <si>
    <t>alkamitech.com</t>
  </si>
  <si>
    <t>Alkami Technology is a software company that provides e-banking solutions to the financial services industry.</t>
  </si>
  <si>
    <t xml:space="preserve"> +1 972-200-1937</t>
  </si>
  <si>
    <t>23455829603</t>
  </si>
  <si>
    <t>Alkami Technology</t>
  </si>
  <si>
    <t>http://www.alkami.com</t>
  </si>
  <si>
    <t>Alkami Technology, Inc. is a leading cloud-based digital banking solutions provider based in Plano, Texas. They offer the ORB Platform, a flagship product that delivers secure, flexible, and customizable online and mobile banking solutions for credit unions and banks. Alkami's focus on transforming ordinary online and mobile banking into valuable experiences for financial institutions and end-users sets them apart in the industry.</t>
  </si>
  <si>
    <t>22417167875</t>
  </si>
  <si>
    <t>All Native Group</t>
  </si>
  <si>
    <t>allnativegroup.com</t>
  </si>
  <si>
    <t>All Native Group is a federal government contractor that has been providing world-class services, equipment, and training to our Federal Government clients for over 15 years. We are a Native-owned company and hold certifications such as SBA 8(a), HUBZo...</t>
  </si>
  <si>
    <t>23464292455</t>
  </si>
  <si>
    <t>AllianceBernstein</t>
  </si>
  <si>
    <t>https://www.alliancebernstein.com/?r=no</t>
  </si>
  <si>
    <t>AllianceBernstein is a leading global investment management and research firm that provides a wide range of investment services, including equity and fixed income strategies, alternative investments, and multi-asset solutions, catering to a diverse clientele from individual investors to large institutions.</t>
  </si>
  <si>
    <t xml:space="preserve"> +1 914-259-7788</t>
  </si>
  <si>
    <t>20317398146</t>
  </si>
  <si>
    <t>Alliant</t>
  </si>
  <si>
    <t>23449471235</t>
  </si>
  <si>
    <t>Allianz</t>
  </si>
  <si>
    <t>https://www.allianz.com/en.html</t>
  </si>
  <si>
    <t>Allianz is a global financial services provider offering insurance and asset management solutions to millions worldwide, emphasizing sustainability and employee care.</t>
  </si>
  <si>
    <t xml:space="preserve"> +49 89 38000</t>
  </si>
  <si>
    <t>20157259630</t>
  </si>
  <si>
    <t>Allstate Insurance Company</t>
  </si>
  <si>
    <t>http://www.allstate.com</t>
  </si>
  <si>
    <t>Our Supplier Diversity Program Policy is to ensure inclusion of minority-, woman- and veteran-owned businesses in the competitive bidding process at Allstate in support of our commitment to provide quality products and services to our customers while delivering outstanding value to our shareholders.
The Supplier Diversity Program was established in 2003, and since then, we have steadily increased the procurement of goods and services with diverse suppliers. In 2012, Allstate spent $304.4 million with these diverse businesses. We are committed to increasing our spend with diverse suppliers again in 2013 and encourage diverse suppliers to complete the Prospective Supplier Registration process.</t>
  </si>
  <si>
    <t>800-255-7828</t>
  </si>
  <si>
    <t>23455666689</t>
  </si>
  <si>
    <t>Alpha Bank</t>
  </si>
  <si>
    <t>http://www.alpha.gr</t>
  </si>
  <si>
    <t>Alpha Bank is a Greece-based company founded in 1879, offering a wide range of financial products and services. It provides corporate and retail banking, financial services, investment banking, brokerage services, insurance services, real estate management, and hotel services. With a strong presence in Greece, Cyprus, Romania, Albania, and the UK, Alpha Bank is known for its high capital adequacy ratio and employs 8,500 employees internationally.</t>
  </si>
  <si>
    <t xml:space="preserve"> +30 21 0326 0000</t>
  </si>
  <si>
    <t>20159038742</t>
  </si>
  <si>
    <t>Altria Group</t>
  </si>
  <si>
    <t>(800) 872-3777</t>
  </si>
  <si>
    <t>20315654565</t>
  </si>
  <si>
    <t>Altria Group, Inc.</t>
  </si>
  <si>
    <t>altria.com</t>
  </si>
  <si>
    <t>Tobacco</t>
  </si>
  <si>
    <t>Altria Group, Inc. is a leading holding company in the tobacco industry, with subsidiaries like Philip Morris USA, U.S. Smokeless Tobacco Co., and John Middleton. They offer a diverse portfolio of tobacco products for adult consumers, including cigaret...</t>
  </si>
  <si>
    <t xml:space="preserve"> +1 804-274-2200</t>
  </si>
  <si>
    <t>20157361698</t>
  </si>
  <si>
    <t>Amazon</t>
  </si>
  <si>
    <t xml:space="preserve"> +1 206-266-1000</t>
  </si>
  <si>
    <t>20316657002</t>
  </si>
  <si>
    <t>Amazon.com</t>
  </si>
  <si>
    <t>amazonsupplierdiversity.com</t>
  </si>
  <si>
    <t>19816359808</t>
  </si>
  <si>
    <t>AMC</t>
  </si>
  <si>
    <t>afmc.af.mil</t>
  </si>
  <si>
    <t>CLOUD ONE NEXT ARCHITECTURE AND COMMON SHARED SERVICES (C1N ACSS)</t>
  </si>
  <si>
    <t>18380564496</t>
  </si>
  <si>
    <t>20316657001</t>
  </si>
  <si>
    <t>AMC Networks</t>
  </si>
  <si>
    <t>amcnetworks.com</t>
  </si>
  <si>
    <t>Invoicing- Please include the cycle time  (ex. June 2022--May 2023) so it's clear that it's for 12 months</t>
  </si>
  <si>
    <t xml:space="preserve"> +1 212-324-8500</t>
  </si>
  <si>
    <t>20159012989</t>
  </si>
  <si>
    <t>American Airlines</t>
  </si>
  <si>
    <t>americanairlines.com</t>
  </si>
  <si>
    <t>Leisure, Travel &amp; Tourism</t>
  </si>
  <si>
    <t>American Airlines is a major American airline headquartered in Fort Worth, Texas. It is one of the largest airlines in the world, operating an extensive network of domestic and international flights. American Airlines offers a wide range of products an...</t>
  </si>
  <si>
    <t>(495)-287-3359</t>
  </si>
  <si>
    <t>20317024768</t>
  </si>
  <si>
    <t>American Association of Medical Colleges</t>
  </si>
  <si>
    <t>20316806284</t>
  </si>
  <si>
    <t>American Axle &amp; Manufacturing (AAM)</t>
  </si>
  <si>
    <t>aam.com</t>
  </si>
  <si>
    <t>Automotive</t>
  </si>
  <si>
    <t>AAM is a global automotive supplier specializing in driveline and metal forming technologies for various vehicles, emphasizing quality and technology leadership.</t>
  </si>
  <si>
    <t xml:space="preserve"> +1 313-758-3600</t>
  </si>
  <si>
    <t>20317091488</t>
  </si>
  <si>
    <t>American Cancer Society Inc</t>
  </si>
  <si>
    <t>cancer.org</t>
  </si>
  <si>
    <t>Non-Profit Organization Management</t>
  </si>
  <si>
    <t>The American Cancer Society is a nationwide voluntary health organization dedicated to eliminating cancer in the United States. They provide information, resources, and support for various types of cancer including breast, colon, lung, prostate, and sk...</t>
  </si>
  <si>
    <t xml:space="preserve"> +1 404-329-5757</t>
  </si>
  <si>
    <t>20317182274</t>
  </si>
  <si>
    <t>americanexpress.com</t>
  </si>
  <si>
    <t>Financial Services</t>
  </si>
  <si>
    <t>At American Express, we recognize that winning strategies, products, and services require diversity of thought, perspectives, and contributions. Inclusion is a practice and commitment that we are proud to stand behind; it is integral to maintaining our position as one of the top payments solution providers. As part of our Supply Chain Inclusion Initiative, American Express monitors our annual spend with suppliers that are certified business enterprises with protected-class owners and operators.</t>
  </si>
  <si>
    <t xml:space="preserve"> +1 212-640-2000</t>
  </si>
  <si>
    <t>20156182641</t>
  </si>
  <si>
    <t>American Family Mutual Insurance Company, American Family Life Insurance Company, American Standard Insurance Company of Wisconsin, 6000 American Parkway, Madison WI 53783</t>
  </si>
  <si>
    <t>20317105946</t>
  </si>
  <si>
    <t>American Family Insurance</t>
  </si>
  <si>
    <t>amfam.com</t>
  </si>
  <si>
    <t>Today, American Family Insurance group is the nation’s 13th-largest property/casualty insurance group, ranking No. 254 on the Fortune 500 list. The group sells American Family-brand products, primarily through exclusive agency owners in 19 states. The American Family Insurance group also includes CONNECT, powered by American Family Insurance (formerly Ameriprise Auto &amp;amp; Home), The General, Homesite and Main Street America. Across these companies the group has more than 13,500 employees nationwide.</t>
  </si>
  <si>
    <t xml:space="preserve"> +1 800-692-6326</t>
  </si>
  <si>
    <t>20159073164</t>
  </si>
  <si>
    <t>1 800-692-6326</t>
  </si>
  <si>
    <t>23455820670</t>
  </si>
  <si>
    <t>American Financial Network</t>
  </si>
  <si>
    <t>https://www.afncorp.com/</t>
  </si>
  <si>
    <t>American Financial Network, Inc. is a leading mortgage banker in the United States, established in 2001 with over 100 branches nationwide. Specializing in serving real estate professionals, builders, and individual homebuyers, AFN offers a wide range of loan products including FHA, USDA, VA, and Jumbo loans. With a focus on efficient operations and exceptional customer service, AFN provides regular loan updates and online application services to make the lending process seamless and personalized for each client.</t>
  </si>
  <si>
    <t xml:space="preserve"> +1 909-606-3905</t>
  </si>
  <si>
    <t>20317168191</t>
  </si>
  <si>
    <t>American Meetings, Inc.</t>
  </si>
  <si>
    <t>americanmeetings.com</t>
  </si>
  <si>
    <t>American Meetings, Inc. (AMI) has been providing the highest level of live, virtual, and hybrid meetings services for over 20 years. They are the premier partner to organizations worldwide for virtual and live meetings and events. Their global network ...</t>
  </si>
  <si>
    <t>20316871263</t>
  </si>
  <si>
    <t>redcross.org</t>
  </si>
  <si>
    <t>Individual &amp; Family Services</t>
  </si>
  <si>
    <t>The American Red Cross prevents and alleviates human suffering in the face of emergencies by mobilizing the power of volunteers and the generosity of donors.​﻿</t>
  </si>
  <si>
    <t xml:space="preserve"> +1 800-733-2767</t>
  </si>
  <si>
    <t>22702769733</t>
  </si>
  <si>
    <t>AMERICAN SYSTEMS</t>
  </si>
  <si>
    <t>americansystems.com</t>
  </si>
  <si>
    <t>Civil Engineering</t>
  </si>
  <si>
    <t>AMERICAN SYSTEMS, a top employee-owned federal government contractor, delivers innovative IT and Engineering solutions to national priority programs with a focus on Defense, Intelligence, Law Enforcement, Outreach, and Healthcare.</t>
  </si>
  <si>
    <t xml:space="preserve"> +1 703-968-6300</t>
  </si>
  <si>
    <t>20317091487</t>
  </si>
  <si>
    <t>American Tower Corp</t>
  </si>
  <si>
    <t>americantower.com</t>
  </si>
  <si>
    <t>Telecommunications</t>
  </si>
  <si>
    <t>American Tower: Global wireless infrastructure provider supporting connectivity worldwide through innovative real estate solutions.</t>
  </si>
  <si>
    <t xml:space="preserve"> +1 617-375-7500</t>
  </si>
  <si>
    <t>20317450859</t>
  </si>
  <si>
    <t>American Water Works Company, Inc.</t>
  </si>
  <si>
    <t>amwater.com</t>
  </si>
  <si>
    <t>We are a regulated water utility.  American Water is the largest most geographically diverse water and wastewater service provider.</t>
  </si>
  <si>
    <t xml:space="preserve"> +1 856-955-4001</t>
  </si>
  <si>
    <t>20315899762</t>
  </si>
  <si>
    <t>Ameriprise Financial</t>
  </si>
  <si>
    <t>https://www.ameriprise.com/</t>
  </si>
  <si>
    <t>At Ameriprise Financial, diversity is reflected in everything that drives our success, our people, our corporate values, our business strategy, our culture, and our investment in the communities in which we live and work. Through our commitment to diversity, we access innovative ideas and varied perspectives to help us deliver financial solutions that meet our clients' needs and make a difference in their lives.Ameriprise Financial is committed to supporting supplier diversity. Our company encourages all suppliers, including certified minority-owned, woman-owned, disabilities-owned, veteran-owned, LGBT-owned, HUBZone or small business enterprises, to participate, monitor, and support our program with products and services.Products and services purchased by Ameriprise Financial include:Financial and Insurance servicesTechnology and IT InfrastructureContingent laborMarketingFacilities/Real EstateOther</t>
  </si>
  <si>
    <t xml:space="preserve"> +1 612-671-8001</t>
  </si>
  <si>
    <t>23459568989</t>
  </si>
  <si>
    <t>Ameriprise Financial,</t>
  </si>
  <si>
    <t>ampf.com</t>
  </si>
  <si>
    <t>AMPF.com is an online platform that provides a variety of financial services such as investment advice, retirement planning, and wealth management. They offer user-friendly tools that allow customers to manage their finances with ease and access to highly-rated financial advisors. Additionally, they provide unbiased research for investors to make informed decisions. With AMPF.com, customers can achieve their financial goals with confidence.</t>
  </si>
  <si>
    <t>23465426452</t>
  </si>
  <si>
    <t>Ameris Bank</t>
  </si>
  <si>
    <t>http://www.amerisbank.com</t>
  </si>
  <si>
    <t>Ameris Bancorp, through its banking subsidiary Ameris Bank, offers a wide range of financial services to retail and commercial customers. With divisions specializing in banking, mortgage, warehouse lending, and SBA loans, Ameris Bank aims to provide financial peace of mind to individuals and businesses by turning money questions into solid financial plans and helping achieve their financial goals.</t>
  </si>
  <si>
    <t xml:space="preserve"> +1 404-639-6500</t>
  </si>
  <si>
    <t>20315763635</t>
  </si>
  <si>
    <t>wwwext.amgen.com</t>
  </si>
  <si>
    <t>Pharmaceuticals</t>
  </si>
  <si>
    <t>Amgen’s Supplier Diversity Program, managed by Global Strategic Sourcing, provides opportunities to small and diverse businesses to supply goods and services to Amgen. Amgen’s Supplier Diversity Program is governed by the Supplier Diversity Policy and is consistent with Amgen’s Diversity and Inclusion strategies. A supplier diversity course is available to Amgen’s staff through Amgen’s on-line training system.
Amgen strives in its procurement program to identify, develop, and utilize small business concerns, including those that are disadvantaged, veteran-owned, service-disabled veteran-owned, women-owned, as well as Historically Underutilized Business Zones (HUBZones). Amgen’s intent is to support economic development efforts to the extent that jobs may be provided, entrepreneurship may be advanced, and useful goods and/or services may be procured at competitive prices.</t>
  </si>
  <si>
    <t xml:space="preserve"> +1 805-447-1000</t>
  </si>
  <si>
    <t>20753175613</t>
  </si>
  <si>
    <t>amtrak.com</t>
  </si>
  <si>
    <t>Maritime</t>
  </si>
  <si>
    <t>Amtrak is America's leading provider of intercity passenger rail services, connecting over 500 destinations in 46 states and Canada with a focus on safety, efficiency, and customer experience.</t>
  </si>
  <si>
    <t xml:space="preserve"> +1 202-906-2272</t>
  </si>
  <si>
    <t>23454056210</t>
  </si>
  <si>
    <t>ANZ</t>
  </si>
  <si>
    <t>http://www.anz.com</t>
  </si>
  <si>
    <t>ANZ provides a range of banking and financial products and services. The Company's operations span Australia, New Zealand, and several countries in the Asia Pacific region, the United Kingdom, France, Germany, and the United States. ANZ offers retail banking, private banking, commercial banking, wealth management, and institutional banking services. The company has a proud heritage of over 180 years and aims to create a balanced, sustainable economy where everyone can thrive.</t>
  </si>
  <si>
    <t xml:space="preserve"> +61 3 9273 1597</t>
  </si>
  <si>
    <t>22703098403</t>
  </si>
  <si>
    <t>AOL</t>
  </si>
  <si>
    <t>aol.co.uk</t>
  </si>
  <si>
    <t>AOL is a global advertising-supported web company that provides breaking news, sports, entertainment, lifestyle, finance, and more. With a display advertising network in the U.S. and a substantial worldwide audience, AOL UK delivers the latest articles...</t>
  </si>
  <si>
    <t>23446998195</t>
  </si>
  <si>
    <t>Apollo Global Management, Inc.</t>
  </si>
  <si>
    <t>http://www.apollo.com</t>
  </si>
  <si>
    <t>Apollo Global Management is a leading provider of alternative asset management and retirement solutions, empowering retirees and financing businesses with innovative capital solutions for growth and financial security.</t>
  </si>
  <si>
    <t xml:space="preserve"> +1 212-515-3200</t>
  </si>
  <si>
    <t>20159087280</t>
  </si>
  <si>
    <t>Apple</t>
  </si>
  <si>
    <t>apple.com</t>
  </si>
  <si>
    <t>Apple is a multinational corporation known for designing, manufacturing, and marketing consumer electronics, personal computers, and software. Their innovative product development and world-class operations have made them a leader in the industry, with...</t>
  </si>
  <si>
    <t xml:space="preserve"> +1 408-996-1010</t>
  </si>
  <si>
    <t>20316563616</t>
  </si>
  <si>
    <t>Apple Inc.</t>
  </si>
  <si>
    <t>22703009344</t>
  </si>
  <si>
    <t>Applied Federal Solutions</t>
  </si>
  <si>
    <t>Service Disabled Veteran Owned Small Business (SDVOSB)</t>
  </si>
  <si>
    <t>Not available</t>
  </si>
  <si>
    <t>Management, IT, Cybersecurity, Operational Improvement, Federal and State Client Solutions, Clinical Staffing, Project Management, Health IT, Software Development</t>
  </si>
  <si>
    <t>VA Integrated Critical Staffing Program (ICSP), Various Federal Contracts</t>
  </si>
  <si>
    <t>Veteran Affairs, USSOCOM, Federal Bureau of Investigation, US Air Force, State of Florida, University of Florida, US Department of Agriculture (USDA)</t>
  </si>
  <si>
    <t>appliedfederalsolutions.com</t>
  </si>
  <si>
    <t>Applied Federal Solutions is a full service Management, IT, and Cybersecurity firm providing effective and efficient solutions to Federal and State clients. As a registered SDVOSB, we know that the mission is paramount. Our team of experienced professi...</t>
  </si>
  <si>
    <t>20398983331</t>
  </si>
  <si>
    <t>ARCYBER</t>
  </si>
  <si>
    <t>arcyber.army.mil</t>
  </si>
  <si>
    <t>The United States Army is dedicated to fighting and winning the nation's wars by providing land dominance across various military operations. They offer career opportunities in armed forces, administrative support, arts &amp; media, intelligence, legal, co...</t>
  </si>
  <si>
    <t>3302626136</t>
  </si>
  <si>
    <t>ARMY DEPARTMENT OF DEFENSE INFORMATION NETWORK ARMY CYBERSECURITY AND NETWORK OPERATIONS MISSION SUPPORT (ADCNOMS)</t>
  </si>
  <si>
    <t>18380671400</t>
  </si>
  <si>
    <t>20315763633</t>
  </si>
  <si>
    <t>Ares Management Corp</t>
  </si>
  <si>
    <t>aresmgmt.com</t>
  </si>
  <si>
    <t>Ares Management is a global alternative investment manager providing a range of investment strategies across credit, private equity, real estate, and infrastructure asset classes.</t>
  </si>
  <si>
    <t xml:space="preserve"> +1 310-201-4100</t>
  </si>
  <si>
    <t>22702800269</t>
  </si>
  <si>
    <t>NYC Minority Women-Owned Business Enterprise (M/WBE)</t>
  </si>
  <si>
    <t>Certified Flight Levels Training
Certified Kanban and Agile Training
Certified Safe Training
Certified Specflow Training
PMP, ITL, Scrum, Agile, Safe, Less
CMMI Development Level 3
CMMI Services Level 3
ISO 9001:2015
ISO/IEC 20000-1:2018
ISO/IEC 27001:2013
NIST 800-171</t>
  </si>
  <si>
    <t>Technical Services
Agile Development &amp; Legacy Transformation
Enterprise Architecture
Test Automation
DevOps And Configuration Management
Human-Centric UX Design
User Research &amp; Usability Testing
Database Performance Tuning
Cloud Readiness and Migration
Predictive Analytics Including Data Analysis &amp; Data Visualization
Assessments &amp; Audits
Agile Governance</t>
  </si>
  <si>
    <t>GSA IT-70
GSA PSS MOBIS
DOJ ITSS-5
DISA ENCORE III
NAVY SEAPORT NXG
HHS/CMS SPARC
OSD SUNET ENCLAVES
OSD SUNET INFRASTRUCTURE</t>
  </si>
  <si>
    <t>HBO
Fannie Mae
Guardian Life Insurance Company
Moody's
NYC Department of Social Services
NYC Department of Probation
NYC Human Resources Administration
FBI
Social Security Administration (SSA)
Environmental Protection Agency (EPA)
Department of Veterans Affairs (VA)
U.S. Department of Health and Human Services (HHS)
U.S. Department of Homeland Security (DHS)
General Services Administration (GSA)
U.S. Agency for International Development (USAID)</t>
  </si>
  <si>
    <t>arielpartners.com</t>
  </si>
  <si>
    <t>Ariel Partners is an IT software consulting firm with experience executing some of the largest and most difficult technology projects. They provide technology development, training, coaching, and consulting services to Federal and Local New York City a...</t>
  </si>
  <si>
    <t>19792331808</t>
  </si>
  <si>
    <t xml:space="preserve">Army Cyber Command </t>
  </si>
  <si>
    <t>The Official Home Page of the United States Army The latest news, images, videos, career information, and links from the U.S. Army Tank Tour Confidence Obstacle Course Lahaina Rainbow Drop Zone Control Ranger Aim Pioneer Rush Expert Soldiers Funeral Ho...</t>
  </si>
  <si>
    <t>23455676256</t>
  </si>
  <si>
    <t>http://www.arvest.com</t>
  </si>
  <si>
    <t>Arvest Bank provides customer-focused banking services, including extended branch hours, mobile banking, and online bill payment, to meet the needs of individuals and businesses in multiple states.</t>
  </si>
  <si>
    <t xml:space="preserve"> +1 479-770-1800</t>
  </si>
  <si>
    <t>20317080868</t>
  </si>
  <si>
    <t>Associated Builders &amp; Contractors</t>
  </si>
  <si>
    <t>20157334162</t>
  </si>
  <si>
    <t>Astellas</t>
  </si>
  <si>
    <t>800-727-7003</t>
  </si>
  <si>
    <t>20157344270</t>
  </si>
  <si>
    <t>1-800-236-9933</t>
  </si>
  <si>
    <t>20316657006</t>
  </si>
  <si>
    <t>AstraZeneca Pharmaceuticals LP</t>
  </si>
  <si>
    <t>astrazeneca-us.com</t>
  </si>
  <si>
    <t>AstraZeneca is a global pharmaceutical leader revolutionizing healthcare with a focus on oncology, cardiovascular, and other critical areas. Committed to transforming lives and finding cures, AstraZeneca's innovative research is shaping the future of m...</t>
  </si>
  <si>
    <t xml:space="preserve"> +44 302 886 3000</t>
  </si>
  <si>
    <t>20317024769</t>
  </si>
  <si>
    <t>attsuppliers.com</t>
  </si>
  <si>
    <t>AT&amp;amp;T is among the world's leading companies when it comes to identifying and doing business with diverse suppliers. Since 1968, the AT&amp;amp;T Global Supplier Diversity organization connects certified diverse minority, women, and disabled veteran-owned business enterprises (MBE, WBE and DVBEs) businesses with opportunities to provide products and services to AT&amp;amp;T around the world.</t>
  </si>
  <si>
    <t>20157117596</t>
  </si>
  <si>
    <t>Need more diversity/inclusion information about LSA.</t>
  </si>
  <si>
    <t>20843038323</t>
  </si>
  <si>
    <t>atlassian.com</t>
  </si>
  <si>
    <t>Atlassian is a leading provider of collaboration software for teams, offering a suite of products like JIRA, Confluence, Bitbucket, and Trello. They help teams of all sizes build better products and services by managing every aspect of a product's life...</t>
  </si>
  <si>
    <t>23462351029</t>
  </si>
  <si>
    <t>ATP</t>
  </si>
  <si>
    <t>http://www.atp.dk</t>
  </si>
  <si>
    <t>ATP – fælles om en tryg fremtid ATP sikrer den økonomiske grundtryghed i Danmark. Vi forvalter danskernes pension og administrerer velfærden, for alle danskere, hele livet Trods en udfordrende start på 2023 sluttede ATP året i plus med et samlet afkast på knap 6 mia. kr. i investeringsporteføljen. Takket være en stærk bonusevne over hele året kunne ATP igen forhøje den livslange pension. Udbetaling Danmark offentliggør i dag helt friske data på Øremærket Barsel. Data, som inkluderer alle forældre i Danmark, der holder barselsorlov med barselsdagpenge. Fra den dag, du går på pension, og resten af I ATP løser vi opgaver for næsten alle borgere og virksomheder i Danmark – som pensionsforvalter, investor og administrator af velfærdsydelser. Vi forvalter ATP Livslang Pension, der er med til at sikre, at danskerne har lidt mere at leve for den dag, de går på pension. Som investor arbejder vi for at sikre gode, stabile afkast af pensionsformuen, som vi blandt andet investerer i obligationer, aktier, ejendomme og infrastruktur. Derudover administrerer vi udbetaling af en række velfærds og sikringsydelser, for eksempel feriepenge, folkepension, boligstøtte og barselsdagpenge.</t>
  </si>
  <si>
    <t xml:space="preserve"> +45 70 11 12 13</t>
  </si>
  <si>
    <t>20316834214</t>
  </si>
  <si>
    <t>Atrium Health</t>
  </si>
  <si>
    <t>atriumhealth.org</t>
  </si>
  <si>
    <t>Atrium Health is a world-class healthcare provider with over 1,400 care locations and 40 hospitals across NC, SC, GA, and AL. They offer a wide range of services including top-ranked pediatric, cancer, and heart care, organ transplants, burn treatments...</t>
  </si>
  <si>
    <t xml:space="preserve"> +1 800-821-1535</t>
  </si>
  <si>
    <t>20317408000</t>
  </si>
  <si>
    <t>Atrium Works</t>
  </si>
  <si>
    <t>atriumworks.com</t>
  </si>
  <si>
    <t>Human Resources</t>
  </si>
  <si>
    <t>Atrium is a company that provides contingent workforce solutions, including staffing and recruitment, MSP payrolling services, intern program design, temp independent contractor compliance, administrative support, and talent acquisition and management.</t>
  </si>
  <si>
    <t xml:space="preserve"> +1 212-292-0550</t>
  </si>
  <si>
    <t>20317493393</t>
  </si>
  <si>
    <t>Autodesk</t>
  </si>
  <si>
    <t>autodesk.com</t>
  </si>
  <si>
    <t>Autodesk is a global leader in 3D design software, offering solutions for architecture, engineering, construction, and entertainment industries. Their innovative software portfolio, including AutoCAD and Revit, empowers millions of customers worldwide ...</t>
  </si>
  <si>
    <t xml:space="preserve"> +1 415-507-5000</t>
  </si>
  <si>
    <t>20752614535</t>
  </si>
  <si>
    <t>Avangrid, Inc.</t>
  </si>
  <si>
    <t>avangrid.com</t>
  </si>
  <si>
    <t>Avangrid is a leading sustainable energy company in the U.S., offering electricity, natural gas, onshore wind, offshore wind, and solar energy. With $40 billion in assets, Avangrid is driving America towards a clean future through its diverse energy se...</t>
  </si>
  <si>
    <t xml:space="preserve"> +1 207-530-0977</t>
  </si>
  <si>
    <t>23438837043</t>
  </si>
  <si>
    <t>Aviva</t>
  </si>
  <si>
    <t>http://www.aviva.com</t>
  </si>
  <si>
    <t>Aviva plc is a global Insurance, Wealth &amp; Retirement business offering long-term insurance, savings, and asset management services. Committed to a better tomorrow, Aviva values inclusivity and diversity in its workforce and community.</t>
  </si>
  <si>
    <t xml:space="preserve"> +44 1603 622200</t>
  </si>
  <si>
    <t>20157326666</t>
  </si>
  <si>
    <t>AXA</t>
  </si>
  <si>
    <t>22249253422</t>
  </si>
  <si>
    <t>BAE Systems</t>
  </si>
  <si>
    <t>21400727890</t>
  </si>
  <si>
    <t>baesystems.us</t>
  </si>
  <si>
    <t>BAE Systems is a global defense, aerospace, and security company with a workforce of 88,200 people. They provide advanced solutions for air, land, and naval forces, as well as electronics, information technology, and support services, collaborating wit...</t>
  </si>
  <si>
    <t>23457570679</t>
  </si>
  <si>
    <t>BancFirst</t>
  </si>
  <si>
    <t>http://www.bancfirst.bank</t>
  </si>
  <si>
    <t>BancFirst in Oklahoma offers a variety of personal and business banking services including accounts, loans, treasury services and more.</t>
  </si>
  <si>
    <t xml:space="preserve"> +1 405-270-1000</t>
  </si>
  <si>
    <t>23462509922</t>
  </si>
  <si>
    <t>Banco Esp</t>
  </si>
  <si>
    <t>http://www.novobanco.pt</t>
  </si>
  <si>
    <t>NOVO BANCO offers a range of financial products and services, including online account opening, personal loans, mortgage options, credit cards, savings accounts, and investment guidance, all while prioritizing customer security and providing promotional cashback offers for new clients.</t>
  </si>
  <si>
    <t>23444165949</t>
  </si>
  <si>
    <t>Banco Intermedium SA</t>
  </si>
  <si>
    <t>http://www.bancointer.com.br</t>
  </si>
  <si>
    <t>Banco Inter is a Brazilian digital bank that offers a range of financial services, including a free checking account, credit card, investment options, loans, insurance, and foreign exchange.</t>
  </si>
  <si>
    <t xml:space="preserve"> +55 31 2138-7978</t>
  </si>
  <si>
    <t>23457567793</t>
  </si>
  <si>
    <t>Banco Votorantim</t>
  </si>
  <si>
    <t>bancovotorantim.com.br</t>
  </si>
  <si>
    <t>Latin America's largest bank Banco do Brasil SA is a Brazil based financial institution primarily engaged in the banking sector. The Bank's activities are divided into five business segments: Banking, Investments, Fund management, Insurance, and Electr...</t>
  </si>
  <si>
    <t>23454833748</t>
  </si>
  <si>
    <t>http://bancobv.com.br</t>
  </si>
  <si>
    <t>Banco BV, also known as BV, has been a part of people's lives for over 30 years, offering a range of financial solutions for individuals and businesses. They specialize in Corporate and Investment Banking, Asset Management, Private Bank, and Financing,...</t>
  </si>
  <si>
    <t>23464591399</t>
  </si>
  <si>
    <t>Bank of America</t>
  </si>
  <si>
    <t>bofa.com</t>
  </si>
  <si>
    <t>Bank of America, through its Global Banking and Global Markets divisions, offers a wide range of financial services including lending, commercial banking, trading, investment banking, and advisory services globally. With a focus on responsible growth, the company helps clients navigate the evolving financial landscape from local communities to global markets.</t>
  </si>
  <si>
    <t xml:space="preserve"> +1 704-386-8486</t>
  </si>
  <si>
    <t>23448530765</t>
  </si>
  <si>
    <t>https://www.bankofamerica.com</t>
  </si>
  <si>
    <t>Bank of America provides a comprehensive range of banking, investing, and financial management services to individuals, small businesses, and large corporations, aiming to enhance financial well-being through meaningful connections.</t>
  </si>
  <si>
    <t>20157326664</t>
  </si>
  <si>
    <t>1 (800) 432-1000</t>
  </si>
  <si>
    <t>23451933283</t>
  </si>
  <si>
    <t>Bank of England</t>
  </si>
  <si>
    <t>http://www.bankofengland.co.uk</t>
  </si>
  <si>
    <t>The Bank of England (BoE) is the UK's central bank. Our mission is to deliver monetary and financial stability for the people of the United Kingdom. As the UK's central bank we work to ensure low inflation, trust in banknotes and a stable financial system.</t>
  </si>
  <si>
    <t>23449935506</t>
  </si>
  <si>
    <t>Bank of Hawaii</t>
  </si>
  <si>
    <t>http://www.boh.com</t>
  </si>
  <si>
    <t>Bank of Hawaii Corporation, the largest independent financial institution in Hawaii, offers a variety of financial products and services to businesses, consumers, and governments in the Pacific region.</t>
  </si>
  <si>
    <t xml:space="preserve"> +1 888-643-3888</t>
  </si>
  <si>
    <t>23456415326</t>
  </si>
  <si>
    <t>Bank of Texas</t>
  </si>
  <si>
    <t>https://www.bankoftexas.com</t>
  </si>
  <si>
    <t>Bank of Texas offers competitive banking services, credit solutions, and investment services for individuals, businesses, and institutions, backed by the strength of BOK Financial Corporation.</t>
  </si>
  <si>
    <t>20316722978</t>
  </si>
  <si>
    <t>Bank of the West</t>
  </si>
  <si>
    <t>23463820434</t>
  </si>
  <si>
    <t>banking</t>
  </si>
  <si>
    <t>https://www.dime-bank.com</t>
  </si>
  <si>
    <t>Dime Bank is a community bank serving southeastern Connecticut and Rhode Island. They offer a range of personal and business banking services, including bank accounts, loans, and investment services. Dime Bank is committed to helping their neighbors im...</t>
  </si>
  <si>
    <t xml:space="preserve"> +1 860-859-4306</t>
  </si>
  <si>
    <t>23457883147</t>
  </si>
  <si>
    <t>BankUnited</t>
  </si>
  <si>
    <t>http://www.bankunited.com</t>
  </si>
  <si>
    <t>BankUnited offers a full range of banking and online banking services, including personal, commercial, and small business finance. With over 100 branches in Florida and New York, BankUnited is one of the largest independent depository and lending institutions, known for its strong capitalization and top rankings in the U.S. banking industry.</t>
  </si>
  <si>
    <t xml:space="preserve"> +1 305-569-2000</t>
  </si>
  <si>
    <t>23453926299</t>
  </si>
  <si>
    <t>Banner Bank</t>
  </si>
  <si>
    <t>https://www.bannerbank.com/</t>
  </si>
  <si>
    <t>Banner Bank: Established community bank offering personal and commercial banking services in the Western U.S.</t>
  </si>
  <si>
    <t xml:space="preserve"> +1 509-527-3636</t>
  </si>
  <si>
    <t>23449942819</t>
  </si>
  <si>
    <t>Barclays</t>
  </si>
  <si>
    <t>barclays.com</t>
  </si>
  <si>
    <t>Barclays is a British universal bank with a global presence, offering a wide range of financial services to customers worldwide.</t>
  </si>
  <si>
    <t>20316722980</t>
  </si>
  <si>
    <t>http://www.home.barclays</t>
  </si>
  <si>
    <t>Barclays Global Supplier Diversity uses best practices in supplier diversity from across the world to shape our global strategy. Our mission is to do business with the best, for-profit, diverse entrepreneurs in the world who are diverse in size, ownership (i.e. gender, race, ethnicity, socio-economic, sexual orientation, military veteran, people with disabilities) and mission such as social enterprises. We aim to ensure that our procurement process remains transparent, objective and non-discriminatory in the selection of suppliers.</t>
  </si>
  <si>
    <t xml:space="preserve"> +44 20 3134 0952</t>
  </si>
  <si>
    <t>20317074221</t>
  </si>
  <si>
    <t>Bath &amp; Body Works Inc</t>
  </si>
  <si>
    <t>bathandbodyworks.com</t>
  </si>
  <si>
    <t>Bath &amp; Body Works is a global leader in personal care and home fragrance, providing a diverse range of products to make every day brighter and happier through the power of fragrance.</t>
  </si>
  <si>
    <t xml:space="preserve"> +1 800-756-5005</t>
  </si>
  <si>
    <t>20316906406</t>
  </si>
  <si>
    <t>Bath and Body Works, Inc.</t>
  </si>
  <si>
    <t>bbwinc.com</t>
  </si>
  <si>
    <t>Cosmetics</t>
  </si>
  <si>
    <t>We make the world a brighter, happier placethrough the power of fragrance.This idea is what we were founded on, and it’s at the heart of everything we do. We’re a team that cares about our customers and believes in giving them a reason to celebrate with fragrance every day.We are committed to creating a diverse, equitable and inclusive culture that is focused on delivering exceptional fragrances and experiences.We work hard to improve our communities and our planet in a way that will make us proud for years to come ... because we believe the world is a better place when everyone has access to the things that make them happy.Home of America’s Favorite Fragrances®, Bath &amp;amp; Body Works is a global leader in personal care and home fragrance, including the top-selling collections for fine fragrance mist, body lotion and body cream, 3-wick candles, home fragrance diffusers and liquid hand soap. Powered by agility and innovation, the company’s predominantly U.S.-based supply chain enables the company to deliver quality, on-trend luxuries at affordable prices. Bath &amp;amp; Body Works serves and delights customers however and wherever they want to shop, from welcoming, in-store experiences at more than 1,800 company-operated Bath &amp;amp; Body Works locations in the U.S. and Canada and more than 425 international franchised locations to an online storefront at www.BathandBodyWorks.com.﻿</t>
  </si>
  <si>
    <t xml:space="preserve"> +1 614-415-7000</t>
  </si>
  <si>
    <t>20317417379</t>
  </si>
  <si>
    <t>Battelle</t>
  </si>
  <si>
    <t>battelle.org</t>
  </si>
  <si>
    <t>Biotechnology</t>
  </si>
  <si>
    <t>Battelle is the world's largest independent research and development organization, providing innovative solutions in national security, health, energy, and education sectors globally.</t>
  </si>
  <si>
    <t xml:space="preserve"> +1 800-201-2011</t>
  </si>
  <si>
    <t>20315763634</t>
  </si>
  <si>
    <t>Bausch &amp; Lomb</t>
  </si>
  <si>
    <t>bauschhealth.com</t>
  </si>
  <si>
    <t>Bausch Health believes our corporation and the communities in which we operate benefit from sourcing practices that capitalize on the unique skills, knowledge, creativity and talent that having a diverse supply base offers. Senior leadership is responsible for ensuring a culture that fosters equal opportunities for diverse owned enterprises. Ultimately, we seek the most capable suppliers in terms of quality, service, cost and technology on a global basis.</t>
  </si>
  <si>
    <t xml:space="preserve"> +1 514 744 6792</t>
  </si>
  <si>
    <t>20317105949</t>
  </si>
  <si>
    <t>Baxter</t>
  </si>
  <si>
    <t>baxter.com</t>
  </si>
  <si>
    <t>Every day, millions of patients and caregivers rely on Baxter’s leading portfolio of critical care, nutrition, renal, hospital and surgical products. For more than 85 years, we’ve been operating at the critical intersection where innovations that save and sustain lives meet the healthcare providers that make it happen. With products, technologies and therapies available in more than 100 countries, Baxter’s employees worldwide are now building upon the company’s rich heritage of medical breakthroughs to advance the next generation of transformative healthcare innovations.</t>
  </si>
  <si>
    <t xml:space="preserve"> +1 847-948-2000</t>
  </si>
  <si>
    <t>20316906409</t>
  </si>
  <si>
    <t>Bayer</t>
  </si>
  <si>
    <t>bayer.com</t>
  </si>
  <si>
    <t>Bayer is a global company in healthcare and agriculture, providing innovative solutions to improve lives and create value through growth and innovation.</t>
  </si>
  <si>
    <t xml:space="preserve"> +49 214 301</t>
  </si>
  <si>
    <t>20315408685</t>
  </si>
  <si>
    <t>BBVA USA</t>
  </si>
  <si>
    <t>23457574976</t>
  </si>
  <si>
    <t>BCR</t>
  </si>
  <si>
    <t>http://www.bcr.ro</t>
  </si>
  <si>
    <t>Banca Comercială Română (BCR) is the largest banking institution in Romania, a member of the Erste Group, offering a wide range of financial services. BCR provides banking solutions for both retail and corporate clients, including bank accounts, online banking, advantageous loans, and exclusive debit and credit cards. The company's mission is to promote prosperity in Romania by empowering individuals to achieve their full potential through secure access to financial services, comprehensive financial education programs, and personalized banking products.</t>
  </si>
  <si>
    <t>20316937610</t>
  </si>
  <si>
    <t>Beacon Building Products</t>
  </si>
  <si>
    <t>Beacon is a leading provider of commercial and residential roofing, siding, waterproofing, windows, insulation, and air barrier systems to the North American building industry. We have supported contractors who rely on us to help them save time and build more for nearly 100 years.﻿</t>
  </si>
  <si>
    <t>20316852604</t>
  </si>
  <si>
    <t>Beam Suntory</t>
  </si>
  <si>
    <t>beamsuntory.com</t>
  </si>
  <si>
    <t>Beam Suntory is a global leader in premium spirits, fostering human connections through iconic brands like Jim Beam and Maker’s Mark. Established in 2014, the company combines bourbon and Japanese whisky heritage to drive growth and innovation.</t>
  </si>
  <si>
    <t xml:space="preserve"> +1 847-484-4400</t>
  </si>
  <si>
    <t>20157361697</t>
  </si>
  <si>
    <t>(312) 964-6999</t>
  </si>
  <si>
    <t>20157149817</t>
  </si>
  <si>
    <t>Bechtel</t>
  </si>
  <si>
    <t>213-271-2480</t>
  </si>
  <si>
    <t>20317417801</t>
  </si>
  <si>
    <t>Becton, Dickinson and Company</t>
  </si>
  <si>
    <t>bd.com</t>
  </si>
  <si>
    <t>BD is a global medical technology company dedicated to advancing health through innovative products and solutions for healthcare institutions and researchers worldwide.</t>
  </si>
  <si>
    <t xml:space="preserve"> +1 201-847-6800</t>
  </si>
  <si>
    <t>23452696235</t>
  </si>
  <si>
    <t>bellatlantic.net</t>
  </si>
  <si>
    <t>23459573415</t>
  </si>
  <si>
    <t>Ben Aronin - Northwestern Mutual</t>
  </si>
  <si>
    <t>nm.com</t>
  </si>
  <si>
    <t>Northwestern Mutual is a financial services company that offers a range of products and services including insurance, investment, and financial planning. They focus on helping individuals and businesses achieve financial security and plan for the future.</t>
  </si>
  <si>
    <t xml:space="preserve"> +1 703-376-1904</t>
  </si>
  <si>
    <t>23455820154</t>
  </si>
  <si>
    <t>BendBroadband</t>
  </si>
  <si>
    <t>bendbroadband.com</t>
  </si>
  <si>
    <t>BendBroadband is a telecommunications company that offers broadband, fiber connectivity, cable television, and telephone services for commercial and residential customers in Central Oregon. The company is a wholly owned subsidiary of Telephone and Data Systems.</t>
  </si>
  <si>
    <t xml:space="preserve"> +1 541-241-8380</t>
  </si>
  <si>
    <t>23463823909</t>
  </si>
  <si>
    <t>Berkshire Bank</t>
  </si>
  <si>
    <t>http://www.berkshirebank.com</t>
  </si>
  <si>
    <t>Berkshire Bank, a subsidiary of Berkshire Hills Bancorp, is a socially responsible community bank empowering financial potential through exceptional service and positive impact in MA, NY, VT, CT, and RI.</t>
  </si>
  <si>
    <t xml:space="preserve"> +1 617-641-9206</t>
  </si>
  <si>
    <t>20315701586</t>
  </si>
  <si>
    <t>Berkshire Hathaway Energy</t>
  </si>
  <si>
    <t>20316657007</t>
  </si>
  <si>
    <t>Best Buy</t>
  </si>
  <si>
    <t>bestbuy.com</t>
  </si>
  <si>
    <t>Retail</t>
  </si>
  <si>
    <t>Best Buy is a leading North American retailer of technology and entertainment products with a strong commitment to innovation and community partnerships.</t>
  </si>
  <si>
    <t xml:space="preserve"> +1 612-291-1000</t>
  </si>
  <si>
    <t>22702806911</t>
  </si>
  <si>
    <t>BiC-1</t>
  </si>
  <si>
    <t>bic-1.com</t>
  </si>
  <si>
    <t>BiC 1 is a U.S. based Joint Venture Partnership specializing in government contract teaming with Best in Class small business contractors.</t>
  </si>
  <si>
    <t xml:space="preserve"> +1 240-701-2434</t>
  </si>
  <si>
    <t>20316921914</t>
  </si>
  <si>
    <t>Bishop-Mccann LLC</t>
  </si>
  <si>
    <t>bishopmccann.com</t>
  </si>
  <si>
    <t>Marketing and Advertising</t>
  </si>
  <si>
    <t>Bishop McCann is an award-winning event management partner that helps companies elevate their events and increase audience engagement. They are industry leaders and JOY creators, specializing in virtual, live, and hybrid event production. With their pr...</t>
  </si>
  <si>
    <t xml:space="preserve"> +1 816-673-7074</t>
  </si>
  <si>
    <t>23454361772</t>
  </si>
  <si>
    <t>Bitcoin</t>
  </si>
  <si>
    <t>https://digitalbitco.in/</t>
  </si>
  <si>
    <t>23448118960</t>
  </si>
  <si>
    <t>bitcoins.career</t>
  </si>
  <si>
    <t>23449471159</t>
  </si>
  <si>
    <t>BlackRock</t>
  </si>
  <si>
    <t>http://www.blackrock.com</t>
  </si>
  <si>
    <t>Investment Banking</t>
  </si>
  <si>
    <t>BlackRock is a leading global asset management firm that specializes in providing investment management and financial services, including the management of exchange-traded funds that aim to replicate the performance of specific market indices.</t>
  </si>
  <si>
    <t xml:space="preserve"> +1 212-810-5300</t>
  </si>
  <si>
    <t>22701341270</t>
  </si>
  <si>
    <t>blargo.net</t>
  </si>
  <si>
    <t>20316563612</t>
  </si>
  <si>
    <t>Block, Inc</t>
  </si>
  <si>
    <t>block.xyz</t>
  </si>
  <si>
    <t>Block is a company that consists of Square, Cash App, Spiral, TIDAL, TBD, and foundational teams. They are focused on economic empowerment and creating tools to expand access to the economy. Square helps sellers run and grow their businesses with comme...</t>
  </si>
  <si>
    <t xml:space="preserve"> +1 415-375-3176</t>
  </si>
  <si>
    <t>23462972213</t>
  </si>
  <si>
    <t>http://bloomberg.com/company</t>
  </si>
  <si>
    <t>Bloomberg is a global information and technology company that delivers business news, data, and analysis to decision-makers worldwide, serving as the primary distributor of financial data and a top news provider.</t>
  </si>
  <si>
    <t xml:space="preserve"> +1 212-318-2000</t>
  </si>
  <si>
    <t>23461274374</t>
  </si>
  <si>
    <t>Bloomberg L.P.</t>
  </si>
  <si>
    <t>bloomberg.net</t>
  </si>
  <si>
    <t>Publishing</t>
  </si>
  <si>
    <t>Bloomberg L.P. is a privately held financial, software, data, and media company headquartered in Midtown Manhattan, New York City. It provides financial software tools and enterprise applications such as analytics and equity trading platform, data services, and news to financial companies and organizations through the Bloomberg Terminal (via its Bloomberg Professional Service), its core revenue generating product. Bloomberg L.P. also includes a wire service (Bloomberg News), a global television network (Bloomberg Television), websites, radio stations (Bloomberg Radio), subscription only newsletters, and two magazines: Bloomberg Businessweek and Bloomberg Markets. The company has 176 locations and nearly 20,000 employees.</t>
  </si>
  <si>
    <t>20316496908</t>
  </si>
  <si>
    <t>BlueCross BlueShield Association</t>
  </si>
  <si>
    <t>bcbs.com</t>
  </si>
  <si>
    <t>If your organization is
interested in doing business with BCBSA, please submit a Supplier
Registration Form.
Completing this registration will allow us to identify opportunities that fit
with your organization’s profile. Certified Diverse Suppliers shall submit a
certification from an authorized third-party or regulatory agency. Uncertified
suppliers that qualify as diverse should attest to self-certification in the
registration form.
REGISTER HERE: https://www.bcbs.com/supplier-registration-form
Angela White (She/Her)
Supplier Diversity Manager
Blue Cross Blue Shield Association
PH#    312-442-0697
Email: Angela.White@bcbsa.com
Register Here: https://www.bcbs.com/supplier-registration-form</t>
  </si>
  <si>
    <t xml:space="preserve"> +1 312-297-5786</t>
  </si>
  <si>
    <t>22391646511</t>
  </si>
  <si>
    <t>BlueEdge, LLC</t>
  </si>
  <si>
    <t>20317040689</t>
  </si>
  <si>
    <t>BMO Financial Group</t>
  </si>
  <si>
    <t>http://www.bmo.com</t>
  </si>
  <si>
    <t>BMO is a leading bank driven by a single purpose: to Boldly Grow the Good, in Business and Life. Every day, we continue to set our sights higher, inspired by our purpose and energized by the opportunity to create positive change for the customers and communities we serve. More than 12 million customers count on us for personal and commercial banking, wealth management and investment services. As the 8th largest bank, by assets, in North America, we help our customers make the most of their money.In Canada, in the United States and across the globe, we’ll continue to build, invest and transform to drive performance that serves the good that grows.</t>
  </si>
  <si>
    <t xml:space="preserve"> +1 866 262 1618</t>
  </si>
  <si>
    <t>23449921942</t>
  </si>
  <si>
    <t>BNP Paribas</t>
  </si>
  <si>
    <t>https://bnpp.lk/E2gMao</t>
  </si>
  <si>
    <t>BNP Paribas Markets 360, a division of BNP Paribas Global Markets, offers collaborative insights, thought-leading strategy, and economics content to provide comprehensive financial solutions to clients worldwide.</t>
  </si>
  <si>
    <t>23459260012</t>
  </si>
  <si>
    <t>BNY Mellon</t>
  </si>
  <si>
    <t>https://www.bny.com</t>
  </si>
  <si>
    <t>Brand New You is a company that offers a wide range of beauty and wellness products and services to help individuals enhance their appearance and well-being. From skincare and cosmetics to fitness programs and personalized consultations, Brand New You ...</t>
  </si>
  <si>
    <t>20316644115</t>
  </si>
  <si>
    <t>bnymellon.com</t>
  </si>
  <si>
    <t>Supplier diversity is an important component of BNY Mellon's corporate business strategy. Through our Supplier Development Program, we continue to take positive steps in building and maintaining a diverse supplier base. We work closely with our existing small and diverse suppliers to expand their opportunities within the Corporation, providing our guidance and support as needed to prepare them to bid on new business with us. We collaborate with organizations focused on the economic development and growth of companies. This commitment to the economic growth and development of small and diverse businesses has the full support of our Corporate leadership.</t>
  </si>
  <si>
    <t xml:space="preserve"> +1 412-236-1989</t>
  </si>
  <si>
    <t>20156182642</t>
  </si>
  <si>
    <t>1 (212) 495-1784</t>
  </si>
  <si>
    <t>22248891697</t>
  </si>
  <si>
    <t>Boeing</t>
  </si>
  <si>
    <t>www.boeing.com</t>
  </si>
  <si>
    <t>The Boeing Company is the world's largest aerospace company and a leading manufacturer of commercial jetliners, defense, space, and security systems. They design, manufacture, and sell airplanes, rotorcraft, rockets, and satellites globally, offering l...</t>
  </si>
  <si>
    <t xml:space="preserve"> +1 703-414-6338</t>
  </si>
  <si>
    <t>20158970195</t>
  </si>
  <si>
    <t>boeing.com</t>
  </si>
  <si>
    <t>23459887756</t>
  </si>
  <si>
    <t>BOK Financial</t>
  </si>
  <si>
    <t>bokf.com</t>
  </si>
  <si>
    <t>BOK Financial is a regional financial powerhouse offering commercial and consumer banking, investment, trust, insurance, and mortgage services across eight states.</t>
  </si>
  <si>
    <t xml:space="preserve"> +1 918-588-6000</t>
  </si>
  <si>
    <t>20157488652</t>
  </si>
  <si>
    <t>Booking Holdings</t>
  </si>
  <si>
    <t>20317138811</t>
  </si>
  <si>
    <t>Booz Allen Hamilton Holding Corporation</t>
  </si>
  <si>
    <t>boozallen.com</t>
  </si>
  <si>
    <t>Booz Allen Hamilton is a leading provider of management consulting, technology, and engineering services. They have been at the forefront of strategy and technology consulting for 100 years. Booz Allen provides services to the US government in defense,...</t>
  </si>
  <si>
    <t xml:space="preserve"> +1 703-902-5000</t>
  </si>
  <si>
    <t>23451606941</t>
  </si>
  <si>
    <t>Boston Blockchain Ventures</t>
  </si>
  <si>
    <t>https://bostonblockchainventures.co/</t>
  </si>
  <si>
    <t>Boston Blockchain Ventures is an incubator that fosters new companies and ideas in the blockchain industry. They provide funding, mentorship, and resources to empower entrepreneurs and propel promising blockchain ventures into successful businesses.</t>
  </si>
  <si>
    <t>22702719534</t>
  </si>
  <si>
    <t>Boston Scientific</t>
  </si>
  <si>
    <t>bsci.com</t>
  </si>
  <si>
    <t>Boston Scientific is dedicated to advancing healthcare by developing innovative, minimally invasive medical devices that address a wide range of serious medical conditions, ultimately improving the quality of life for patients globally.</t>
  </si>
  <si>
    <t xml:space="preserve"> +81 50-8683-4000</t>
  </si>
  <si>
    <t>20316760735</t>
  </si>
  <si>
    <t>20158954243</t>
  </si>
  <si>
    <t>BP</t>
  </si>
  <si>
    <t>Oil &amp; Energy</t>
  </si>
  <si>
    <t xml:space="preserve"> +44 20 7496 4000</t>
  </si>
  <si>
    <t>20316722976</t>
  </si>
  <si>
    <t>BP America</t>
  </si>
  <si>
    <t>bp.com</t>
  </si>
  <si>
    <t>BP plc is a global oil and gas company providing fuel for transportation, energy for heat and light, and petrochemical products. Committed to reaching net zero emissions, BP is reimagining energy for a sustainable future.</t>
  </si>
  <si>
    <t>20157374082</t>
  </si>
  <si>
    <t>Breakthru Beverage Group</t>
  </si>
  <si>
    <t>Food &amp; Beverages</t>
  </si>
  <si>
    <t>888) 273-4645</t>
  </si>
  <si>
    <t>23444013148</t>
  </si>
  <si>
    <t>Bremer Bank</t>
  </si>
  <si>
    <t>https://www.bremer.com/</t>
  </si>
  <si>
    <t>Bremer Bank, established in 1943, is a regional financial services company providing banking, investment, trust, and insurance products in Minnesota, North Dakota, and Wisconsin. Serving a diverse clientele, including individuals, families, corporations, small businesses, agribusinesses, nonprofits, and government entities, Bremer Bank aims to help communities prosper and grow through its comprehensive financial services offerings.</t>
  </si>
  <si>
    <t xml:space="preserve"> +1 800-908-2265</t>
  </si>
  <si>
    <t>23462817835</t>
  </si>
  <si>
    <t>Bridgewater Associates</t>
  </si>
  <si>
    <t>bwater.com</t>
  </si>
  <si>
    <t>Bridgewater Associates manages approximately $120 billion in global investments for a diverse range of institutional clients, employing a global macro investing strategy that focuses on economic trends such as inflation and currency exchange rates.</t>
  </si>
  <si>
    <t xml:space="preserve"> +1 203-226-3030</t>
  </si>
  <si>
    <t>23442460975</t>
  </si>
  <si>
    <t>https://www.bridgewater.com</t>
  </si>
  <si>
    <t>Bridgewater Associates is a leading asset management firm that provides sophisticated global institutional investors with unique insights and partnerships, leveraging advanced technology to enhance its investment strategies based on timeless economic principles.</t>
  </si>
  <si>
    <t>20316496903</t>
  </si>
  <si>
    <t>Brighthouse Financial</t>
  </si>
  <si>
    <t>20317417800</t>
  </si>
  <si>
    <t>Bristol Myers Squibb</t>
  </si>
  <si>
    <t>bms.com</t>
  </si>
  <si>
    <t>Bristol-Myers Squibb actively seeks certified small and diverse business enterprises. We recognize third party certifications from agencies and organizations including NMSDC, WBENC, NWBOC, NGLCC, Disability:IN, SBA and VetBiz.gov. We also recognize international certifications from NMSDC and WBENC international affiliates.</t>
  </si>
  <si>
    <t xml:space="preserve"> +1 609-252-4621</t>
  </si>
  <si>
    <t>20159050861</t>
  </si>
  <si>
    <t>1 (800) 332-2056</t>
  </si>
  <si>
    <t>23458644542</t>
  </si>
  <si>
    <t>Broadridge</t>
  </si>
  <si>
    <t>http://www.broadridge.com</t>
  </si>
  <si>
    <t>Broadridge is a global fintech leader offering communications, technology, data, and intelligence solutions to drive business transformation and streamline operations for financial institutions worldwide.</t>
  </si>
  <si>
    <t xml:space="preserve"> +1 516-472-5400</t>
  </si>
  <si>
    <t>20315570828</t>
  </si>
  <si>
    <t>Brown Advisory Inc</t>
  </si>
  <si>
    <t>brownadvisory.com</t>
  </si>
  <si>
    <t>Brown Advisory is an independent investment management firm committed to delivering a combination of first-class performance, strategic advice and the highest level of client service with offices in Austin, Baltimore, Boston, the Carolinas, Delaware, London, New York, Singapore, Virginia and Washington, D.C. The firm’s institutional and private clients are based in 50 states and more than 37 countries and territories and are served by over 650 colleagues worldwide, all of whom are equity owners of the firm.﻿</t>
  </si>
  <si>
    <t xml:space="preserve"> +1 410-537-5444</t>
  </si>
  <si>
    <t>22702713974</t>
  </si>
  <si>
    <t>BTAS</t>
  </si>
  <si>
    <t>http://www.btas.com</t>
  </si>
  <si>
    <t>BTAS is an award winning, woman owned, information technology services and management provider. We have a sterling reputation for supporting the Department of Defense, civilian, and federal agencies throughout the United States with proven cyber, engin...</t>
  </si>
  <si>
    <t xml:space="preserve"> +1 937-431-9431</t>
  </si>
  <si>
    <t>22702899725</t>
  </si>
  <si>
    <t>Bull Bear Defense</t>
  </si>
  <si>
    <t>American Indian Owned, Native American Owned, Small Disadvantaged Business (Self Certified), Women Owned, SBA Certified SDB, Small Business (in one or more NAICS)</t>
  </si>
  <si>
    <t>ISC2 CISSP credentialed staff, Comptia Security+, Comptia Network+, Comptia A+, Microsoft Certified Professionals</t>
  </si>
  <si>
    <t>IT and Cybersecurity Solutions, Cloud Systems, Legacy IT Systems Modernization</t>
  </si>
  <si>
    <t>GSA Multiple Award Schedule (MAS), Dell Technologies Authorized Partner</t>
  </si>
  <si>
    <t>US Air Force, Department of Defense (DoD), Indian Health Service, Department of Health and Human Services (HHS), Food and Drug Administration, US Department of the Interior</t>
  </si>
  <si>
    <t>bullbeardefense.com</t>
  </si>
  <si>
    <t>Bull Bear Defense Solutions is a cybersecurity company that provides cradle to grave cybersecurity subject matter expertise to its clients. They offer a range of services including GRC (Governance, Risk, and Compliance) and IT modernization. The compan...</t>
  </si>
  <si>
    <t>21819661393</t>
  </si>
  <si>
    <t>Bureau of Engraving and Printing (BEP) - Internal Revenue Service</t>
  </si>
  <si>
    <t>irs.gov</t>
  </si>
  <si>
    <t>Government organization providing tax administration services and helping individuals meet federal tax responsibilities.</t>
  </si>
  <si>
    <t xml:space="preserve"> +1 202-622-1160</t>
  </si>
  <si>
    <t>20316930321</t>
  </si>
  <si>
    <t>Burns &amp; Mcdonnell Inc</t>
  </si>
  <si>
    <t>burnsmcd.com</t>
  </si>
  <si>
    <t>Burns &amp; McDonnell is a 100% employee-owned company that provides a full range of engineering, architecture, construction, environmental, and consulting solutions. With a mission to make clients successful, the firm's team of over 13,500 professionals t...</t>
  </si>
  <si>
    <t xml:space="preserve"> +1 816-333-9400</t>
  </si>
  <si>
    <t>23440589104</t>
  </si>
  <si>
    <t>Business</t>
  </si>
  <si>
    <t>https://www.meetup.com/btgnewyork/</t>
  </si>
  <si>
    <t>20159048483</t>
  </si>
  <si>
    <t>C.H. Robinson</t>
  </si>
  <si>
    <t>Transportation/Trucking/Railroad</t>
  </si>
  <si>
    <t>855-229-6128</t>
  </si>
  <si>
    <t>20315408690</t>
  </si>
  <si>
    <t>Caesars Entertainment Corporation</t>
  </si>
  <si>
    <t>caesars.com</t>
  </si>
  <si>
    <t>Caesars strategy is to work with a broad range of suppliers that are competitive in quality, service and price. Our suppliers are encouraged to support our diversity efforts through the use of second-tier supplier programs.</t>
  </si>
  <si>
    <t xml:space="preserve"> +1 775-328-0100</t>
  </si>
  <si>
    <t>23457878542</t>
  </si>
  <si>
    <t>calcanocapital.com</t>
  </si>
  <si>
    <t>23443697778</t>
  </si>
  <si>
    <t>California Bank &amp; Trust</t>
  </si>
  <si>
    <t>http://www.calbanktrust.com</t>
  </si>
  <si>
    <t>California Bank &amp; Trust is a commercial bank that specializes in turning business and individual dreams and goals into success stories by offering personalized service, knowledgeable advisors, and custom financial options. The bank champions local businesses and individuals, providing commercial banking, business banking, and small business banking services. California Bank &amp; Trust is a division of Zions Bancorporation, N.A., with more than 80 branch offices throughout California, offering a variety of financial services including treasury management, international banking, and wealth management.</t>
  </si>
  <si>
    <t xml:space="preserve"> +1 801-844-7637</t>
  </si>
  <si>
    <t>23444162386</t>
  </si>
  <si>
    <t>Cambridge Investment Research</t>
  </si>
  <si>
    <t>cir2.com</t>
  </si>
  <si>
    <t>Cambridge Investment Research, Inc. (Cambridge) is among the largest independent, privately owned broker dealers in the U.S. with more than 3,000 independent registered representatives and nearly $80 billion assets under management.</t>
  </si>
  <si>
    <t xml:space="preserve"> +1 641-472-5100</t>
  </si>
  <si>
    <t>23441219858</t>
  </si>
  <si>
    <t>Cambridge Investment Research, Inc.</t>
  </si>
  <si>
    <t>http://www.joincambridge.com</t>
  </si>
  <si>
    <t>Cambridge Investment Research empowers independent financial professionals with solutions for client service and business growth, emphasizing independence and customization.</t>
  </si>
  <si>
    <t>20157101453</t>
  </si>
  <si>
    <t>CAN</t>
  </si>
  <si>
    <t>23443233355</t>
  </si>
  <si>
    <t>http://www.capco.com</t>
  </si>
  <si>
    <t>Capco is a global business and technology consultancy, part of Wipro, dedicated to the financial services and energy industries. With a focus on digital transformation, Capco delivers end-to-end data-driven solutions for banking, payments, capital markets, wealth management, insurance, and the energy sector. Their innovative approach and diverse talent drive cutting-edge solutions through Innovation Labs and a unique Be Yourself At Work culture.</t>
  </si>
  <si>
    <t>20156182639</t>
  </si>
  <si>
    <t>CAPCO</t>
  </si>
  <si>
    <t>22535684967</t>
  </si>
  <si>
    <t>Capella Technical Solutions</t>
  </si>
  <si>
    <t>capellatechsolutions.com</t>
  </si>
  <si>
    <t>20316871259</t>
  </si>
  <si>
    <t>capgemini.com</t>
  </si>
  <si>
    <t>Capgemini is a global leader in consulting, technology services, and digital transformation, empowering businesses with innovative solutions and expertise to thrive in a rapidly evolving market.</t>
  </si>
  <si>
    <t>23459111987</t>
  </si>
  <si>
    <t>Capital Group</t>
  </si>
  <si>
    <t>https://www.capitalgroup.com/us/landing-pages/linkedin-terms-of-use.html</t>
  </si>
  <si>
    <t>Capital Group, home of American Funds®, delivers superior long-term investment results with over $2 trillion in managed assets, aiming to improve lives through successful investing.</t>
  </si>
  <si>
    <t xml:space="preserve"> +1 213-486-9200</t>
  </si>
  <si>
    <t>20155935752</t>
  </si>
  <si>
    <t>20316871256</t>
  </si>
  <si>
    <t>Capital Group Companies Inc</t>
  </si>
  <si>
    <t>thecapitalgroup.com</t>
  </si>
  <si>
    <t>Matt Miller, policy and communications advisor for Capital Group, discusses what investors might expect from the shifting political landscape in Washington after Donald Trump's surprise presidential win.</t>
  </si>
  <si>
    <t>20155935753</t>
  </si>
  <si>
    <t>Capital One</t>
  </si>
  <si>
    <t>http://www.capitalone.com</t>
  </si>
  <si>
    <t>Capital One is committed to making supplier diversity an integral part of the way it does businesscreating mutually beneficial relationships with minority, women-owned, and LGBT businesses.  We seek to identify and encourage ethnic minority, women-owned and LGBT businesses to compete for our commodities and services throughout the Capital One enterprise. The goal of our program is to include diverse suppliers, in every sourcing opportunity wherever available M/WBEs exist. To date, dozens of minority- and women-owned suppliers have benefited from the program. In addition, our Supplier Diversity program has received national recognition for our inclusion of M/WBEs in our supply chain and procurement operations.</t>
  </si>
  <si>
    <t>20316834213</t>
  </si>
  <si>
    <t>Cargill</t>
  </si>
  <si>
    <t>cargill.com</t>
  </si>
  <si>
    <t>Food Production</t>
  </si>
  <si>
    <t>At Cargill, we recognize we are a stronger company when we tap the power of diversity. We have increased our commitment to purchase from diverse, small business enterprises that are certified as minority-owned and women-owned by providing an equal opportunity to bid to meet our procurement needs. We want our supplier base to reflect the communities in which our employees and customers live and work.
We seek diverse suppliers who can provide competitive pricing, quality products or services and technical support for our businesses. We are also looking for diverse suppliers who have the capacity to meet our needs, and who can increase efficiency through innovation, technology and low-cost sourcing.
While today we already work with more than 3,000 diverse suppliers, we continue to expand our efforts to collaborate with diverse supplier partners, especially in large, sustainable supply contracts and business development opportunities. For Cargill, supplier diversity is a strategic business imperative, and it is, simply, good business.
If you are a certified diverse supplier and wish to be considered for procurement opportunities with Cargill, please register with us.</t>
  </si>
  <si>
    <t xml:space="preserve"> +1 952-984-0024</t>
  </si>
  <si>
    <t>23467542396</t>
  </si>
  <si>
    <t>Cash America Pawn</t>
  </si>
  <si>
    <t>http://www.cashamerica.com</t>
  </si>
  <si>
    <t>Cash America International, Inc., now known as FirstCash, Inc., is a specialty financial services provider operating pawn shops and check cashing centers in the United States, Mexico, Guatemala, and El Salvador. With over 2,000 retail locations, the company offers pawn loans, consumer loans, check cashing services, and other financial products to help individuals meet their needs and pursue their dreams.</t>
  </si>
  <si>
    <t xml:space="preserve"> +1 817-335-1100</t>
  </si>
  <si>
    <t>20158986044</t>
  </si>
  <si>
    <t>Catalent</t>
  </si>
  <si>
    <t>1 877-587-1835</t>
  </si>
  <si>
    <t>23460968340</t>
  </si>
  <si>
    <t>CBOE Futures Exchange, LLC</t>
  </si>
  <si>
    <t>http://cfe.cboe.com</t>
  </si>
  <si>
    <t>Cboe Global Markets is a prominent provider of market infrastructure and tradable products, offering a wide range of trading, clearing, and investment solutions across various asset classes, including options, futures, equities, and exchange-traded funds, while also being recognized for its innovative technology and educational resources in the financial markets.</t>
  </si>
  <si>
    <t xml:space="preserve"> +1 312-786-7200</t>
  </si>
  <si>
    <t>20159111276</t>
  </si>
  <si>
    <t>CDW</t>
  </si>
  <si>
    <t>20316677517</t>
  </si>
  <si>
    <t>CDW Corporation</t>
  </si>
  <si>
    <t>cdw.com</t>
  </si>
  <si>
    <t>It is the intent of the CDW Supplier Diversity Program to increase procurement opportunities for direct and indirect spending with minority-owned, small, women-owned, veteran-owned, disabled-owned and HUBZone businesses. CDW only accepts certified businesses for its Supplier Diversity Program. To learn more on certification, please visit www.SBA.gov</t>
  </si>
  <si>
    <t xml:space="preserve"> +1 847-465-6000</t>
  </si>
  <si>
    <t>20317212505</t>
  </si>
  <si>
    <t>Celanese</t>
  </si>
  <si>
    <t>celanese.com</t>
  </si>
  <si>
    <t>Celanese is a global leader in chemistry, providing specialty material solutions for various industries and consumer applications.</t>
  </si>
  <si>
    <t xml:space="preserve"> +1 972-443-4000</t>
  </si>
  <si>
    <t>20317074219</t>
  </si>
  <si>
    <t>Celgene Corporation</t>
  </si>
  <si>
    <t>celgene.com</t>
  </si>
  <si>
    <t>Bristol Myers Squibb is a global biopharmaceutical company dedicated to discovering, developing, and delivering innovative medicines to patients with serious diseases. They offer a range of pharmaceutical products including small molecule drugs and bio...</t>
  </si>
  <si>
    <t>20156099646</t>
  </si>
  <si>
    <t>www.cencora.com</t>
  </si>
  <si>
    <t>20316722977</t>
  </si>
  <si>
    <t>CenterPoint Energy</t>
  </si>
  <si>
    <t>centerpointenergy.com</t>
  </si>
  <si>
    <t>Utilities</t>
  </si>
  <si>
    <t>CenterPoint Energy, Inc. is a domestic energy delivery company based in Texas, providing electric transmission and distribution, power generation, and natural gas distribution services to over 7 million customers across multiple states. With a workforc...</t>
  </si>
  <si>
    <t xml:space="preserve"> +1 713-207-3000</t>
  </si>
  <si>
    <t>20157368139</t>
  </si>
  <si>
    <t>Centers for Medicare &amp; Medicaid Services</t>
  </si>
  <si>
    <t>4107863000</t>
  </si>
  <si>
    <t>19816075298</t>
  </si>
  <si>
    <t>cms.gov</t>
  </si>
  <si>
    <t>The Centers for Medicare &amp; Medicaid Services (CMS) is a federal agency within the U.S. Department of Health and Human Services. It provides technical guidance to develop and evaluate healthcare financing programs and policies. CMS is one of the largest...</t>
  </si>
  <si>
    <t>INNOVATION DEVELOPMENT AND OPERATION SERVICES (IDOS)</t>
  </si>
  <si>
    <t>18380519177</t>
  </si>
  <si>
    <t>22391354184</t>
  </si>
  <si>
    <t>Centurum Information Technology</t>
  </si>
  <si>
    <t>www.Centurum.com</t>
  </si>
  <si>
    <t>Centurum, Inc. is a leading provider of network engineering, systems integration, systems engineering and design, information operations, and operational support to the Department of Defense and Federal Government. With over 45 years of experience, Cen...</t>
  </si>
  <si>
    <t xml:space="preserve"> +1 856-751-1111</t>
  </si>
  <si>
    <t>23454363427</t>
  </si>
  <si>
    <t>ceoinc.com</t>
  </si>
  <si>
    <t>CEO Inc. is a full-service staffing and recruiting company that specializes in finding the best talent for your team. With over 25 years of experience, we offer direct hire placement, temporary staffing, and human capital services. Our comprehensive ap...</t>
  </si>
  <si>
    <t xml:space="preserve"> +1 704-372-4701</t>
  </si>
  <si>
    <t>23459265684</t>
  </si>
  <si>
    <t>Cerberus Capital Management</t>
  </si>
  <si>
    <t>http://www.cerberus.com</t>
  </si>
  <si>
    <t>A global leader in alternative investing https://t.co/vUw2hQmyRb</t>
  </si>
  <si>
    <t xml:space="preserve"> +1 212-891-2100</t>
  </si>
  <si>
    <t>23453925130</t>
  </si>
  <si>
    <t>Cetera Financial Group</t>
  </si>
  <si>
    <t>https://www.cetera.com</t>
  </si>
  <si>
    <t>Cetera Financial Group is a leading provider of professional financial advice and investment services, offering a wide range of market research, technology, and platforms to help individuals, families, and businesses pursue their financial goals. With a focus on the Advice Centric Experience®, Cetera empowers independent and institutional advisors with the tools and resources needed to support their clients' dreams for the future.</t>
  </si>
  <si>
    <t xml:space="preserve"> +1 866-489-3100</t>
  </si>
  <si>
    <t>23454988861</t>
  </si>
  <si>
    <t>CFC</t>
  </si>
  <si>
    <t>http://www.customfurniturela.com</t>
  </si>
  <si>
    <t>Custom Furniture is a company that specializes in manufacturing and selling furniture and home furnishings. They offer a wide range of customizable furniture options for customers to choose from. With their expertise in furniture manufacturing, they ar...</t>
  </si>
  <si>
    <t>20159056661</t>
  </si>
  <si>
    <t xml:space="preserve"> +1 514 841 3200</t>
  </si>
  <si>
    <t>20316973824</t>
  </si>
  <si>
    <t>Charles River Labs</t>
  </si>
  <si>
    <t>23453372967</t>
  </si>
  <si>
    <t>Charles Schwab</t>
  </si>
  <si>
    <t>schwab.com</t>
  </si>
  <si>
    <t>Charles Schwab offers a modern approach to investing and retirement planning, providing a full range of brokerage, banking, and financial advisory services. They believe in the power of investing to transform lives and aim to disrupt the traditional Wall Street approach to create a better investing experience for their clients.</t>
  </si>
  <si>
    <t xml:space="preserve"> +1 817-859-5000</t>
  </si>
  <si>
    <t>23457413391</t>
  </si>
  <si>
    <t>http://www.aboutschwab.com</t>
  </si>
  <si>
    <t>At Charles Schwab, we are champions of investors and those who serve them. We provide a full range of brokerage, banking, and financial advisory services to individual investors, institutions, and professionals. Our commitment to transparency, accountability, and personal engagement empowers our clients to own their financial future and experience a sense of financial liberation.</t>
  </si>
  <si>
    <t xml:space="preserve"> +1 888-767-5432</t>
  </si>
  <si>
    <t>20316787747</t>
  </si>
  <si>
    <t>23454974489</t>
  </si>
  <si>
    <t>Chase</t>
  </si>
  <si>
    <t>http://www.chase.com</t>
  </si>
  <si>
    <t>Chase is a leading U.S. financial services provider offering credit cards, mortgages, and banking solutions to millions of consumers and small businesses.</t>
  </si>
  <si>
    <t xml:space="preserve"> +1 800-242-7338</t>
  </si>
  <si>
    <t>20317153862</t>
  </si>
  <si>
    <t>CHEP</t>
  </si>
  <si>
    <t>chep.com</t>
  </si>
  <si>
    <t>Logistics and Supply Chain</t>
  </si>
  <si>
    <t>CHEP is a logistics and supply chain solutions company specializing in the management of standardized unit load equipment such as pallets and containers. They provide sustainable and efficient transportation solutions for global brands in various indus...</t>
  </si>
  <si>
    <t>22703016093</t>
  </si>
  <si>
    <t>chevron.com</t>
  </si>
  <si>
    <t>Chevron Corporation is a global energy company specializing in oil and gas exploration, refining, and chemical production to meet energy needs responsibly and innovatively.</t>
  </si>
  <si>
    <t xml:space="preserve"> +1 925-842-1000</t>
  </si>
  <si>
    <t>20157273860</t>
  </si>
  <si>
    <t>20157334161</t>
  </si>
  <si>
    <t>Chewy</t>
  </si>
  <si>
    <t>1 (800) 672-4399</t>
  </si>
  <si>
    <t>23447751956</t>
  </si>
  <si>
    <t>China Bank PH</t>
  </si>
  <si>
    <t>https://www.chinabank.ph/</t>
  </si>
  <si>
    <t>China Bank PH is a prominent private universal bank in the Philippines that offers a comprehensive array of banking products and services, including retail banking, investment banking, and insurance solutions, catering to the diverse needs of both individual and business clients.</t>
  </si>
  <si>
    <t>22391616799</t>
  </si>
  <si>
    <t>Choice Cyber Solutions</t>
  </si>
  <si>
    <t>20317153859</t>
  </si>
  <si>
    <t>Church and Dwight, Co</t>
  </si>
  <si>
    <t>23441516812</t>
  </si>
  <si>
    <t>CIBC</t>
  </si>
  <si>
    <t>http://www.cibc.com</t>
  </si>
  <si>
    <t>Canadian Imperial Bank of Commerce (CIBC) is a global financial institution providing a wide range of financial products and services to approximately 11 million clients worldwide. With a focus on Retail and Business Banking, Wealth Management, and Capital Markets, CIBC offers personalized financial advice and innovative solutions to help clients achieve their goals. The company's commitment to innovation, trust, teamwork, and accountability has earned it recognition as a top employer in Canada, offering employees the opportunity to grow and collaborate with industry leaders.</t>
  </si>
  <si>
    <t xml:space="preserve"> +1 800 465 2422</t>
  </si>
  <si>
    <t>23443839808</t>
  </si>
  <si>
    <t>CIBC Mellon</t>
  </si>
  <si>
    <t>http://www.cibcmellon.com</t>
  </si>
  <si>
    <t>CIBC Mellon is Canada's leading asset servicing company, offering comprehensive investment solutions for institutional investors with over C$2.3 trillion in client assets.</t>
  </si>
  <si>
    <t>20317212504</t>
  </si>
  <si>
    <t>Cincinnati Children's</t>
  </si>
  <si>
    <t>cincinnatichildrens.org</t>
  </si>
  <si>
    <t>Cincinnati Children's Hospital Medical Center is an international leader in pediatric medicine, research, and education. It is a not-for-profit hospital and research center that provides breakthrough treatments, outstanding family-centered patient care...</t>
  </si>
  <si>
    <t xml:space="preserve"> +1 513-636-8778</t>
  </si>
  <si>
    <t>20157374080</t>
  </si>
  <si>
    <t>23457725207</t>
  </si>
  <si>
    <t>Citadel</t>
  </si>
  <si>
    <t>https://www.citadel.com/</t>
  </si>
  <si>
    <t>Citadel is a leading global financial institution and alternative investment manager, dedicated to generating superior long-term returns for the world's top institutions. With a diverse business platform and a focus on identifying the best uses of capital, Citadel invests in major financial markets worldwide, driven by innovation and exceptional talent.</t>
  </si>
  <si>
    <t xml:space="preserve"> +1 312-395-2100</t>
  </si>
  <si>
    <t>23458182218</t>
  </si>
  <si>
    <t>Citi</t>
  </si>
  <si>
    <t>citi.com</t>
  </si>
  <si>
    <t>Citi provides a comprehensive range of financial services, including credit cards, banking, mortgages, and personal loans, aimed at supporting clients in achieving economic growth and managing their financial needs responsibly.</t>
  </si>
  <si>
    <t xml:space="preserve"> +1 212-559-1000</t>
  </si>
  <si>
    <t>20317477958</t>
  </si>
  <si>
    <t>http://www.citigroup.com</t>
  </si>
  <si>
    <t>Citi, a global investment bank and financial services institution, has been serving over 200 million customer accounts in more than 160 countries. With a mission to be a trusted partner, Citi offers services such as safeguarding assets, lending money, ...</t>
  </si>
  <si>
    <t>20157422969</t>
  </si>
  <si>
    <t>23468162940</t>
  </si>
  <si>
    <t>Citibank (Banamex USA)</t>
  </si>
  <si>
    <t>http://www.banamex.com</t>
  </si>
  <si>
    <t>Grupo Financiero Banamex, S.A. de C.V., known as Banamex, is a leading financial institution offering a wide range of products and services. From credit cards and mortgage loans to personal loans and currency exchange, Banamex provides comprehensive banking solutions to its customers.</t>
  </si>
  <si>
    <t xml:space="preserve"> +52 1 833 971 1191</t>
  </si>
  <si>
    <t>23454363433</t>
  </si>
  <si>
    <t>Citizens</t>
  </si>
  <si>
    <t>http://www.citizensbank.com</t>
  </si>
  <si>
    <t>At Citizens Financial Group, we are a retail bank holding company with a rich history dating back to 1828. We are committed to providing personalized financial solutions and services that cater to the diverse needs of our customers. With a strong focus on customer service, online and mobile banking, and a wide network of branches and ATMs, we strive to help our customers make the most out of their banking experience.</t>
  </si>
  <si>
    <t xml:space="preserve"> +1 203-900-6715</t>
  </si>
  <si>
    <t>23441219105</t>
  </si>
  <si>
    <t>City National Bank</t>
  </si>
  <si>
    <t>https://www.cnb.com/media.html</t>
  </si>
  <si>
    <t>City National Bank offers a wide variety of premier financial services including personal banking, credit cards, business banking, retirement planning, wealth planning, and more. They prioritize building personal relationships with clients and provide services such as commercial and private banking, wealth management, investment advisory, and leasing services. City National Bank is committed to promoting diversity, equity, and inclusion in the workplace and is a subsidiary of Royal Bank of Canada, offering a range of banking, investment, and trust services through its offices in various locations.</t>
  </si>
  <si>
    <t xml:space="preserve"> +1 213-673-9120</t>
  </si>
  <si>
    <t>20317053323</t>
  </si>
  <si>
    <t>City of Pittsburgh</t>
  </si>
  <si>
    <t>pittsburghpa.gov</t>
  </si>
  <si>
    <t>The City of Pittsburgh provides a wide range of services and resources to its residents. These include announcements, special events, press releases, city permits, and career opportunities. Residents can also pay their taxes and view the city's Eye Vie...</t>
  </si>
  <si>
    <t xml:space="preserve"> +1 412-255-2621</t>
  </si>
  <si>
    <t>20268593220</t>
  </si>
  <si>
    <t>City of Tucson</t>
  </si>
  <si>
    <t>www.tucsonaz.gov</t>
  </si>
  <si>
    <t>Government Relations</t>
  </si>
  <si>
    <t>The City of Tucson, located in the heart of the Sonoran Desert, is Arizona's second largest city and oldest city. With a Council Manager form of government, the legislative body is comprised of the Mayor and six Council Members who are elected at large...</t>
  </si>
  <si>
    <t xml:space="preserve"> +1 520-791-4893</t>
  </si>
  <si>
    <t>City of Tucson Employee Leadership &amp; Development</t>
  </si>
  <si>
    <t>18801568547</t>
  </si>
  <si>
    <t>20316731682</t>
  </si>
  <si>
    <t>CLEAResult</t>
  </si>
  <si>
    <t>clearesult.com</t>
  </si>
  <si>
    <t>CLEAResult is a leading provider of energy efficiency and sustainability solutions, transforming the way people use energy globally.</t>
  </si>
  <si>
    <t xml:space="preserve"> +1 512-327-9200</t>
  </si>
  <si>
    <t>23462511105</t>
  </si>
  <si>
    <t>CLSA</t>
  </si>
  <si>
    <t>http://www.clsa.com</t>
  </si>
  <si>
    <t>CLSA, as Asia's leading independent brokerage and investment group, commits people, capital, and ideas to serve clients, stakeholders, and communities globally. With award-winning research, an extensive Asia footprint, and a focus on providing insights, liquidity, and capital, CLSA, part of CITIC Securities, offers innovative products and services in asset management, corporate finance, equity and debt capital markets, securities, and wealth management. Operating in 13 countries, CLSA facilitates cross-border capital flows and connects China to the world and the world to China.</t>
  </si>
  <si>
    <t xml:space="preserve"> +852 2600 8888</t>
  </si>
  <si>
    <t>21872542027</t>
  </si>
  <si>
    <t>CMA Technology</t>
  </si>
  <si>
    <t>cmai.com</t>
  </si>
  <si>
    <t>CMA Technology is an agile solution integrator and “Next Gen Value Added Reseller” of Cybersecurity, Cloud, Big Data &amp; Analytics, and Infrastructure solutions to the Public Sector market. We have applied our extensive government knowledge, acquisition ...</t>
  </si>
  <si>
    <t>7039177728</t>
  </si>
  <si>
    <t>20317450854</t>
  </si>
  <si>
    <t>cna.com</t>
  </si>
  <si>
    <t>CNA Financial Corporation, a leading commercial insurance company, offers a broad portfolio of property and casualty business insurance solutions tailored to help businesses manage risks and grow profitably. With a global presence spanning over 200 cou...</t>
  </si>
  <si>
    <t xml:space="preserve"> +1 312-822-5000</t>
  </si>
  <si>
    <t>20316473232</t>
  </si>
  <si>
    <t>CoBank</t>
  </si>
  <si>
    <t>cobank.com</t>
  </si>
  <si>
    <t>CoBank is a cooperative bank providing financial services to vital industries in rural America.</t>
  </si>
  <si>
    <t xml:space="preserve"> +1 800-542-8072</t>
  </si>
  <si>
    <t>20172284942</t>
  </si>
  <si>
    <t>Codifi</t>
  </si>
  <si>
    <t>Codifi.com</t>
  </si>
  <si>
    <t>Design</t>
  </si>
  <si>
    <t>Codifi is a field data management solutions company that provides software to collect, protect, and preserve irreplaceable data. Their software, designed for archaeological data and media management, integrates all the data and media generated by excav...</t>
  </si>
  <si>
    <t>Codifi, LLC - Synergies Exploration</t>
  </si>
  <si>
    <t>18514418220</t>
  </si>
  <si>
    <t>23439990070</t>
  </si>
  <si>
    <t>Colliers International Group</t>
  </si>
  <si>
    <t>colliers.com</t>
  </si>
  <si>
    <t>Real Estate</t>
  </si>
  <si>
    <t>Colliers International is a leading global real estate services company with 15,000 skilled professionals operating in 68 countries. They provide a full range of services to real estate occupiers, owners, and investors worldwide, including strategic advice, property sales, leasing, finance, corporate solutions, project management, and research. Colliers professionals offer innovative advice to help clients accelerate their success, with a focus on commercial real estate brokerage, investment management, and advisory services.</t>
  </si>
  <si>
    <t xml:space="preserve"> +1 416 960 9500</t>
  </si>
  <si>
    <t>22703098405</t>
  </si>
  <si>
    <t>collins.com</t>
  </si>
  <si>
    <t>Collins Aerospace, a Raytheon Technologies subsidiary, is a global leader in providing aerospace and defense products. Headquartered in Charlotte, North Carolina, United States, the company offers a wide range of innovative solutions for the aviation a...</t>
  </si>
  <si>
    <t xml:space="preserve"> +1 781-522-3000</t>
  </si>
  <si>
    <t>22702795079</t>
  </si>
  <si>
    <t>Colorado School of Mines</t>
  </si>
  <si>
    <t>mines.edu</t>
  </si>
  <si>
    <t>Mining &amp; Metals</t>
  </si>
  <si>
    <t>Colorado School of Mines is a premier engineering university dedicated to producing talent, knowledge, and innovations in science and engineering. With a focus on responsible stewardship of the earth and its resources, Mines offers rigorous curriculum ...</t>
  </si>
  <si>
    <t xml:space="preserve"> +1 303-273-3000</t>
  </si>
  <si>
    <t>20316841523</t>
  </si>
  <si>
    <t>Columbia Consulting Group</t>
  </si>
  <si>
    <t>columbianyc.com</t>
  </si>
  <si>
    <t>Columbia Consulting Group is a diversity owned technology first company based out of Stamford, CT. We build top performing teams for some of the most forward thinking clients and while doing so, get real results and success. Our mission for the past 20...</t>
  </si>
  <si>
    <t>22702667700</t>
  </si>
  <si>
    <t>Comcast</t>
  </si>
  <si>
    <t>comcast.com</t>
  </si>
  <si>
    <t>Comcast is a global media and technology company offering a wide range of services through Comcast Cable, NBCUniversal, and Sky, including video, internet, and entertainment content.</t>
  </si>
  <si>
    <t xml:space="preserve"> +1 215-286-1700</t>
  </si>
  <si>
    <t>20157077102</t>
  </si>
  <si>
    <t>Comcast Supplier Diversity</t>
  </si>
  <si>
    <t>20315980910</t>
  </si>
  <si>
    <t>Comcast/NBC Universal</t>
  </si>
  <si>
    <t>comcast-nbcunisuppliers.com</t>
  </si>
  <si>
    <t>Diversity in our supply base is integral to our continued success. Our Supplier Diversity Program is designed to promote, increase and improve the participation of diverse businesses within our supply chain. It provides Comcast purchasers with reliable resources, creates jobs, strengthens our purchasing power and builds value for our shareholders.</t>
  </si>
  <si>
    <t>20753277744</t>
  </si>
  <si>
    <t>Command Cyber Solutions</t>
  </si>
  <si>
    <t>23462974832</t>
  </si>
  <si>
    <t>Commercial Industrial Construction</t>
  </si>
  <si>
    <t>cictn.com</t>
  </si>
  <si>
    <t>20316760737</t>
  </si>
  <si>
    <t>Commonwealth Capital Corp</t>
  </si>
  <si>
    <t>ccclease.com</t>
  </si>
  <si>
    <t>Commonwealth Capital Corp. fosters a culture of fairness and inclusion in all aspects of our business. Kimberly Springsteen–Abbott, our CEO, is committed to promoting supplier diversity to our clients, employees, and vendors. We are 100% woman owned,
independent equipment leasing company that specializes in financing IT,
Material Handling and Medical equipment.  We are proud of our aggressive rates, competing favorably
with captive finance, banks, and independent leasing companies in competitive IT
and Material Handling bids at Fortune 500 companies every day.  We are self-funded and will hold the equity
of your transaction for the life of the lease. We understand how important the
end of the lease transaction process is to your firm and the ease you will find of doing business with
Commonwealth .
 Not only will we
provide extremely competitive rates and great customer service; as a certified
woman-owned company all of your finance spend qualifies as Tier-1.</t>
  </si>
  <si>
    <t>20315824994</t>
  </si>
  <si>
    <t>Commonwealth Capital Corporation</t>
  </si>
  <si>
    <t>commonwealthcapitalcorp.com</t>
  </si>
  <si>
    <t>22126608726</t>
  </si>
  <si>
    <t>Community Financial Credit Union</t>
  </si>
  <si>
    <t>20315701589</t>
  </si>
  <si>
    <t>Compass Group Usa Inc</t>
  </si>
  <si>
    <t>compass-usa.com</t>
  </si>
  <si>
    <t>Restaurants</t>
  </si>
  <si>
    <t>Compass Group USA, a leading foodservice and support services company, offers a wide range of products and services to millions of customers. From vending to restaurants, corporate cafes to school lunches, and remote sites, Compass Group serves diverse...</t>
  </si>
  <si>
    <t xml:space="preserve"> +1 704-328-7877</t>
  </si>
  <si>
    <t>23436779780</t>
  </si>
  <si>
    <t>Compeer Financial</t>
  </si>
  <si>
    <t>http://www.compeer.com</t>
  </si>
  <si>
    <t>Compeer Financial is a member-owned cooperative that provides a wide range of financial products and services specifically designed to support agricultural clients and rural communities across Minnesota, Wisconsin, and Illinois.</t>
  </si>
  <si>
    <t xml:space="preserve"> +1 844-426-6733</t>
  </si>
  <si>
    <t>23459878189</t>
  </si>
  <si>
    <t>Computers For Classrooms</t>
  </si>
  <si>
    <t>computersforclassrooms.org</t>
  </si>
  <si>
    <t>Computers for Classrooms is a non-profit organization that is dedicated to obtaining, refurbishing, and providing low-cost computers to students and schools. They are R2 Certified Recyclers and Microsoft Certified Refurbishers. In addition to supplying...</t>
  </si>
  <si>
    <t>23127800082</t>
  </si>
  <si>
    <t>Concept Plus, LLC</t>
  </si>
  <si>
    <t>http://www.conceptplus.com</t>
  </si>
  <si>
    <t>Concept Plus is a technology services company with deep technical expertise, offering solutions that align technology with strategic goals. Specializing in Oracle, Cloud Computing, Healthcare IT, and Mobile technologies, we focus on client service and partner relationships, certified in various standards and headquartered near Washington, D.C.</t>
  </si>
  <si>
    <t>20157085359</t>
  </si>
  <si>
    <t>Confluent</t>
  </si>
  <si>
    <t xml:space="preserve"> +1 800-439-3207</t>
  </si>
  <si>
    <t>20317168188</t>
  </si>
  <si>
    <t>20316834218</t>
  </si>
  <si>
    <t>Constant Contact</t>
  </si>
  <si>
    <t>constantcontact.com</t>
  </si>
  <si>
    <t>Constant Contact delivers for small businesses with powerful tools to simplify and amplify digital marketing. Whether it's driving sales, growing a customer base or engaging an audience, we help you build strong connections and generate powerful results. Grow your audience
Build your list fast with landing pages, social media lead ads, SMS and more. Deepen customer relationships
Create professional emails, segment your list and automate your messages to drive more engagement and sales for your business. Simplify your social media
Create and manage social posts and ads to generate awareness, drive leads and promote growth, all from one place. Sync with the apps you're already using
Connect with digital tools you're already using to grow your business and sell more online, faster
Learn more at www.constantcontact.com</t>
  </si>
  <si>
    <t xml:space="preserve"> +1 781-472-8100</t>
  </si>
  <si>
    <t>20157294853</t>
  </si>
  <si>
    <t>Constellation</t>
  </si>
  <si>
    <t>20316760738</t>
  </si>
  <si>
    <t>Constellation Brands</t>
  </si>
  <si>
    <t>20317477957</t>
  </si>
  <si>
    <t>Constellation Energy Corporation</t>
  </si>
  <si>
    <t>22702653081</t>
  </si>
  <si>
    <t>Consult Coniferous</t>
  </si>
  <si>
    <t>consultconiferous.ca</t>
  </si>
  <si>
    <t>Consult Coniferous is a company that specializes in UX design and digital marketing strategy. With over 20 years of experience, they offer services such as website and app fixing, user experience design, digital marketing consultancy, and social busine...</t>
  </si>
  <si>
    <t>23464441504</t>
  </si>
  <si>
    <t>Cor Partners</t>
  </si>
  <si>
    <t>http://www.corpartners.com</t>
  </si>
  <si>
    <t>Cor Partners is a family of complementary insurance service companies committed to helping our companies grow through expertise and care. Cor Partners is the parent company of 3 core companies serving the insurance, risk management, and legal communiti...</t>
  </si>
  <si>
    <t>23441379420</t>
  </si>
  <si>
    <t>Corebridge Financial</t>
  </si>
  <si>
    <t>https://www.corebridgefinancial.com/</t>
  </si>
  <si>
    <t>Corebridge Financial, formerly AIG Life &amp; Retirement, is a leading provider of retirement solutions and insurance products in the United States. With a focus on helping individuals secure their financial future, we offer a broad suite of products and services through our balanced portfolio across Individual Retirement, Retirement Services, Life Insurance, and Institutional Markets. We believe in the power of taking action to bridge the gap between financial planning and outcomes, partnering with professionals and institutions to empower more people to achieve their financial goals.</t>
  </si>
  <si>
    <t xml:space="preserve"> +1 877-375-2422</t>
  </si>
  <si>
    <t>20157398316</t>
  </si>
  <si>
    <t>Corning Incorporated</t>
  </si>
  <si>
    <t>Consumer Goods</t>
  </si>
  <si>
    <t xml:space="preserve"> +1 419-248-8000</t>
  </si>
  <si>
    <t>20316609717</t>
  </si>
  <si>
    <t>Corp Partners test C84</t>
  </si>
  <si>
    <t>20316768421</t>
  </si>
  <si>
    <t>Corteva Agriscience</t>
  </si>
  <si>
    <t>corteva.com</t>
  </si>
  <si>
    <t>Corteva Agriscience is a
publicly traded, global pure-play agriculture company that provides farmers
around the world with the most complete portfolio in the industry - including a
balanced and diverse mix of seed, crop protection and digital solutions focused
on maximizing productivity to enhance yield and profitability. With some of the
most recognized brands in agriculture and an industry-leading product and
technology pipeline well positioned to drive growth, the company is committed
to working with stakeholders throughout the food system as it fulfills its
promise to enrich the lives of those who produce and those who consume,
ensuring progress for generations to come. Corteva became an independent public
company on June 1, 2019 and was previously the Agriculture Division of
DowDuPont. We are a new Fortune 200 company that was global and inclusive on day one. Our CPO oversees a global team of ~450 professionals, responsible for greater than $8
billion in spend for goods and services, which includes raw materials, energy,
packaging, contract manufacturing, IT, Corporate Services, MRO, Capital, and
Logistics. More corporate information can be found at www.corteva.com.Supplier Diversity includes 8 categories and 76 sub-categories globally. Visit our Supplier Center to learn more about doing business with us https://www.supplier-center.corteva.com/ Follow Corteva Agriscience
on Facebook, Instagram, LinkedIn, Twitter and YouTube.Gifts - please do not send gifts.</t>
  </si>
  <si>
    <t xml:space="preserve"> +1 302-774-1000</t>
  </si>
  <si>
    <t>20159064859</t>
  </si>
  <si>
    <t>20159050863</t>
  </si>
  <si>
    <t>Cox</t>
  </si>
  <si>
    <t>Need more diversity/inclusion information, sustainability etc. I'll screenshot to get that information.</t>
  </si>
  <si>
    <t>23444168288</t>
  </si>
  <si>
    <t>crandus.net</t>
  </si>
  <si>
    <t>Crandus.net is a tech company providing innovative software solutions for businesses to streamline operations and boost digital presence.</t>
  </si>
  <si>
    <t>23133807654</t>
  </si>
  <si>
    <t>Credence Resource Management, LLC</t>
  </si>
  <si>
    <t>http://www.credencerm.com</t>
  </si>
  <si>
    <t>Credence Resource Management, LLC delivers outstanding Customer Relationship Solutions to improve processes, re engineer strategies and drive excellent outcomes that increase ROI for our clients and the satisfaction of the people and businesses they se...</t>
  </si>
  <si>
    <t xml:space="preserve"> +91 85588 04791</t>
  </si>
  <si>
    <t>23447751021</t>
  </si>
  <si>
    <t>Credit Suisse</t>
  </si>
  <si>
    <t>http://www.credit-suisse.com/</t>
  </si>
  <si>
    <t>Credit Suisse is a prominent financial services provider that specializes in wealth management and investment banking, offering comprehensive financial advice and solutions to clients worldwide.</t>
  </si>
  <si>
    <t>20157077103</t>
  </si>
  <si>
    <t>Crowe</t>
  </si>
  <si>
    <t>www.crowe.com</t>
  </si>
  <si>
    <t>Accounting</t>
  </si>
  <si>
    <t>Crowe LLP is a global public accounting, consulting, and technology firm that specializes in providing audit, tax, advisory, and consulting services to help businesses navigate change, solve complex problems, and uncover hidden opportunities in the mar...</t>
  </si>
  <si>
    <t>1 (800) 599-2304</t>
  </si>
  <si>
    <t>22391611312</t>
  </si>
  <si>
    <t>Crowley</t>
  </si>
  <si>
    <t>22262516809</t>
  </si>
  <si>
    <t>crowley.com</t>
  </si>
  <si>
    <t>Crowley Maritime Corporation is a U.S. owned and operated marine solutions, transportation, and logistics company providing a wide range of services in domestic and international markets. With a history dating back to 1892, Crowley offers end-to-end su...</t>
  </si>
  <si>
    <t>20317175473</t>
  </si>
  <si>
    <t>Cruise LLC</t>
  </si>
  <si>
    <t>getcruise.com</t>
  </si>
  <si>
    <t>Cruise is the leading self-driving car company revolutionizing urban transportation with advanced self-driving vehicles for safer, greener, and more efficient mobility.</t>
  </si>
  <si>
    <t xml:space="preserve"> +1 415-949-2261</t>
  </si>
  <si>
    <t>23463819295</t>
  </si>
  <si>
    <t>Crypto.com</t>
  </si>
  <si>
    <t>https://www.crypto.com</t>
  </si>
  <si>
    <t>Crypto.com is a top cryptocurrency platform with 80M+ users, offering secure trading of Bitcoin, Ethereum, NFTs, and 250+ altcoins. Services include easy purchases, price alerts, portfolio growth, and on-chain staking.</t>
  </si>
  <si>
    <t>23458027666</t>
  </si>
  <si>
    <t>CryptoCurrency</t>
  </si>
  <si>
    <t>https://cryptocurrency.org/</t>
  </si>
  <si>
    <t>CryptoCurrency.org is a platform that provides the latest updates and news about Bitcoin, Ethereum, and other cryptocurrencies. They aim to be the go-to source for all information related to the cryptocurrency and blockchain sphere. In addition to news...</t>
  </si>
  <si>
    <t>20316955722</t>
  </si>
  <si>
    <t>csaa-insurance.aaa.com</t>
  </si>
  <si>
    <t>AAA is a not-for-profit federation of clubs founded in 1902, serving over 57 million members in the US and Canada. It offers travel, insurance, financial, and automotive services, advocating for driver and passenger rights globally.</t>
  </si>
  <si>
    <t>20317450853</t>
  </si>
  <si>
    <t>Cushman &amp; Wakefield</t>
  </si>
  <si>
    <t>22702983056</t>
  </si>
  <si>
    <t>CVS Health</t>
  </si>
  <si>
    <t>cvshealth.com</t>
  </si>
  <si>
    <t>Health, Wellness and Fitness</t>
  </si>
  <si>
    <t>CVS Health is a leading health solutions company that provides advanced health care services, including pharmacy services, health plans, and wellness programs. With over 9,700 retail locations, walk-in medical clinics, pharmacy benefits management, spe...</t>
  </si>
  <si>
    <t xml:space="preserve"> +1 401-765-1500</t>
  </si>
  <si>
    <t>20316768420</t>
  </si>
  <si>
    <t>cvssuppliers.com</t>
  </si>
  <si>
    <t>We are pleased to introduce the CVS Health Supplier Diversity Program. Established in 2000, this CVS Health Program actively seeks out suppliers of products and services to meet our operational needs. One of our primary means of recruiting and identifying diverse suppliers is through active participation and membership with nationally recognized advocacy groups. 
The program is designed to complement our commitment to providing outstanding service to all of our customers and to recognize the critical role diverse suppliers have in our continued success.</t>
  </si>
  <si>
    <t>20155976225</t>
  </si>
  <si>
    <t>1 (888) 607-4287</t>
  </si>
  <si>
    <t>23439989937</t>
  </si>
  <si>
    <t>cwghillsideinvestments.com</t>
  </si>
  <si>
    <t>19816075950</t>
  </si>
  <si>
    <t>Cybersecurity and Infrastructure Security Agency</t>
  </si>
  <si>
    <t>cisa.gov</t>
  </si>
  <si>
    <t>The Cybersecurity and Infrastructure Security Agency (CISA) leads the national effort to understand, manage, and reduce risk to our cyber and physical infrastructure. Their multi-faceted mission includes career fields such as business administration, c...</t>
  </si>
  <si>
    <t>CISA DIGITAL TRANSFORMATION SUPPORT (DTSS);CISA ENTERPRISE ENGINEERING AND OPERATIONS SUPPORT SERVICES (CEEOSS)</t>
  </si>
  <si>
    <t>16786869855;18380520473</t>
  </si>
  <si>
    <t>22702926352</t>
  </si>
  <si>
    <t>cyberworx.io</t>
  </si>
  <si>
    <t>23440760401</t>
  </si>
  <si>
    <t>D.A. Davidson Companies</t>
  </si>
  <si>
    <t>http://dadavidson.com</t>
  </si>
  <si>
    <t>D.A. Davidson Companies is a diversified financial services company offering expertise in wealth management, capital markets, investment banking, trust and asset management. With a tradition of personalized client service, our advisors provide trusted advice through life's key moments, backed by research-based insights and a commitment to superior outcomes.</t>
  </si>
  <si>
    <t>23441222830</t>
  </si>
  <si>
    <t>Dadco</t>
  </si>
  <si>
    <t>dadco.com</t>
  </si>
  <si>
    <t>DADCO is a privately owned engineering company that provides integrated design, consultancy, and testing services for various sectors, emphasizing cost-effective solutions and client satisfaction.</t>
  </si>
  <si>
    <t>23443704675</t>
  </si>
  <si>
    <t>Daimler</t>
  </si>
  <si>
    <t>daimler.com</t>
  </si>
  <si>
    <t>Daimler AG is a global automotive giant offering premium vehicles, financial services, and innovative mobility solutions with a focus on green technologies and emission-free driving.</t>
  </si>
  <si>
    <t xml:space="preserve"> +49 711 1792543</t>
  </si>
  <si>
    <t>20316871264</t>
  </si>
  <si>
    <t>Danone North America</t>
  </si>
  <si>
    <t>danonenorthamerica.com</t>
  </si>
  <si>
    <t>Danone North America is one of the largest food and beverage companies in North America. They are proud to bring health through food to as many people as possible by making products that nourish people’s lives and connect them to each other and to the ...</t>
  </si>
  <si>
    <t xml:space="preserve"> +1 214-303-3400</t>
  </si>
  <si>
    <t>20753038639</t>
  </si>
  <si>
    <t>DARPA</t>
  </si>
  <si>
    <t>20753277743</t>
  </si>
  <si>
    <t>22248959923</t>
  </si>
  <si>
    <t>DAU</t>
  </si>
  <si>
    <t>https://www.dau.edu/</t>
  </si>
  <si>
    <t>Higher Education</t>
  </si>
  <si>
    <t>DAU is the top acquisition training university for the U.S. Department of Defense, offering courses in defense and space manufacturing, program management, logistics, engineering, and more to develop professionals for effective warfighting capabilities.</t>
  </si>
  <si>
    <t>23459566930</t>
  </si>
  <si>
    <t>David McIntee CPA, PLLC</t>
  </si>
  <si>
    <t>mcinteecpa.com</t>
  </si>
  <si>
    <t>22702783823</t>
  </si>
  <si>
    <t>Daxko</t>
  </si>
  <si>
    <t>daxko.com</t>
  </si>
  <si>
    <t>Daxko provides mission critical software solutions for health and wellness organizations, empowering nonprofits to enhance experiences, gain revenue, and increase efficiencies.</t>
  </si>
  <si>
    <t xml:space="preserve"> +1 205-437-1400</t>
  </si>
  <si>
    <t>23440744999</t>
  </si>
  <si>
    <t>DCB Bank</t>
  </si>
  <si>
    <t>http://www.dcbbank.com</t>
  </si>
  <si>
    <t>DCB Bank is a new generation private sector bank with 410 branches across India. It offers a range of banking services including savings accounts, fixed deposits, gold loans, business loans, agriculture loans, NRI banking, and personal and business int...</t>
  </si>
  <si>
    <t xml:space="preserve"> +91 22 6618 7000</t>
  </si>
  <si>
    <t>23441362587</t>
  </si>
  <si>
    <t>22702672162</t>
  </si>
  <si>
    <t>dd-mf.de</t>
  </si>
  <si>
    <t>22703112552</t>
  </si>
  <si>
    <t>Dedicated Tech Services</t>
  </si>
  <si>
    <t>dtsdelivers.com</t>
  </si>
  <si>
    <t>Dedicated Tech Services, Inc. (DTS) is a Columbus based, certified, woman owned Information Technology consulting firm dedicated to providing outstanding technical services in central Ohio. Women owned. Diverse. WBENC certified. IT consulting firm.</t>
  </si>
  <si>
    <t>22445341548</t>
  </si>
  <si>
    <t>Defense Counterintelligence and Security Agency</t>
  </si>
  <si>
    <t>dcsa.mil</t>
  </si>
  <si>
    <t>DCSA is the largest security agency in the federal government dedicated to protecting America's trusted workforce and trusted workspaces. Each year, DCSA services over 2023 Targeting U.S. Technologies Report now available. The foreign intelligence thre...</t>
  </si>
  <si>
    <t>20159056662</t>
  </si>
  <si>
    <t>Defense Information Systems Agency</t>
  </si>
  <si>
    <t>GovWin 238108: Pre-RFP: ENTERPRISE ARCHITECTURE EA TOOL THAT SUPPORTS THE DEPARTMENT OF DEFENSE ARCHITECTURE FRAMEWORK (DODAF)(VERSION 2.02)</t>
  </si>
  <si>
    <t>22571861167</t>
  </si>
  <si>
    <t>15870956618</t>
  </si>
  <si>
    <t>22584068211</t>
  </si>
  <si>
    <t>Defense Technical Information Center</t>
  </si>
  <si>
    <t>discover.dtic.mil</t>
  </si>
  <si>
    <t>DTIC is the central hub for scientific, research, and engineering information support for the DoD.</t>
  </si>
  <si>
    <t>22514385716</t>
  </si>
  <si>
    <t>DEL REY</t>
  </si>
  <si>
    <t>delreysys.com</t>
  </si>
  <si>
    <t>DEL REY Systems &amp; Technology, Inc. is a small, Service Disabled Veteran Owned Small Business specializing in technology solutions since 1995. DEL REY specializes in providing the following services to DoD and US Navy: Integrated Logistics Support (ILS)...</t>
  </si>
  <si>
    <t>20316806282</t>
  </si>
  <si>
    <t>Dell</t>
  </si>
  <si>
    <t>dell.com</t>
  </si>
  <si>
    <t>Computer Hardware</t>
  </si>
  <si>
    <t>About Dell Inc.
Dell Inc., a part of Dell Technologies,
provides customers of all sizes – including 98 percent of the Fortune 500 –
with a broad, innovative portfolio from edge to core to cloud. Dell Inc.
comprises Dell client as well as Dell EMC infrastructure offerings that enable
organizations to modernize, automate and transform their data center while
providing today’s workforce and consumers what they need to securely connect,
produce, and collaborate from anywhere at any time.﻿</t>
  </si>
  <si>
    <t xml:space="preserve"> +1 512-338-4400</t>
  </si>
  <si>
    <t>23450384398</t>
  </si>
  <si>
    <t>http://www.deloitte.com/</t>
  </si>
  <si>
    <t>Deloitte offers comprehensive audit, consulting, tax, and advisory services to a diverse range of clients, including a significant portion of the Fortune 500, helping them navigate change and capitalize on new opportunities for sustainable growth and p...</t>
  </si>
  <si>
    <t xml:space="preserve"> +1 615-882-7270</t>
  </si>
  <si>
    <t>20316880778</t>
  </si>
  <si>
    <t>20155935747</t>
  </si>
  <si>
    <t>Delta Air Lines Supplier Diversity</t>
  </si>
  <si>
    <t>20316930323</t>
  </si>
  <si>
    <t>Delta Air Lines, Inc.</t>
  </si>
  <si>
    <t>delta.com</t>
  </si>
  <si>
    <t>Airlines/Aviation</t>
  </si>
  <si>
    <t>We are committed to pro-actively identifying and building relationships with high quality small and diverse-owned business enterprises and we encourage our 1st Tier Prime Suppliers partners to do the same. Our mission is to deliver value by developing partnerships with qualified diverse suppliers. The key element of success lies in our ability to establish relationships with diverse suppliers that can provide quality products and services in a competitive and global environment.</t>
  </si>
  <si>
    <t xml:space="preserve"> +1 404-715-2600</t>
  </si>
  <si>
    <t>23452911500</t>
  </si>
  <si>
    <t>Deluxe</t>
  </si>
  <si>
    <t>http://www.deluxe.com</t>
  </si>
  <si>
    <t>Deluxe provides comprehensive services for small businesses and financial institutions, including marketing, printing, web design, and financial solutions. They empower businesses to accelerate growth and deepen customer relationships through innovative technology.</t>
  </si>
  <si>
    <t xml:space="preserve"> +1 651-483-7111</t>
  </si>
  <si>
    <t>20317506569</t>
  </si>
  <si>
    <t>Denny's</t>
  </si>
  <si>
    <t>dennys.com</t>
  </si>
  <si>
    <t>Denny's is America's Diner. Always open. View our menu, sign up for rewards, order online. Over the past 50 years, Denny's has been bringing on the day with round the clock breakfast and casual family dining across America, from freshly cracked eggs to...</t>
  </si>
  <si>
    <t xml:space="preserve"> +1 864-597-8000</t>
  </si>
  <si>
    <t>20316779854</t>
  </si>
  <si>
    <t>Dentsu</t>
  </si>
  <si>
    <t>dentsu.com</t>
  </si>
  <si>
    <t>Invoicing- Christena Pyle, christena.pyle@dentsu.com</t>
  </si>
  <si>
    <t>20155976224</t>
  </si>
  <si>
    <t>Department of Commerce</t>
  </si>
  <si>
    <t>22702653080</t>
  </si>
  <si>
    <t>Department of Homeland Security</t>
  </si>
  <si>
    <t>cbp.dhs.gov</t>
  </si>
  <si>
    <t>The Department of Homeland Security (DHS) is a vital Cabinet department of the United States federal government focused on homeland security. With over 240,000 dedicated employees, DHS works to secure the nation from various threats, ranging from count...</t>
  </si>
  <si>
    <t xml:space="preserve"> +1 202-282-8010</t>
  </si>
  <si>
    <t>22702812269</t>
  </si>
  <si>
    <t>Department of Transportation</t>
  </si>
  <si>
    <t>dot.gov</t>
  </si>
  <si>
    <t>Welcome to the Facebook page of the U.S. Department of Transportation. US Transportation</t>
  </si>
  <si>
    <t xml:space="preserve"> +1 855-368-4200</t>
  </si>
  <si>
    <t>20805354623</t>
  </si>
  <si>
    <t>Scaled Agile, Inc’s ® piplanning.io or equivalent PI Planning Software and Support</t>
  </si>
  <si>
    <t>19366138671</t>
  </si>
  <si>
    <t>23457707831</t>
  </si>
  <si>
    <t>http://www.desjardins.com/fr/bienvenue.jsp</t>
  </si>
  <si>
    <t>Desjardins provides a comprehensive range of financial services tailored to individual needs, including credit cards, loans, mortgages, insurance, savings, and investment products, all aimed at enhancing the economic and social well-being of its members.</t>
  </si>
  <si>
    <t xml:space="preserve"> +1 800 224 7737</t>
  </si>
  <si>
    <t>20317182276</t>
  </si>
  <si>
    <t>DEXCOM</t>
  </si>
  <si>
    <t>20316887709</t>
  </si>
  <si>
    <t>DHG</t>
  </si>
  <si>
    <t>23458487593</t>
  </si>
  <si>
    <t>DHI Mortgage</t>
  </si>
  <si>
    <t>http://www.dhimortgage.com</t>
  </si>
  <si>
    <t>DHI Mortgage, a part of the D.R. Horton family, offers stress-free mortgage financing solutions with a focus on trust and value for homebuyers.</t>
  </si>
  <si>
    <t xml:space="preserve"> +1 800-315-8434</t>
  </si>
  <si>
    <t>19816075670</t>
  </si>
  <si>
    <t>DHS Management Directorate</t>
  </si>
  <si>
    <t>dhs.gov</t>
  </si>
  <si>
    <t>The Department of Homeland Security (DHS) is a Cabinet department of the United States federal government, which is focused on homeland security. It has a vital mission to secure the nation from various threats. The department employs over 240,000 empl...</t>
  </si>
  <si>
    <t>ENTERPRISE CLOUD AND INTEGRATION SERVICES CLOUD SERVICES (ECIS);NRMC CRITICAL INFRASTRUCTURE RISK ANALYSIS (CIRA)</t>
  </si>
  <si>
    <t>18380520527;18380521074</t>
  </si>
  <si>
    <t>23457567798</t>
  </si>
  <si>
    <t>Diamond Bank Plc</t>
  </si>
  <si>
    <t>http://www.diamondbank.com</t>
  </si>
  <si>
    <t>Diamond Bank is a premier universal bank headquartered in Lagos, Nigeria. It is known for its innovative approach and advanced banking technology platform. The bank offers a wide range of financial services including retail banking, business banking, corporate banking, MSME banking, and transaction and e-banking. Diamond Bank has a strong presence in Nigeria and is committed to providing exceptional customer experience and creating value for its shareholders.</t>
  </si>
  <si>
    <t xml:space="preserve"> +234 1 270 1500</t>
  </si>
  <si>
    <t>20317138814</t>
  </si>
  <si>
    <t>Dick's Sporting Goods</t>
  </si>
  <si>
    <t>20315899763</t>
  </si>
  <si>
    <t>Digital Reality, Inc</t>
  </si>
  <si>
    <t>digitalrealityinc.com</t>
  </si>
  <si>
    <t>Digital Reality is a nationwide Apple POS expert servicing the retail and restaurant industries. As a natural extension of that business, we provide technical (IT) support, installation and training for Apple platforms such as the Mac, iPad, iPhone and...</t>
  </si>
  <si>
    <t>22702769731</t>
  </si>
  <si>
    <t>Diné Development</t>
  </si>
  <si>
    <t>ddc-dine.com</t>
  </si>
  <si>
    <t>Navajo Nation Corporation, Tribal Corporation - Diné Development Corporation (DDC) is a family of subsidiaries that delivers IT, professional, and environmental services to solve the dynamic challenges of government agencies and commercial firms. Inspi...</t>
  </si>
  <si>
    <t>22702783820</t>
  </si>
  <si>
    <t>dine-source.com</t>
  </si>
  <si>
    <t>8(a) certified, Navajo Nation Tribally owned, Small Disadvantaged Business</t>
  </si>
  <si>
    <t>CMMI-DEV ML 3</t>
  </si>
  <si>
    <t>Digital Transformation, Modernization, IT Services</t>
  </si>
  <si>
    <t>GSA MAS 99, GSA 8(a) STARS III, GSA IT Schedule 70, GLOBAL SOURCE</t>
  </si>
  <si>
    <t>AFMC, IRS, DISA, ARMY TRAINING AND DOCTRINE COMMAND</t>
  </si>
  <si>
    <t>20159103131</t>
  </si>
  <si>
    <t>Discover</t>
  </si>
  <si>
    <t>20316962868</t>
  </si>
  <si>
    <t>20316731680</t>
  </si>
  <si>
    <t>Discovery Communications</t>
  </si>
  <si>
    <t>22702806912</t>
  </si>
  <si>
    <t>Disney</t>
  </si>
  <si>
    <t>disney.com</t>
  </si>
  <si>
    <t>Disney serves as a comprehensive hub for Disney enthusiasts, offering a wide array of entertainment options including theme parks, resorts, movies, television programs, characters, and interactive video games.</t>
  </si>
  <si>
    <t xml:space="preserve"> +1 818-560-1000</t>
  </si>
  <si>
    <t>20316657005</t>
  </si>
  <si>
    <t>Diversified Maintenance</t>
  </si>
  <si>
    <t>diversifiedm.com</t>
  </si>
  <si>
    <t>Facilities Services</t>
  </si>
  <si>
    <t>Diversified Maintenance is a leading provider of client-focused, quality facility maintenance services. With over 50 years of experience, we offer a wide range of services including janitorial, facilities maintenance, and specialized cleaning. Our high...</t>
  </si>
  <si>
    <t xml:space="preserve"> +1 800-351-1557</t>
  </si>
  <si>
    <t>23438070364</t>
  </si>
  <si>
    <t>DLL</t>
  </si>
  <si>
    <t>delagelanden.com</t>
  </si>
  <si>
    <t>DLL is the world's leading vendor finance partner, serving equipment and technology manufacturers, distributors, and dealers in more than 30 countries. With over 50 years of experience, DLL offers flexible asset financing solutions tailored for busines...</t>
  </si>
  <si>
    <t>23444319395</t>
  </si>
  <si>
    <t>http://www.dllgroup.com</t>
  </si>
  <si>
    <t>DLL is a global vendor finance company offering commercial, retail, and used equipment finance solutions in over 30 countries.</t>
  </si>
  <si>
    <t>23134007071</t>
  </si>
  <si>
    <t>DLT Solutions</t>
  </si>
  <si>
    <t>dlt.com</t>
  </si>
  <si>
    <t>DLT Solutions, a premier government aggregator, specializes in providing best-in-class IT solutions for government agencies and businesses in North America. With over 25 years of experience, DLT accelerates public sector growth by offering modern frameworks for high-quality software development and deployment.</t>
  </si>
  <si>
    <t xml:space="preserve"> +1 703-708-9607</t>
  </si>
  <si>
    <t>20806640980</t>
  </si>
  <si>
    <t>DoDEA</t>
  </si>
  <si>
    <t>dodea.edu</t>
  </si>
  <si>
    <t>The Department of Defense Education Activity (DoDEA) is responsible for planning, directing, coordinating, and managing prekindergarten through 12th grade educational programs on behalf of the Department of Defense (DoD). DoDEA operates 160 schools in ...</t>
  </si>
  <si>
    <t>6783648044</t>
  </si>
  <si>
    <t>GovWin 231701: BUSINESS PROCESS MODERNIZATION;BUSINESS PROCESS MODERNIZATION</t>
  </si>
  <si>
    <t>19930486854;16786619254</t>
  </si>
  <si>
    <t>20805357909</t>
  </si>
  <si>
    <t>FBI - Sentinel</t>
  </si>
  <si>
    <t>15272751242</t>
  </si>
  <si>
    <t>20753351256</t>
  </si>
  <si>
    <t>20753326153</t>
  </si>
  <si>
    <t>20752778296</t>
  </si>
  <si>
    <t>20316473235</t>
  </si>
  <si>
    <t>Dollar General</t>
  </si>
  <si>
    <t>dollargeneral.com</t>
  </si>
  <si>
    <t>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operated 18,356 stores in 47 states as of April 29, 2022. In addition to high-quality private brands, Dollar General sells products from America's most-trusted manufacturers such as Clorox, Energizer, Procter &amp;amp; Gamble, Hanes, Coca-Cola, Mars, Unilever, Nestle, Kimberly-Clark, Kellogg's, General Mills, and PepsiCo. Learn more about Dollar General at www.dollargeneral.com.</t>
  </si>
  <si>
    <t xml:space="preserve"> +1 615-855-4000</t>
  </si>
  <si>
    <t>20316871261</t>
  </si>
  <si>
    <t>Dominion Energy Inc</t>
  </si>
  <si>
    <t>dominionenergy.com</t>
  </si>
  <si>
    <t>Dominion Energy is a leading energy company serving over 7 million customers in 16 states. They provide clean, safe, and affordable energy with a focus on sustainability and community involvement.</t>
  </si>
  <si>
    <t xml:space="preserve"> +1 804-819-2000</t>
  </si>
  <si>
    <t>20316609715</t>
  </si>
  <si>
    <t>DoorDash Inc</t>
  </si>
  <si>
    <t>doordash.com</t>
  </si>
  <si>
    <t>DoorDash empowers small businesses to provide local delivery services, starting with restaurant food delivery. The company is a technology and logistics platform that aims to expand beyond food delivery to offer a wide range of goods. DoorDash values i...</t>
  </si>
  <si>
    <t xml:space="preserve"> +1 650-487-3970</t>
  </si>
  <si>
    <t>20157101454</t>
  </si>
  <si>
    <t>Dow</t>
  </si>
  <si>
    <t xml:space="preserve"> +1 989-636-1000</t>
  </si>
  <si>
    <t>20317417802</t>
  </si>
  <si>
    <t>DPR Construction Inc</t>
  </si>
  <si>
    <t>dpr.com</t>
  </si>
  <si>
    <t>DPR Construction is a forward-thinking, self-performing general contractor and construction manager specializing in technically complex and sustainable projects for the advanced technology/mission critical, life sciences, healthcare, higher education, ...</t>
  </si>
  <si>
    <t xml:space="preserve"> +1 404-382-5400</t>
  </si>
  <si>
    <t>20315654568</t>
  </si>
  <si>
    <t>DTE Energy</t>
  </si>
  <si>
    <t>dteenergy.com</t>
  </si>
  <si>
    <t>DTE Energy (NYSE: DTE) is a Detroit-based diversified energy company involved
in the development and management of energy-related businesses and services
nationwide. Its operating units include an electric utility serving 2.2 million
customers in Southeastern Michigan and a natural gas utility serving 1.3
million customers in Michigan. The DTE Energy portfolio includes non-utility
energy businesses focused on power and industrial projects, natural gas
pipelines, gathering and storage, and energy marketing and trading.
As one of Michigan's leading corporate citizens, DTE Energy is a force for
growth and prosperity in the 450 Michigan communities it serves in a variety of
ways, including philanthropy, volunteerism and economic progress. Information
about DTE Energy is available on the DTE
Energy home page, Twitter
account and Facebook
page.
DTE Energy has more than 10,000 employees in utility and non-utility
subsidiaries involved in a wide range of energy-related businesses. The
company's growing non-utility businesses are built around the strengths, skills
and assets of DTE Energy's electric and gas utilities.</t>
  </si>
  <si>
    <t xml:space="preserve"> +1 313-235-4000</t>
  </si>
  <si>
    <t>23436762694</t>
  </si>
  <si>
    <t>Dubai Islamic Bank</t>
  </si>
  <si>
    <t>http://www.dib.ae</t>
  </si>
  <si>
    <t>Dubai Islamic Bank (DIB) is the world's first Islamic bank founded in 1975, leading in Islamic Banking &amp; Finance with over 5 million customers and 500+ branches globally. DIB prioritizes customer service, offers comprehensive financial solutions, and contributes to society through corporate responsibility programs.</t>
  </si>
  <si>
    <t>20316644116</t>
  </si>
  <si>
    <t>Dun &amp; Bradstreet</t>
  </si>
  <si>
    <t>dnb.com</t>
  </si>
  <si>
    <t>About
Dun &amp;amp; Bradstreet﻿The Dun &amp;amp; Bradstreet Corporation is an American company
that provides commercial data, analytics, and insights for businesses.  The company offers a wide range of products
and services for risk and financial analysis, operations and supply, and sales
and marketing professionals, as well as research and insights on global
business issues. It serves customers in government and industries such as
communications, technology, strategic financial services, and retail, telecommunications,
and manufacturing markets.  Often
referred to as D&amp;amp;B, the company's database contains over 400 million
business records worldwide.</t>
  </si>
  <si>
    <t xml:space="preserve"> +1 904-648-6350</t>
  </si>
  <si>
    <t>20157406483</t>
  </si>
  <si>
    <t>Dupont</t>
  </si>
  <si>
    <t xml:space="preserve"> +1 302-295-5783</t>
  </si>
  <si>
    <t>23464744334</t>
  </si>
  <si>
    <t>DWS Group</t>
  </si>
  <si>
    <t>http://www.dws.com</t>
  </si>
  <si>
    <t>DWS Group is a global asset manager with EUR 821bn in assets, offering innovative investment solutions aligned with growth trends and ESG principles to shape the future of investing and promote sustainability.</t>
  </si>
  <si>
    <t>22702849320</t>
  </si>
  <si>
    <t>Dynamic Systems</t>
  </si>
  <si>
    <t>dynamicsystemsinc.com</t>
  </si>
  <si>
    <t>Dynamic Systems is a dedicated technology advisory and execution partner to mission critical government agencies, including defense, federal, and state agencies. They design custom solutions to address IT infrastructure and data center challenges such ...</t>
  </si>
  <si>
    <t xml:space="preserve"> +1 310-337-4400</t>
  </si>
  <si>
    <t>23461267505</t>
  </si>
  <si>
    <t>E*TRADE Financial</t>
  </si>
  <si>
    <t>etrade.com</t>
  </si>
  <si>
    <t>E*TRADE from Morgan Stanley is a pioneer in online brokerage, providing innovative financial solutions to empower traders and investors globally.</t>
  </si>
  <si>
    <t xml:space="preserve"> +1 646-521-4340</t>
  </si>
  <si>
    <t>23467389278</t>
  </si>
  <si>
    <t>e-finance</t>
  </si>
  <si>
    <t>https://www.efinance.com.eg</t>
  </si>
  <si>
    <t>eFinance is a company that provides digital payments infrastructure, FinTech solutions, and electronic payment and collection gateway services to the government and financial sectors in Egypt.</t>
  </si>
  <si>
    <t>23453357458</t>
  </si>
  <si>
    <t>E-Logic Info Tech Ltd</t>
  </si>
  <si>
    <t>23452386486</t>
  </si>
  <si>
    <t>Earthjustice</t>
  </si>
  <si>
    <t>earthjustice.org</t>
  </si>
  <si>
    <t>Earthjustice is a nonprofit public interest environmental law organization that utilizes legal expertise and partnerships to advocate for a healthy environment, protect public health, preserve wildlife and natural spaces, promote clean energy, and address climate change challenges.</t>
  </si>
  <si>
    <t xml:space="preserve"> +1 800-584-6460</t>
  </si>
  <si>
    <t>23440758136</t>
  </si>
  <si>
    <t>Eastern Bank</t>
  </si>
  <si>
    <t>http://www.easternbank.com</t>
  </si>
  <si>
    <t>Eastern Bank, founded in 1818, is the largest mutual bank in the U.S. Offering diverse financial services in MA and NH, including mobile banking and mortgages, Eastern Bank is a leader in social responsibility and advocacy.</t>
  </si>
  <si>
    <t xml:space="preserve"> +1 617-897-1100</t>
  </si>
  <si>
    <t>20315408688</t>
  </si>
  <si>
    <t>Eaton</t>
  </si>
  <si>
    <t>20159064858</t>
  </si>
  <si>
    <t>20159012988</t>
  </si>
  <si>
    <t>Eaton Corporation</t>
  </si>
  <si>
    <t xml:space="preserve"> +353 1 637 2900</t>
  </si>
  <si>
    <t>20753038640</t>
  </si>
  <si>
    <t>ECS</t>
  </si>
  <si>
    <t>20753046335</t>
  </si>
  <si>
    <t>20315824995</t>
  </si>
  <si>
    <t>Edelman</t>
  </si>
  <si>
    <t>In 1952, Dan Edelman planted the seed for a new kind of company – one that would redefine the role of public relations. Sixty-three years later, we continue to push the boundaries of what PR can do. Grounded by our core values and strengthened by our independence, we help clients communicate, engage and build relationships with their stakeholders.</t>
  </si>
  <si>
    <t>20315737462</t>
  </si>
  <si>
    <t>Edelman Financial Engines</t>
  </si>
  <si>
    <t>20316973826</t>
  </si>
  <si>
    <t>Edwards Lifesciences</t>
  </si>
  <si>
    <t>edwards.com</t>
  </si>
  <si>
    <t>Medical Devices</t>
  </si>
  <si>
    <t>Edwards Lifesciences is a global leader in patient-focused medical innovations for structural heart disease, critical care, and surgical monitoring. They specialize in designing and manufacturing tissue replacement heart valves, repair products, and ad...</t>
  </si>
  <si>
    <t xml:space="preserve"> +1 949-250-2500</t>
  </si>
  <si>
    <t>23456410765</t>
  </si>
  <si>
    <t>Elavon, Inc.</t>
  </si>
  <si>
    <t>http://elavon.com</t>
  </si>
  <si>
    <t>Elavon is a global leader in payment processing, offering innovative and secure solutions for businesses of all sizes. With over 30 years of experience, Elavon provides first-rate merchant services and payment processing to more than 1.5 million customers in over 36 countries, backed by cutting-edge technologies and superior customer service.</t>
  </si>
  <si>
    <t xml:space="preserve"> +1 651-466-3000</t>
  </si>
  <si>
    <t>20157431610</t>
  </si>
  <si>
    <t>Electronic Arts</t>
  </si>
  <si>
    <t>1-650-628-1500</t>
  </si>
  <si>
    <t>23460342612</t>
  </si>
  <si>
    <t>Element Financial</t>
  </si>
  <si>
    <t>elementcorp.com</t>
  </si>
  <si>
    <t>Element Financial Corporation is a leading equipment finance company that operates across North America in four verticals of the equipment finance market: Commercial &amp; Vendor Finance, Aviation Finance, Rail Finance, and Fleet Management.</t>
  </si>
  <si>
    <t>23457722186</t>
  </si>
  <si>
    <t>Element Fleet Management</t>
  </si>
  <si>
    <t>https://www.elementfleet.com</t>
  </si>
  <si>
    <t>Element Fleet Management is a global fleet management provider that offers a comprehensive suite of services, including acquisition, financing, program management, and remarketing, aimed at optimizing the performance and reducing the total cost of ownership for commercial vehicle and equipment fleets.</t>
  </si>
  <si>
    <t xml:space="preserve"> +1 267-960-2061</t>
  </si>
  <si>
    <t>20317450858</t>
  </si>
  <si>
    <t>Elevance Health</t>
  </si>
  <si>
    <t>elevancehealth.com</t>
  </si>
  <si>
    <t>The Elevance Health
Supplier Diversity Team – an integral part of the ESG (environmental
social governance) team – contributes to upholding Elevance Health’s core
values, most notably community and diversity. Elevance Health
diversifies our supplier base by elevating opportunities for small and
diverse-owned enterprises. We advocate for diverse suppliers, aligning our
supply chain with our values and ensuring diversity is ingrained in the
procurement process. We position ourselves to advance positive impact in the
communities in which we live and operate. 
Through our Supplier Diversity Program, we are dedicated to diversifying our supplier base to include minority-owned, women-owned, veteran-owned, LGBT (Lesbian, Gay, Bi-Sexual, Transgender)-owned and disabled-owned businesses wherever possible. We actively work to include diverse suppliers in every bidding opportunity. Our supplier diversity initiative is one of the building blocks that support Elevance Health's overall success. We look forward to continued growth in our program.</t>
  </si>
  <si>
    <t xml:space="preserve"> +1 800-331-1476</t>
  </si>
  <si>
    <t>20158994321</t>
  </si>
  <si>
    <t>Elevance Health (aka Anthem Inc.)</t>
  </si>
  <si>
    <t>20317433508</t>
  </si>
  <si>
    <t>Elevate Services Inc</t>
  </si>
  <si>
    <t>elevateservices.com</t>
  </si>
  <si>
    <t>Nat'l Legal Partner</t>
  </si>
  <si>
    <t xml:space="preserve"> +1 702-236-2936</t>
  </si>
  <si>
    <t>20159032714</t>
  </si>
  <si>
    <t>www.lilly.com</t>
  </si>
  <si>
    <t>Eli Lilly and Company is a global healthcare leader creating medicines for a healthier world through human and animal pharmaceutical products.</t>
  </si>
  <si>
    <t>1-800-545-5979</t>
  </si>
  <si>
    <t>22702849319</t>
  </si>
  <si>
    <t>Emerging Tech</t>
  </si>
  <si>
    <t>emergingtech.co</t>
  </si>
  <si>
    <t>Emerging Tech is a veteran and minority owned IT company that serves as Solution Experts to ensure clients' systems are secure, efficient, and compliant. They have deep knowledge in Mobile Health Care, Cyber Security, CSfC, Systems Engineering, Network...</t>
  </si>
  <si>
    <t>22702783821</t>
  </si>
  <si>
    <t>Emergingtech.com</t>
  </si>
  <si>
    <t>emergingtech.com</t>
  </si>
  <si>
    <t>EmergingTech is a leading technology company that specializes in providing innovative solutions for businesses. We offer a wide range of products and services, including software development, cloud computing, artificial intelligence, and data analytics...</t>
  </si>
  <si>
    <t>20315763637</t>
  </si>
  <si>
    <t>Empower</t>
  </si>
  <si>
    <t>empower.com</t>
  </si>
  <si>
    <t>﻿</t>
  </si>
  <si>
    <t xml:space="preserve"> +1 303-737-3000</t>
  </si>
  <si>
    <t>20159111277</t>
  </si>
  <si>
    <t>Enbridge</t>
  </si>
  <si>
    <t>Asking for more detailed diversity questions</t>
  </si>
  <si>
    <t>20315694486</t>
  </si>
  <si>
    <t>Encore Global Event Solutions</t>
  </si>
  <si>
    <t>encoreglobal.com</t>
  </si>
  <si>
    <t>We’ve been creating memorable event experiences that connect and inspire, and engage and transform organizations for decades. With a customer-first mindset and a hospitality focus, we have an unmatched breadth and depth of event production services to support our customers through every step in the event planning and management process.In partnership with event planners, hotels, venues, agencies and staging customers, we create and execute thousands of events annually – in person, virtual and hybrid – of any size, at any venue, anywhere in the world. Our core values are embedded in our DNA, and our team members are innovators and collaborators at heart – highly trained experts that intuitively combine creative, production and technology services to deliver unparalleled service excellence for you.</t>
  </si>
  <si>
    <t xml:space="preserve"> +1 866-351-1144</t>
  </si>
  <si>
    <t>20317417380</t>
  </si>
  <si>
    <t>Endeavor</t>
  </si>
  <si>
    <t>23454692219</t>
  </si>
  <si>
    <t>Enova International</t>
  </si>
  <si>
    <t>http://www.enova.com</t>
  </si>
  <si>
    <t>Enova International, is a leading financial technology firm that specializes in providing innovative online financial services, including short-term loans and credit options, to non-prime consumers and small businesses through its advanced machine learning-powered platform.</t>
  </si>
  <si>
    <t xml:space="preserve"> +1 312-568-4200</t>
  </si>
  <si>
    <t>22391551101</t>
  </si>
  <si>
    <t>Entegrity Consulting Group</t>
  </si>
  <si>
    <t>8a, WOSB/EDWOSB/SDVOSB</t>
  </si>
  <si>
    <t>Small Business Certified</t>
  </si>
  <si>
    <t>https://entegrity-consulting.com/capability-statement
Strategic Consulting &amp; Program/Project Management, Data Management &amp; Analytics, Financial Management, Digital Transformation &amp; IT Modernization, Cybersecurity &amp; Risk Management, Cloud Solutions &amp; Implementation, Enterprise Architecture &amp; Systems Engineering</t>
  </si>
  <si>
    <t>GSA-MAS (SINs 54151S, 54151HEAL, 541611</t>
  </si>
  <si>
    <t>The U.S. Department of Veterans Affairs (VA)
The U.S. Department of Homeland Security (DHS)
The U.S. Department of Agriculture (USDA)
The U.S. Department of Health and Human Services (HHS)
The U.S. Department of Defense (DoD)</t>
  </si>
  <si>
    <t>20316887711</t>
  </si>
  <si>
    <t>Entergy Services</t>
  </si>
  <si>
    <t>16065780765</t>
  </si>
  <si>
    <t>Enterprise Cloud Management Agency (ECMA)</t>
  </si>
  <si>
    <t>army.mil</t>
  </si>
  <si>
    <t>The U.S. Army Contracting Command Es Soldiers, civilians and contractors support warfighters worldwide by acquiring equipment, supplies and services vital to our Soldiers E mission and well-being. From food and clothing to bullets and bombs; from tanks, trucks and HMMWVs to boats and planes; from their weapons to the installations where they work and live with their families, ACC ensures our Soldiers have what they need to be successful at home and at work.</t>
  </si>
  <si>
    <t>20316880781</t>
  </si>
  <si>
    <t>Enterprise Holdings, Inc.</t>
  </si>
  <si>
    <t>enterpriseholdings.com</t>
  </si>
  <si>
    <t>Our mission is to have our supplier base bear a reasonable relationship to the communities in which we do business by identifying and encouraging equal opportunities for minority-owned, women-owned and other types of socially or economically disadvantaged small businesses.
The Enterprise Holdings Supplier Diversity Program is intended to help facilitate an increase in the number of minority-owned, women-owned, and other socially or economically disadvantaged small businesses that work to provide goods and services for our company. It does so by providing assistance and a host of tools to help those with buying responsibility to identify, select, and do business with suppliers who can meet our requirements with regard to quality, timing, capacity and pricing.</t>
  </si>
  <si>
    <t xml:space="preserve"> +1 314-512-5000</t>
  </si>
  <si>
    <t>20159118373</t>
  </si>
  <si>
    <t>Entrepreneurial Operating System (EOS)</t>
  </si>
  <si>
    <t>22703047068</t>
  </si>
  <si>
    <t>Epsilon Systems Solutions</t>
  </si>
  <si>
    <t>Large Prime Contractor</t>
  </si>
  <si>
    <t>Capability Maturity Model Integration (CMMI) Level 3 for Software Development, ISO 9001:2015 certified</t>
  </si>
  <si>
    <t>Command, Control, Communications, Computers, Combat Systems, and Intelligence (C5I) products and services, Cyber and Systems Engineering, Network Engineering, Software Development, Operational Training Support</t>
  </si>
  <si>
    <t>SeaPort-NxG, GSA ASTRO, GSA Corporate</t>
  </si>
  <si>
    <t>U.S. Navy (NAVWAR, NAVSEA, NAVAIR), U.S. Air Force, U.S. Space Force, PEO Space Systems, Navy Satellite Operations Center, PEO SS Navy Narrowband Satellite Communications Program Office, Air Force GPS SE&amp;I, DHS, National Geospatial-Intelligence Agency</t>
  </si>
  <si>
    <t>epsilonsystems.com</t>
  </si>
  <si>
    <t>Epsilon Systems is a technical services company that specializes in ship maintenance, repair, and modernization for Navy ships. They also provide software development and training support to defense, military, intelligence, C5I, and commercial customer...</t>
  </si>
  <si>
    <t xml:space="preserve"> +1 619-702-1700</t>
  </si>
  <si>
    <t>23459883902</t>
  </si>
  <si>
    <t>Equifax</t>
  </si>
  <si>
    <t>https://www.equifax.com</t>
  </si>
  <si>
    <t>Equifax is a global provider of information solutions and human resources business process outsourcing services for businesses, governments, and consumers. They offer credit reporting, identity protection, risk modeling, IT services, and more to help individuals and organizations make informed financial decisions and manage personal information securely.</t>
  </si>
  <si>
    <t xml:space="preserve"> +1 404-885-8000</t>
  </si>
  <si>
    <t>23464287367</t>
  </si>
  <si>
    <t>Equiniti</t>
  </si>
  <si>
    <t>http://www.equiniti.com</t>
  </si>
  <si>
    <t>Equiniti is a global provider of shareholder, pension, and remediation services, offering share registration, governance, and administration solutions to organizations worldwide.</t>
  </si>
  <si>
    <t>20316677516</t>
  </si>
  <si>
    <t>Equinix</t>
  </si>
  <si>
    <t>equinix.com</t>
  </si>
  <si>
    <t>Wireless</t>
  </si>
  <si>
    <t>Equinix is the world’s digital infrastructure company. Digital leaders harness our trusted platform to bring together and interconnect the foundational infrastructure that powers their success. We enable our customers to access all the right places, partners and possibilities they need to accelerate advantage. With Equinix, they can scale with agility, speed the launch of digital services, deliver world-class experiences and multiply their value.Learn more at Equinix.com​​​﻿</t>
  </si>
  <si>
    <t xml:space="preserve"> +1 650-598-6000</t>
  </si>
  <si>
    <t>20157390475</t>
  </si>
  <si>
    <t>20315933046</t>
  </si>
  <si>
    <t>Erie Insurance</t>
  </si>
  <si>
    <t>erieinsurance.com</t>
  </si>
  <si>
    <t>Erie Insurance is a multi-line insurance company that offers auto, home, business, and life insurance through a network of over 10,000 independent agents. With a strong focus on customer service and financial stability, Erie Insurance has been providin...</t>
  </si>
  <si>
    <t xml:space="preserve"> +1 814-870-2000</t>
  </si>
  <si>
    <t>23134371384</t>
  </si>
  <si>
    <t>erinet.com</t>
  </si>
  <si>
    <t>20315408686</t>
  </si>
  <si>
    <t>Essential Utilities</t>
  </si>
  <si>
    <t>essential.co</t>
  </si>
  <si>
    <t>Essential Utilities is one of the largest publicly traded water, wastewater and natural gas providers in the U.S., serving approximately 5 million people across 10 states under the Aqua and Peoples brands. Essential represents an infrastructure company uniquely positioned to have a powerful impact on improving reliability, quality of life and economic prosperity for all.Each subsidiary lends more than 130 years of experience in infrastructure expertise, regulatory compliance, operational efficiency and environmental stewardship. As utility infrastructure experts, we are passionate about infrastructure improvement that strengthens reliability and safety.﻿</t>
  </si>
  <si>
    <t xml:space="preserve"> +1 610-527-8000</t>
  </si>
  <si>
    <t>20157101452</t>
  </si>
  <si>
    <t>EssilorLuxottica</t>
  </si>
  <si>
    <t>800-343-5594</t>
  </si>
  <si>
    <t>23454054673</t>
  </si>
  <si>
    <t>Etrade Bank Inc</t>
  </si>
  <si>
    <t>https://us.etrade.com/</t>
  </si>
  <si>
    <t>22701267501</t>
  </si>
  <si>
    <t>eTRANSERVICES</t>
  </si>
  <si>
    <t>8(a) Certified, Service Disabled Veteran Owned Small Business (SDVOSB), Black American Owned, Minority Owned, Small Disadvantaged Business (Self Certified), Small Business (in one or more NAICS)</t>
  </si>
  <si>
    <t>CMMISVC/3, CMMIDEV/3, ISO 20000-1:2018, ISO 27001:2022, ISO 9001:2015</t>
  </si>
  <si>
    <t>Systems Engineering, Information Technology, Cybersecurity, Cloud Services, Business Services, Products</t>
  </si>
  <si>
    <t>Navy SeaPort-NxG, GSA MAS, GSA 8(a) STARS III GWAC, FAA eFAST, NIWC 8(a) Incubator, SBA8(a) (Sole Source), SOSSEC OTA, Partner Contact Vehicles, VAT4 NG, DTIC, RS3, SEC ONE OIT, VETS 2, NIH CIO_SP3 SB</t>
  </si>
  <si>
    <t>ARMY TRAINING AND DOCTRINE COMMAND, OFFICE OF ACQUISITION, LOGISTICS, AND CONSTRUCTION, AIR MOBILITY COMMAND, OFFICE OF THE INSPECTOR GENERAL, FEDERAL AVIATION ADMINISTRATION, and others</t>
  </si>
  <si>
    <t>etranservices.com</t>
  </si>
  <si>
    <t>eTRANSERVICES Corp. offers Systems Engineering, IT, Cybersecurity, Cloud, and Business services to government agencies. They provide innovative solutions for business challenges, emphasizing efficiency and client satisfaction.</t>
  </si>
  <si>
    <t xml:space="preserve"> +1 571-405-5560</t>
  </si>
  <si>
    <t>23452911498</t>
  </si>
  <si>
    <t>EverBank</t>
  </si>
  <si>
    <t>https://www.everbank.com</t>
  </si>
  <si>
    <t>EverBank, now known as TIAA Bank, is a financial institution that offers a wide range of banking, investing, and commercial financing solutions. From unique Yield Pledge accounts to mortgage products and global diversification opportunities, EverBank provides innovative financial services to help individuals and businesses achieve their financial goals. With a focus on customer satisfaction and forward-thinking approaches, EverBank aims to deliver high yields, dedicated service, and innovative solutions to its clients nationwide.</t>
  </si>
  <si>
    <t xml:space="preserve"> +1 904-281-6000</t>
  </si>
  <si>
    <t>20316609714</t>
  </si>
  <si>
    <t>Eversource</t>
  </si>
  <si>
    <t>eversource.com</t>
  </si>
  <si>
    <t>Eversource Energy is a leading energy provider serving over 3.6 million customers in Connecticut, Massachusetts, and New Hampshire. They specialize in transmitting and delivering electricity and natural gas, offering services such as account management...</t>
  </si>
  <si>
    <t xml:space="preserve"> +1 860-665-5000</t>
  </si>
  <si>
    <t>22126609002</t>
  </si>
  <si>
    <t>eviCore Healthcare</t>
  </si>
  <si>
    <t>Benefit management solutions</t>
  </si>
  <si>
    <t>20157390476</t>
  </si>
  <si>
    <t>Exelon</t>
  </si>
  <si>
    <t>checked for RFPs</t>
  </si>
  <si>
    <t>20317450857</t>
  </si>
  <si>
    <t>Experian</t>
  </si>
  <si>
    <t>20157368140</t>
  </si>
  <si>
    <t>22702653082</t>
  </si>
  <si>
    <t>Experience Dynamics</t>
  </si>
  <si>
    <t>experiencedynamics.com</t>
  </si>
  <si>
    <t>Experience Dynamics specializes in UX and Service Design consulting, providing comprehensive user experience research and design services to enhance the usability and emotional impact of products and services for a diverse range of clients, including F...</t>
  </si>
  <si>
    <t xml:space="preserve"> +1 503-978-9183</t>
  </si>
  <si>
    <t>22702586440</t>
  </si>
  <si>
    <t>exxonmobil.com</t>
  </si>
  <si>
    <t>Exxon Mobil Corporation is a global energy company engaged in the exploration, production, transportation, and sale of crude oil and natural gas. They also manufacture and market petroleum products, petrochemicals, and specialty products. Committed to ...</t>
  </si>
  <si>
    <t xml:space="preserve"> +1 972-940-6000</t>
  </si>
  <si>
    <t>20317506570</t>
  </si>
  <si>
    <t>corporate.exxonmobil.com</t>
  </si>
  <si>
    <t>ExxonMobil, the largest publicly traded international oil and gas       company, uses technology and innovation to help meet the world’s growing       energy needs. ExxonMobil holds an industry-leading inventory of       resources, is one of the largest refiners and marketers of petroleum       products, and its chemical company is one of the largest in the world.       For more information, visit www.exxonmobil.com       or follow us on Twitter www.twitter.com/exxonmobil. ﻿</t>
  </si>
  <si>
    <t>20159003189</t>
  </si>
  <si>
    <t>ExxonMobil Supplier Diversity</t>
  </si>
  <si>
    <t>20159012991</t>
  </si>
  <si>
    <t>EY</t>
  </si>
  <si>
    <t>www.ey.com</t>
  </si>
  <si>
    <t>EY is a global leader in assurance, tax, transaction, and advisory services. They provide insights and quality services to build trust and confidence in capital markets worldwide. EY develops outstanding leaders who work together to fulfill promises to...</t>
  </si>
  <si>
    <t>20316496905</t>
  </si>
  <si>
    <t>ezCater</t>
  </si>
  <si>
    <t>ezcater.com</t>
  </si>
  <si>
    <t>ezCater is the leading nationwide marketplace for business catering, offering online ordering, reviews, and top-notch customer service. With a network of 100,000+ restaurants and caterers, ezCater serves over 200 million people, providing reliable cate...</t>
  </si>
  <si>
    <t xml:space="preserve"> +1 800-488-1803</t>
  </si>
  <si>
    <t>23459733407</t>
  </si>
  <si>
    <t>F.N.B. Corporation</t>
  </si>
  <si>
    <t>https://www.fnb-online.com/</t>
  </si>
  <si>
    <t>First National Bank (FNB) is a financial institution serving PA, OH, MD, DC, VA, NC, SC, and WV. FNB offers a comprehensive range of commercial banking, consumer banking, and wealth management services. They provide industry-leading online and mobile banking solutions, making banking convenient and accessible for their customers. FNB also offers personal loans, checking and savings accounts through their eStore® Common App, simplifying the banking process for individuals and businesses. Additionally, F.N.B. Corporation, the parent company, operates through segments including Community Banking, Wealth Management, Insurance, and Consumer Finance, providing a wide range of financial services to meet the diverse needs of their customers.</t>
  </si>
  <si>
    <t xml:space="preserve"> +1 800-555-5455</t>
  </si>
  <si>
    <t>20159032713</t>
  </si>
  <si>
    <t>FaceBook</t>
  </si>
  <si>
    <t>www.facebook.c</t>
  </si>
  <si>
    <t>23451609621</t>
  </si>
  <si>
    <t>Family First Life</t>
  </si>
  <si>
    <t>http://www.familyfirstlife.com</t>
  </si>
  <si>
    <t>Family First Life partners with the top carriers in the industry, offering Mortgage Protection, Final Expense, Indexed Universal Life, and Fixed Indexed annuities. Their mission is to prioritize the families they protect and the families of their agents, specializing in life insurance, retirement planning, and financial services.</t>
  </si>
  <si>
    <t>20317516568</t>
  </si>
  <si>
    <t>fanniemae.com</t>
  </si>
  <si>
    <t>As the leading source of residential mortgage credit in the U.S. secondary market, Fannie Mae is supporting today's economic recovery and laying the foundation for a better housing finance system. We guarantee and purchase loans from mortgage lenders to ensure families can buy homes, refinance, or rent a good home</t>
  </si>
  <si>
    <t xml:space="preserve"> +1 800-232-6643</t>
  </si>
  <si>
    <t>20156182645</t>
  </si>
  <si>
    <t>22702645822</t>
  </si>
  <si>
    <t>Federal Deposit Insurance</t>
  </si>
  <si>
    <t>fdic.gov</t>
  </si>
  <si>
    <t>The Federal Deposit Insurance Corporation (FDIC) is an independent agency established by the U.S. Congress to ensure stability and public trust in the country's financial system. It insures deposits in banks and thrift institutions, monitors risks, and...</t>
  </si>
  <si>
    <t>20316930322</t>
  </si>
  <si>
    <t>Federal Reserve Bank of Dallas</t>
  </si>
  <si>
    <t>dallasfed.org</t>
  </si>
  <si>
    <t>The Federal Reserve Bank of Dallas serves the Eleventh Federal Reserve District: Texas, northern Louisiana and southern New Mexico. The Dallas Fed builds connections with the people and communities we serve in Texas, Louisiana and New Mexico. We’re bui...</t>
  </si>
  <si>
    <t>23464288295</t>
  </si>
  <si>
    <t>Federal Reserve Bank of New York</t>
  </si>
  <si>
    <t>http://www.newyorkfed.org</t>
  </si>
  <si>
    <t>The Federal Reserve Bank of New York sets monetary policy and maintains financial stability in New York, overseeing the Second Federal Reserve District and providing essential financial services.</t>
  </si>
  <si>
    <t xml:space="preserve"> +1 212-720-5000</t>
  </si>
  <si>
    <t>20317408004</t>
  </si>
  <si>
    <t>Federal Reserve Bank of Philadelphia</t>
  </si>
  <si>
    <t>phil.frb.org</t>
  </si>
  <si>
    <t>Membership is part of the Federal Reserve System managed by Marleitha Williams</t>
  </si>
  <si>
    <t>20316657003</t>
  </si>
  <si>
    <t>23462044975</t>
  </si>
  <si>
    <t>Federal Reserve Bank San Antonio Branch</t>
  </si>
  <si>
    <t>ny.frb.org</t>
  </si>
  <si>
    <t>The Federal Reserve Bank San Antonio Branch, a part of the Federal Reserve System, provides a range of financial services and support to depository institutions, the U.S. government, and the public. With a focus on monetary policy, economic research, and financial stability, the branch plays a crucial role in the nation's banking system.</t>
  </si>
  <si>
    <t>23451931967</t>
  </si>
  <si>
    <t>Federal Reserve System</t>
  </si>
  <si>
    <t>http://frs.referrals.selectminds.com/via/FedA-1Qtb6qMk/</t>
  </si>
  <si>
    <t>SelectMinds is a leading provider of employee referral and internal mobility solutions. Their platform helps companies engage employees in talent acquisition and retention, driving recruitment efficiency and employee satisfaction.</t>
  </si>
  <si>
    <t xml:space="preserve"> +1 737-867-1000</t>
  </si>
  <si>
    <t>20159048479</t>
  </si>
  <si>
    <t>follow up</t>
  </si>
  <si>
    <t>20316644119</t>
  </si>
  <si>
    <t>FedEx Corporation</t>
  </si>
  <si>
    <t>suppliers.sourcing.fedex.com</t>
  </si>
  <si>
    <t>FedEx Office suppliers play a critical role in supporting our operations. Meeting the demands of a global retailer requires high standards of efficiency and effectiveness. 
Our suppliers understand this mandate and rise to the occasion by providing the commodities, services, ideas and solutions we need to deliver daily on our promises to customers  while continuously finding ways to reduce our costs.
Given that FedEx offers the broadest array of transportation, e-commerce and supply chain solutions in the world, we understand the value of supply chain management. FedEx Office seeks to purchase from companies who also understand that value and will work with us to optimize our collective supply chains to reduce total costs of ownership.</t>
  </si>
  <si>
    <t xml:space="preserve"> +1 901-818-7500</t>
  </si>
  <si>
    <t>20808285215</t>
  </si>
  <si>
    <t>FEMA Federal Emergency Management Agency</t>
  </si>
  <si>
    <t>fema.gov</t>
  </si>
  <si>
    <t>FEMA is a government agency that supports citizens and first responders during emergencies, providing disaster management and recovery services nationwide.</t>
  </si>
  <si>
    <t xml:space="preserve"> +1 800-745-0243</t>
  </si>
  <si>
    <t>ENTERPRISE ARCHITECTURE AND ENGINEERING TECHNOLOGY INNOVATION PROFESSIONAL SERVICES (TIPS)</t>
  </si>
  <si>
    <t>16786898437</t>
  </si>
  <si>
    <t>23457860646</t>
  </si>
  <si>
    <t>Fidelity International</t>
  </si>
  <si>
    <t>http://www.fidelityinternational.com</t>
  </si>
  <si>
    <t>Fidelity International offers investment solutions and retirement expertise to institutions, individuals, and their advisers globally, while also providing insights into economic trends and market dynamics.</t>
  </si>
  <si>
    <t xml:space="preserve"> +44 20 3986 2004</t>
  </si>
  <si>
    <t>20315408687</t>
  </si>
  <si>
    <t>Fidelity Investments</t>
  </si>
  <si>
    <t>http://www.fidelity.com</t>
  </si>
  <si>
    <t>At Fidelity we understand that embracing diverse ideas, creating diverse opportunities, and developing diverse partnerships will positively impact the communities in which we conduct business. Our supplier diversity program promotes the inclusion of diverse-owned businesses as an integral part of our supply chain and strategic sourcing initiatives.</t>
  </si>
  <si>
    <t xml:space="preserve"> +1 800-544-6666</t>
  </si>
  <si>
    <t>20157488651</t>
  </si>
  <si>
    <t>23443233904</t>
  </si>
  <si>
    <t>http://www.53.com</t>
  </si>
  <si>
    <t>Fifth Third Bancorp is a diversified financial services company operating through banking and non-banking subsidiaries in the Midwestern and Southeastern regions of the United States. With a focus on Commercial Banking, Branch Banking, Consumer Lending, and Wealth and Asset Management, Fifth Third offers a wide range of loan products, deposit services, and financial advisory solutions to its customers.</t>
  </si>
  <si>
    <t xml:space="preserve"> +1 513-579-5300</t>
  </si>
  <si>
    <t>23448996774</t>
  </si>
  <si>
    <t>FIL Limited</t>
  </si>
  <si>
    <t>fil.com</t>
  </si>
  <si>
    <t>Fidelity International is a company that provides investment management services including mutual funds, pension management and fund platforms to private and institutional investors.</t>
  </si>
  <si>
    <t>23464968362</t>
  </si>
  <si>
    <t>Finance House</t>
  </si>
  <si>
    <t>financehouse.ae</t>
  </si>
  <si>
    <t>Finance House is a leading financial institution in the UAE offering personal finance services, including credit card, Executive Finance and business finance services Licensed and regulated by the UAE Central Bank, Finance House offers a various financ...</t>
  </si>
  <si>
    <t>23436940660</t>
  </si>
  <si>
    <t>http://www.fh.ae</t>
  </si>
  <si>
    <t>Welcome to Finance House's official account. نرحب بكم في الحساب الرسمي لدار التمويل</t>
  </si>
  <si>
    <t>23454684513</t>
  </si>
  <si>
    <t>Finansbank As/Turkey</t>
  </si>
  <si>
    <t>finansbank.com.tr</t>
  </si>
  <si>
    <t>Finansbank is a Turkish bank that offers trade finance, corporate and commercial banking, treasury, retail banking, and credit card operations.</t>
  </si>
  <si>
    <t xml:space="preserve"> +90 212 318 5000</t>
  </si>
  <si>
    <t>20317516571</t>
  </si>
  <si>
    <t>Finkelstein &amp; Platt LLC</t>
  </si>
  <si>
    <t>23467077531</t>
  </si>
  <si>
    <t>Fintrax</t>
  </si>
  <si>
    <t>http://www.fintrax.com</t>
  </si>
  <si>
    <t>Exponent is a private equity firm based in London that seeks to identify untapped potential, navigate complexity, and nurture positive relationships in order to unlock meaningful growth for its portfolio companies and investors. With a focus on the Med...</t>
  </si>
  <si>
    <t>23454840400</t>
  </si>
  <si>
    <t>First Citizens Bank</t>
  </si>
  <si>
    <t>http://www.firstcitizens.com/</t>
  </si>
  <si>
    <t>First Citizens Bank offers a comprehensive suite of personal and commercial banking services, including checking and savings accounts, credit cards, loans, and investment products, aimed at meeting the diverse financial needs of individuals and businesses.</t>
  </si>
  <si>
    <t xml:space="preserve"> +1 919-716-7000</t>
  </si>
  <si>
    <t>23458026529</t>
  </si>
  <si>
    <t>First Financial Bank Texas</t>
  </si>
  <si>
    <t>https://ffin.com</t>
  </si>
  <si>
    <t>First Financial Bank, a trusted institution with over 130 years of experience, offers a unique blend of big bank benefits and community bank involvement. Providing banking, trust, wealth management, and more, First Financial prioritizes exceptional customer service and continuous growth.</t>
  </si>
  <si>
    <t xml:space="preserve"> +1 325-627-7167</t>
  </si>
  <si>
    <t>23439297389</t>
  </si>
  <si>
    <t>First Horizon Mortgage</t>
  </si>
  <si>
    <t>https://www.firsthorizon.com/Products-and-Services/Borrowing/Mortgage</t>
  </si>
  <si>
    <t>First Horizon Bank is a national corporation of regional banking, serving customers for over 150 years with a wide range of financial services. From personalized checking accounts to simplified mortgage loans, they offer solutions for all walks of life, dedicated to empowering clients to take charge of their financial well-being.</t>
  </si>
  <si>
    <t xml:space="preserve"> +1 901-818-6232</t>
  </si>
  <si>
    <t>23459259782</t>
  </si>
  <si>
    <t>First United Bank</t>
  </si>
  <si>
    <t>http://www.firstunitedbank.com</t>
  </si>
  <si>
    <t>First United Bank offers a wide range of financial services including personal banking, mortgages, loans, insurance, investments, and retirement planning, serving consumers and businesses in Oklahoma and Texas.</t>
  </si>
  <si>
    <t xml:space="preserve"> +1 580-924-2211</t>
  </si>
  <si>
    <t>23454211504</t>
  </si>
  <si>
    <t>FirstBank</t>
  </si>
  <si>
    <t>http://www.efirstbank.com</t>
  </si>
  <si>
    <t>FirstBank offers banking solutions for businesses and consumers including loans, mortgages, checking and savings accounts, online and mobile banking. With a commitment to superior customer service, convenience, and community investment, FirstBank has grown to become Colorado's second largest depository institution and the largest locally owned bank in the state, with over $27 billion in assets and more than 100 locations across Colorado, Arizona, and California.</t>
  </si>
  <si>
    <t xml:space="preserve"> +1 303-235-1332</t>
  </si>
  <si>
    <t>20316806280</t>
  </si>
  <si>
    <t>FirstEnergy</t>
  </si>
  <si>
    <t>firstenergycorp.com</t>
  </si>
  <si>
    <t>FirstEnergy Corp. (FE) is a
diversified energy company headquartered in Akron OH.  FirstEnergy's 10
electric distribution companies (Jersey Central Power &amp;amp; Light, Metropolitan
Edison, Monongahela Power, Pennsylvania Electric, Pennsylvania Power, Potomac
Edison, Ohio Edison, The Illuminating Company, Toledo Edison and West Penn
Power) comprise the nation's largest investor-owned electric system serving nearly
6M customers within 65,000 sq. miles (OH, PA, MD, NJ, NJ and WV).</t>
  </si>
  <si>
    <t xml:space="preserve"> +1 330-761-7837</t>
  </si>
  <si>
    <t>20157307744</t>
  </si>
  <si>
    <t>Fiserv</t>
  </si>
  <si>
    <t>www.fiserv.com</t>
  </si>
  <si>
    <t>Fiserv is a global fintech and payments company providing solutions for banking, global commerce, merchant acquiring, billing and payments, and point of sale. They offer technology solutions for financial institutions, large enterprises, small business...</t>
  </si>
  <si>
    <t>23461890946</t>
  </si>
  <si>
    <t>Fisher Investments</t>
  </si>
  <si>
    <t>fi.com</t>
  </si>
  <si>
    <t>Fisher Investments is an independent, fee-only investment adviser serving financially successful individuals and prominent institutions globally. The company was founded in 1979 and maintains four principal business units, which serve a global client base of diverse investors.</t>
  </si>
  <si>
    <t xml:space="preserve"> +1 888-291-0675</t>
  </si>
  <si>
    <t>23453926300</t>
  </si>
  <si>
    <t>https://www.fisherinvestments.com</t>
  </si>
  <si>
    <t>Fisher Investments, founded in 1979, is an independent global money management firm and investment adviser. With a focus on serving financially successful individuals and prominent institutions worldwide, Fisher Investments offers personalized wealth management and institutional investing services. The company differentiates itself through high-touch client service, global investing expertise, in-house research, and a commitment to investment education for employees and clients.</t>
  </si>
  <si>
    <t>21230648632</t>
  </si>
  <si>
    <t>Florida Department of Management Services</t>
  </si>
  <si>
    <t>dms.fl.gov</t>
  </si>
  <si>
    <t>Florida Health (fl.gov) is a government agency in Florida that focuses on promoting and protecting the health of all residents. They provide a wide range of health services, including public health programs, disease prevention, health education, and ac...</t>
  </si>
  <si>
    <t>Florida RFP for Management Consulting Services</t>
  </si>
  <si>
    <t>19833648407</t>
  </si>
  <si>
    <t>20806089297</t>
  </si>
  <si>
    <t>Florida Gaming Control Commission</t>
  </si>
  <si>
    <t>flgaming.gov</t>
  </si>
  <si>
    <t>The Florida Gaming Control Commission is a regulatory body responsible for overseeing all forms of gambling in the state, including pari-mutuel wagering, cardrooms, and slot machine facilities. They also have oversight of gaming compacts and ensure com...</t>
  </si>
  <si>
    <t xml:space="preserve">Florida Gaming Control Commission (ITSM) </t>
  </si>
  <si>
    <t>19363096078</t>
  </si>
  <si>
    <t>23459112034</t>
  </si>
  <si>
    <t>fnb-corp.com</t>
  </si>
  <si>
    <t>20159048480</t>
  </si>
  <si>
    <t>Fol &amp; Health</t>
  </si>
  <si>
    <t>20158978624</t>
  </si>
  <si>
    <t>Ford Supplier Diversity Development</t>
  </si>
  <si>
    <t>800) 727-7000.</t>
  </si>
  <si>
    <t>23439965738</t>
  </si>
  <si>
    <t>FrameTec</t>
  </si>
  <si>
    <t>https://www.frametec.com/</t>
  </si>
  <si>
    <t>22702888102</t>
  </si>
  <si>
    <t>frb.gov</t>
  </si>
  <si>
    <t>20317074222</t>
  </si>
  <si>
    <t>Freddie Mac</t>
  </si>
  <si>
    <t>http://www.freddiemac.com/</t>
  </si>
  <si>
    <t>At Freddie Mac, our goal is to embed diversity and inclusion into all our business practices. Supplier Diversity is a key pillar  and a competitive advantage  in helping us meet this goal. 
By integrating and aligning senior management's vision with daily practices, we are ensuring the company is effectively utilizing diverse talent both among its suppliers and within its employee base, while communicating goals and progress organization-wide to influence cultural change.
Additionally, we continue to strengthen our commitment to both supplier diversity and workforce diversity. The national recognition we continue to receive as a top company for our supplier and workforce diversity efforts encourages us to keep working on expanding our marketplace opportunities and building an inclusive workplace, carrying forth our corporate mission, and strengthening the programs that allow us to reach these goals.</t>
  </si>
  <si>
    <t xml:space="preserve"> +1 703-903-2000</t>
  </si>
  <si>
    <t>20158994319</t>
  </si>
  <si>
    <t>20317493392</t>
  </si>
  <si>
    <t>Frontier Communications</t>
  </si>
  <si>
    <t>23463129136</t>
  </si>
  <si>
    <t>Frost National Bank</t>
  </si>
  <si>
    <t>https://www.frostbank.com/</t>
  </si>
  <si>
    <t>Frost Bank offers banking, investments, and insurance services in Texas, prioritizing customer satisfaction through innovative technology and dedicated service.</t>
  </si>
  <si>
    <t xml:space="preserve"> +1 210-220-4011</t>
  </si>
  <si>
    <t>20156099644</t>
  </si>
  <si>
    <t>FTI Consulting</t>
  </si>
  <si>
    <t>23444320153</t>
  </si>
  <si>
    <t>GAM</t>
  </si>
  <si>
    <t>https://www.gooischeautomediair.nl</t>
  </si>
  <si>
    <t>GAM GOOISCHE AUTO MEDIAIR is your go-to place for every brand and model, new and slightly used! Sign up for our newsletter. Looking for a new car and the wow feeling of a good purchase? At Gooische Auto Mediair, you will find top-class cars and service...</t>
  </si>
  <si>
    <t>20157085362</t>
  </si>
  <si>
    <t>GE Aerospace</t>
  </si>
  <si>
    <t xml:space="preserve"> +1 (512) 452-8178</t>
  </si>
  <si>
    <t>20156051117</t>
  </si>
  <si>
    <t>GE Appliances</t>
  </si>
  <si>
    <t>23459105636</t>
  </si>
  <si>
    <t>GE Capital</t>
  </si>
  <si>
    <t>http://www.gecapital.com</t>
  </si>
  <si>
    <t>GE Capital is a financial services company aligned with GE's industrial businesses, offering cutting-edge financial solutions in aviation financing, healthcare financing, energy financing, and industrial financing. They aim to bridge the gap between industry and finance to drive progress and support the infrastructure that powers our world.</t>
  </si>
  <si>
    <t xml:space="preserve"> +1 617-443-3000</t>
  </si>
  <si>
    <t>20157117595</t>
  </si>
  <si>
    <t>GE Vernova</t>
  </si>
  <si>
    <t>23456408602</t>
  </si>
  <si>
    <t>GECAS</t>
  </si>
  <si>
    <t>gecas.com</t>
  </si>
  <si>
    <t>GECAS is a global leader in aviation leasing and financing, providing a diverse range of aircraft and financing solutions to customers worldwide.</t>
  </si>
  <si>
    <t>20158946426</t>
  </si>
  <si>
    <t>Geico</t>
  </si>
  <si>
    <t>(866) 760-4166</t>
  </si>
  <si>
    <t>20316930324</t>
  </si>
  <si>
    <t>Genentech</t>
  </si>
  <si>
    <t>gene.com</t>
  </si>
  <si>
    <t>Our mission is to cultivate as diverse a supplier pool as possible in order to maximize the quality and talent available to Genentech. To do so, we provide business enterprises - including but not limited to small, disadvantaged, veteran, disabled-veteran, hub zone and woman-owned companies - with the opportunities and information they need to do business with us.</t>
  </si>
  <si>
    <t xml:space="preserve"> +1 650-225-1000</t>
  </si>
  <si>
    <t>22248986114</t>
  </si>
  <si>
    <t>General Atomics</t>
  </si>
  <si>
    <t>20157117597</t>
  </si>
  <si>
    <t>General Dynamics</t>
  </si>
  <si>
    <t>21401220192</t>
  </si>
  <si>
    <t>General Dynamics Information Technology</t>
  </si>
  <si>
    <t>gdit.com</t>
  </si>
  <si>
    <t>General Dynamics Information Technology (GDIT) is a premier provider of consulting, technology, and mission services to government agencies, defense, and intelligence communities. With a team of 28,000 employees, GDIT delivers IT solutions and mission ...</t>
  </si>
  <si>
    <t xml:space="preserve"> +1 785-838-2281</t>
  </si>
  <si>
    <t>22248940341</t>
  </si>
  <si>
    <t>General Electric</t>
  </si>
  <si>
    <t>20159064860</t>
  </si>
  <si>
    <t>Electrical/Electronic Manufacturing</t>
  </si>
  <si>
    <t>17152009831</t>
  </si>
  <si>
    <t>ge.com</t>
  </si>
  <si>
    <t>GE rises to the challenge of building a world that works. Learn how our dedicated team, leading technology, and global reach and capabilities help the world work more efficiently, reliably, and safely.</t>
  </si>
  <si>
    <t>20315763636</t>
  </si>
  <si>
    <t>General Motors</t>
  </si>
  <si>
    <t>gmsupplierdiversity.com</t>
  </si>
  <si>
    <t>General Motors became the first automotive OEM to establish a formal supplier diversity program in 1968. Our mission then remains the same today–to develop a competitive and diverse supply base to work with General Motors to design, build, and sell the world's best vehicles.
We recognize the positive impact of diverse businesses, their contributions to their communities, and our products. As part of this program, GM currently works with over 200 certified minority and woman-owned businesses in the USA and Canada. Proving that continued investment breeds success, the GM Supplier of the Year Award has been won by a minority supplier every year since its inception in 1992.</t>
  </si>
  <si>
    <t>20159087282</t>
  </si>
  <si>
    <t>General Motors (GM) Supplier Diversity</t>
  </si>
  <si>
    <t>1 (800) 462-8782</t>
  </si>
  <si>
    <t>22494251060</t>
  </si>
  <si>
    <t>General Services Administration</t>
  </si>
  <si>
    <t>gsa.gov</t>
  </si>
  <si>
    <t>GSA is a government institution that provides real estate, acquisition, technology, and management services to ensure efficient government operations and cost savings for the American people.</t>
  </si>
  <si>
    <t xml:space="preserve"> +1 844-472-4111</t>
  </si>
  <si>
    <t>22702822459</t>
  </si>
  <si>
    <t>Geneva Software</t>
  </si>
  <si>
    <t>Small Business</t>
  </si>
  <si>
    <t>CMMI DEV/3, ISO 9001:2015 Recertification, CMMI for Development Model Version 2.0 Implementation Project</t>
  </si>
  <si>
    <t>Website Development, Maintenance, Programming, IT Services</t>
  </si>
  <si>
    <t>GSA Multiple Award Schedule (MAS)</t>
  </si>
  <si>
    <t>Department of State (DOS), BUREAU OF OVERSEAS BUILDING OPERATIONS (CODE OBO), BUREAU OF THE COMPTROLLER AND OF GLOBAL FINANCIAL SERVICES (CGFS), UNDER SECRETARY FOR MANAGEMENT, BUREAU OF ADMINISTRATION (A), and others</t>
  </si>
  <si>
    <t>genevasi.com</t>
  </si>
  <si>
    <t>Geneva Software, Inc. is a small business with over 25 years of exceptional past performance in federal agencies and the private sector. They provide innovative technology solutions with a focus on service and delivery excellence. As a Microsoft Partne...</t>
  </si>
  <si>
    <t>22391429697</t>
  </si>
  <si>
    <t>Ghostwerks LLC</t>
  </si>
  <si>
    <t>23457245362</t>
  </si>
  <si>
    <t>GIC</t>
  </si>
  <si>
    <t>http://www.gic.com.sg/</t>
  </si>
  <si>
    <t>Established in 1981, GIC (Government of Singapore Investment Corporation) is dedicated to managing Singapore's foreign reserves. With investments in over 40 countries, GIC aims to achieve long-term real returns to preserve and enhance the value of Singapore's reserves. The company offers a range of financial services including private equity, real estate, developed market equities, emerging market equities, and fixed income investments.</t>
  </si>
  <si>
    <t>20316948374</t>
  </si>
  <si>
    <t>Gilead</t>
  </si>
  <si>
    <t>gilead.com</t>
  </si>
  <si>
    <t>At Gilead, we’re committed to creating a healthier world for everyone – no matter the challenges ahead of us. For more than 30 years, we’ve pursued the impossible, chased it down, tackled it for answers and surrounded it for a way in. We have worked tirelessly to bring forward medicines for life-threatening diseases.Through bold and transformative science, we’re driving innovation that has the potential to become the next generation of life-changing medicines. Our ambition is evident in our mission. Because the impossible is not impossible. It’s what’s next.Mission:  To discover, develop and deliver innovative therapeutics for people with life-threatening diseases.Vision: To create a healthier world for all people.</t>
  </si>
  <si>
    <t xml:space="preserve"> +1 650-574-3000</t>
  </si>
  <si>
    <t>20158946428</t>
  </si>
  <si>
    <t>gillead.com</t>
  </si>
  <si>
    <t>1 650 574 3000</t>
  </si>
  <si>
    <t>22701073286</t>
  </si>
  <si>
    <t>Givebacks</t>
  </si>
  <si>
    <t>givebacks.com</t>
  </si>
  <si>
    <t>Givebacks is a purpose-driven commerce network that enables individuals to support causes through everyday purchases at over 25,000 stores, earning cashback for themselves and donating to 1M+ causes.</t>
  </si>
  <si>
    <t>23450384963</t>
  </si>
  <si>
    <t>Global Advisers</t>
  </si>
  <si>
    <t>https://globaladvisers.com/ceo/</t>
  </si>
  <si>
    <t>Global Advisers offers a wide range of financial products and services to a diversified client base that includes individuals, families, corporations, non profits, and small businesses. We strive to provide superior client service and support. We pay c...</t>
  </si>
  <si>
    <t>23436917319</t>
  </si>
  <si>
    <t>Goldman Sachs</t>
  </si>
  <si>
    <t>gs.com</t>
  </si>
  <si>
    <t>Goldman Sachs is an American multinational investment bank and financial services company founded in 1869. It is the second largest investment bank in the world by revenue, offering a wide range of financial services including investment banking, asset management, and commercial mortgage lending. The company is known for its involvement in initial public offerings, investments in startups, and its partnership with the World Economic Forum.</t>
  </si>
  <si>
    <t xml:space="preserve"> +1 212-934-3905</t>
  </si>
  <si>
    <t>20315933047</t>
  </si>
  <si>
    <t>http://www.goldmansachs.com</t>
  </si>
  <si>
    <t>Goldman Sachs is a leading global investment banking, securities, and investment management firm that offers a wide range of financial services to a diverse client base. With a focus on transforming insights into opportunities, the company operates in ...</t>
  </si>
  <si>
    <t xml:space="preserve"> +1 212-902-1000</t>
  </si>
  <si>
    <t>20316473237</t>
  </si>
  <si>
    <t>Google</t>
  </si>
  <si>
    <t>20157307739</t>
  </si>
  <si>
    <t>Registered</t>
  </si>
  <si>
    <t>22516393236</t>
  </si>
  <si>
    <t>GovEagle - AI Automation for RFPs</t>
  </si>
  <si>
    <t>goveagle.com</t>
  </si>
  <si>
    <t>Company helps with easily creating and writing RFP proposals.  Ingest and develop winning proposals using the AI proposal writing.  Connects to our sharepoint or internal sites to injest our capabilities and past performance.  Will protect our data so it does not train other chatGPT like AI tools.  They are FedRamp Compliant and protects our data from leaking and being exposed to others.</t>
  </si>
  <si>
    <t>20752734029</t>
  </si>
  <si>
    <t>Govt Contractor</t>
  </si>
  <si>
    <t>22702875303</t>
  </si>
  <si>
    <t>Gresham Partners</t>
  </si>
  <si>
    <t>gresham.com</t>
  </si>
  <si>
    <t>20157314743</t>
  </si>
  <si>
    <t>Groundswell</t>
  </si>
  <si>
    <t xml:space="preserve"> +1 703-639-1777</t>
  </si>
  <si>
    <t>16628779917</t>
  </si>
  <si>
    <t>gswell.com</t>
  </si>
  <si>
    <t>Groundswell, previously CollabraLink Technologies LLC, is a premier technology integrator resolutely committed to solving the most complex challenges facing federal agencies today. Groundswell specializes in Appian, SAP and other digital transformation support services.</t>
  </si>
  <si>
    <t>Groundswell - U.S. Army - Agile Transformation with SAP s4hana Implementation</t>
  </si>
  <si>
    <t>14518897786</t>
  </si>
  <si>
    <t>23461576788</t>
  </si>
  <si>
    <t>Groupe BPCE</t>
  </si>
  <si>
    <t>natixis.com</t>
  </si>
  <si>
    <t>Groupe BPCE is a leading banking and insurance group in France, offering a comprehensive range of financial services through its major brands Banque Populaire, Caisse d'Epargne, and Natixis. With 117,000 employees serving 36 million customers, the grou...</t>
  </si>
  <si>
    <t xml:space="preserve"> +33 1 58 40 69 30</t>
  </si>
  <si>
    <t>20157307741</t>
  </si>
  <si>
    <t>GSK</t>
  </si>
  <si>
    <t>1 (800) 245-1040</t>
  </si>
  <si>
    <t>20159050862</t>
  </si>
  <si>
    <t>Guardian</t>
  </si>
  <si>
    <t>23459888221</t>
  </si>
  <si>
    <t>Guggenheim Partners</t>
  </si>
  <si>
    <t>https://www.guggenheimpartners.com</t>
  </si>
  <si>
    <t>Guggenheim Partners is a global investment and advisory firm that specializes in providing innovative investment solutions and financial advisory services, managing over $320 billion in assets.</t>
  </si>
  <si>
    <t xml:space="preserve"> +1 312-827-0109</t>
  </si>
  <si>
    <t>20316795765</t>
  </si>
  <si>
    <t>Guggenheim Partners, LLC</t>
  </si>
  <si>
    <t>20316906408</t>
  </si>
  <si>
    <t>H&amp;M</t>
  </si>
  <si>
    <t>20317024770</t>
  </si>
  <si>
    <t>Haleon</t>
  </si>
  <si>
    <t>haleon.com</t>
  </si>
  <si>
    <t>Haleon is a world-leading consumer health company dedicated to delivering better everyday health with humanity. Their leading brands, built on science, innovation, and human understanding, are trusted by millions globally, offering a strong portfolio o...</t>
  </si>
  <si>
    <t>22703009346</t>
  </si>
  <si>
    <t>HASENFELD-STEIN</t>
  </si>
  <si>
    <t>stein.com</t>
  </si>
  <si>
    <t>HASENFELD-STEIN is a leading provider of innovative software solutions for businesses. With a focus on delivering cutting-edge technology, HASENFELD-STEIN offers a wide range of products and services to help companies streamline their operations and im...</t>
  </si>
  <si>
    <t>20317493397</t>
  </si>
  <si>
    <t>HBO</t>
  </si>
  <si>
    <t>twsupplierdiversity.com</t>
  </si>
  <si>
    <t>Time Warner’s Supplier Diversity Development policy is to identify and actively develop diverse businesses, including vendors, contractors and consultants, as sources for purchasing goods and services. Employees involved in the selection, evaluation an...</t>
  </si>
  <si>
    <t>23440744996</t>
  </si>
  <si>
    <t>HDFC Limited</t>
  </si>
  <si>
    <t>http://www.hdfc.com</t>
  </si>
  <si>
    <t>HDFC Bank Ltd. is a leading housing finance company in India, offering a wide range of loan products including Home Loans, Home Improvement Loans, Loan Against Property, and more. Additionally, HDFC provides insurance products, asset management, mutual funds, and property-related services. With a strong focus on customer service and digital banking, HDFC Bank has established itself as a premier financial institution in India, known for its innovative products and extensive branch network.</t>
  </si>
  <si>
    <t xml:space="preserve"> +91 92892 00017</t>
  </si>
  <si>
    <t>20316962867</t>
  </si>
  <si>
    <t>Health Care Service Corporation</t>
  </si>
  <si>
    <t>hcsc.com</t>
  </si>
  <si>
    <t>At Health Care Service Corporation (HCSC), our mission is to maximize procurement opportunities for minority-owned, women-owned and other diverse businesses by proactively seeking qualified suppliers, building sound partnerships with and competitively purchasing from diverse suppliers.</t>
  </si>
  <si>
    <t xml:space="preserve"> +1 575-748-4555</t>
  </si>
  <si>
    <t>20155935754</t>
  </si>
  <si>
    <t>www.healthcarousel.com</t>
  </si>
  <si>
    <t>Health Carousel is a total talent management company that provides healthcare staffing and workforce management solutions. They offer a range of services including travel nursing, international healthcare staffing, locum tenens, and workforce solutions...</t>
  </si>
  <si>
    <t xml:space="preserve"> +1 513-665-4544</t>
  </si>
  <si>
    <t>20157438876</t>
  </si>
  <si>
    <t>Hewlett Packard (HP)</t>
  </si>
  <si>
    <t>www.hp.com</t>
  </si>
  <si>
    <t>HP Inc. is a multinational IT corporation that provides a wide range of products, technologies, software, solutions, and services to individual consumers, small and medium-sized businesses, and enterprises. Their offerings include personal computing de...</t>
  </si>
  <si>
    <t xml:space="preserve"> +1 650-857-1501</t>
  </si>
  <si>
    <t>20158954242</t>
  </si>
  <si>
    <t>HHS.gov</t>
  </si>
  <si>
    <t>3015942680</t>
  </si>
  <si>
    <t>SERVICENOW PROFESSIONAL SERVICES IDIQ</t>
  </si>
  <si>
    <t>16786996482</t>
  </si>
  <si>
    <t>16052274207</t>
  </si>
  <si>
    <t>fda.hhs.gov</t>
  </si>
  <si>
    <t>The U.S. Department of Health and Human Services (HHS) protects the health of all Americans and provides essential human services, especially for those least able to help themselves.</t>
  </si>
  <si>
    <t>20317175472</t>
  </si>
  <si>
    <t>Highmark Health</t>
  </si>
  <si>
    <t>22146012474</t>
  </si>
  <si>
    <t>HII</t>
  </si>
  <si>
    <t>hii.com</t>
  </si>
  <si>
    <t>HII is an all domain defense and technologies partner, recognized worldwide as America’s largest shipbuilder. HII is a driving force behind the protection of computer systems, networks and platforms, with offensive and defensive cyber capabilities. Wit...</t>
  </si>
  <si>
    <t>20159073166</t>
  </si>
  <si>
    <t>Hill Knowltin Strategies</t>
  </si>
  <si>
    <t>Public Relations and Communications</t>
  </si>
  <si>
    <t xml:space="preserve"> +1 724-325-7060</t>
  </si>
  <si>
    <t>20317417803</t>
  </si>
  <si>
    <t>Hilton</t>
  </si>
  <si>
    <t>hilton.com</t>
  </si>
  <si>
    <t>The Hilton Worldwide vision is to create supplier relationships that reflect the cultural diversity of local communities. Our commitment is rooted in the belief that relationships with new and diverse suppliers will establish our leadership role in the global marketplace and creates a multitude of benefits for our customers, team members, and stakeholders.</t>
  </si>
  <si>
    <t xml:space="preserve"> +1 703-883-1000</t>
  </si>
  <si>
    <t>20159015317</t>
  </si>
  <si>
    <t>23457414666</t>
  </si>
  <si>
    <t>HJ Sims</t>
  </si>
  <si>
    <t>http://www.hjsims.com</t>
  </si>
  <si>
    <t>HJ Sims provides custom investment solutions and wealth management services to individuals, organizations, and municipalities, leveraging its extensive experience in investment banking and institutional services since 1935.</t>
  </si>
  <si>
    <t xml:space="preserve"> +1 203-418-9000</t>
  </si>
  <si>
    <t>20157166463</t>
  </si>
  <si>
    <t>Honeywell</t>
  </si>
  <si>
    <t>ISO Certified ? DDTC Certified ? ITAR Certified? AS9100 Certified ?</t>
  </si>
  <si>
    <t>23449008767</t>
  </si>
  <si>
    <t>HSBC</t>
  </si>
  <si>
    <t>http://www.hsbc.com</t>
  </si>
  <si>
    <t>HSBC is a leading global banking and financial services institution that provides a wide range of personal and investment banking solutions, including a close-ended unit trust fund aimed at achieving long-term capital growth through diverse financial instruments.</t>
  </si>
  <si>
    <t xml:space="preserve"> +44 20 7991 3048</t>
  </si>
  <si>
    <t>20157085361</t>
  </si>
  <si>
    <t>20264981632</t>
  </si>
  <si>
    <t>hubspot.com</t>
  </si>
  <si>
    <t>HubSpot offers a comprehensive cloud-based marketing and sales platform with integrated applications for attracting, converting, and delighting customers through inbound marketing strategies.</t>
  </si>
  <si>
    <t xml:space="preserve"> +1 888-482-7768</t>
  </si>
  <si>
    <t>20159015314</t>
  </si>
  <si>
    <t>Humana Inc.</t>
  </si>
  <si>
    <t>877-877-1051</t>
  </si>
  <si>
    <t>20317433509</t>
  </si>
  <si>
    <t>Humana, Inc.</t>
  </si>
  <si>
    <t>humana.com</t>
  </si>
  <si>
    <t>To obtain a diverse supplier base reflective of the overall customers, associates, and communities we serve by identifying procurement opportunities and maximizing participation of approved suppliers, including Minority-Owned Enterprises (MOEs), Woman-Owned Enterprises (WOEs), and Small Business Enterprises (SBEs), Lesbian, Gay, Bisexual, Trans-gender (LGBT), and Disability-Owned Business Enterprises (DOBE), founded on the principles of fair and equitable business practices and social responsibility.</t>
  </si>
  <si>
    <t xml:space="preserve"> +1 502-580-1000</t>
  </si>
  <si>
    <t>23134160707</t>
  </si>
  <si>
    <t>HumanIT Solutions</t>
  </si>
  <si>
    <t>http://www.humanit.us</t>
  </si>
  <si>
    <t>HumanIT is a veteran-owned IT company offering innovative solutions and consulting services across the IT spectrum.</t>
  </si>
  <si>
    <t xml:space="preserve"> +1 937-901-7576</t>
  </si>
  <si>
    <t>20317074220</t>
  </si>
  <si>
    <t>Huntington Bancshares Incorporated</t>
  </si>
  <si>
    <t>huntington.com</t>
  </si>
  <si>
    <t>Huntington Bank offers online banking, mortgage, investing, loans, credit cards, and a full suite of financial services with $179 billion in assets and over 1,000 branches in 11 states.</t>
  </si>
  <si>
    <t xml:space="preserve"> +1 614-480-2265</t>
  </si>
  <si>
    <t>23443375439</t>
  </si>
  <si>
    <t>IA groupe financier</t>
  </si>
  <si>
    <t>https://ia.ca</t>
  </si>
  <si>
    <t>iA Groupe financier offers a wide range of financial services tailored to the needs of individuals and businesses, including insurance, savings, retirement, and loans. As the fourth-largest life insurance company in Canada, Industrielle Alliance leads a significant financial group with operations in both Canada and the United States. Founded in 1892, Industrielle Alliance provides a diverse array of life and health insurance, savings and retirement plans, mutual funds, securities, auto and home insurance, mortgage loans, and other individual and group financial products and services.</t>
  </si>
  <si>
    <t xml:space="preserve"> +1 800 463 6236</t>
  </si>
  <si>
    <t>22702783822</t>
  </si>
  <si>
    <t>IAMUS</t>
  </si>
  <si>
    <t>Women Owned, Small Business (WOSB)</t>
  </si>
  <si>
    <t>ISO 9001, ISO 27001, ISO/IEC 20000-1</t>
  </si>
  <si>
    <t>Cybersecurity Services, Software and Systems Engineering, Security Engineering, IT Services</t>
  </si>
  <si>
    <t>Seaport NxG for Specialized Support Services, GSA IT Schedule 70 HACS SINs for Comprehensive Cybersecurity Services</t>
  </si>
  <si>
    <t>USCYBERCOMMAND, USARMYCYBER, USAIRFORCECYBER, USMARFORCYBER, USCB (2020 Decennial Census)</t>
  </si>
  <si>
    <t>iamusconsulting.com</t>
  </si>
  <si>
    <t>IAMUS Consulting, Inc. is a company that specializes in advanced cyber operations and custom IT solutions. They focus on ensuring mission success for federal and civilian agencies through robust cyber defense. Their team of cybersecurity analysts provi...</t>
  </si>
  <si>
    <t>20159050860</t>
  </si>
  <si>
    <t>ibm.com</t>
  </si>
  <si>
    <t>IBM is a global technology innovator that specializes in AI, automation, and hybrid cloud solutions, providing businesses with advanced IT technology and consulting services to enhance their growth and operational efficiency.</t>
  </si>
  <si>
    <t xml:space="preserve"> +1 914-499-1900</t>
  </si>
  <si>
    <t>23464967089</t>
  </si>
  <si>
    <t>ICAP</t>
  </si>
  <si>
    <t>icap.com</t>
  </si>
  <si>
    <t>ICAP is a world-leading intermediary in wholesale financial, energy, and commodities markets. The company facilitates and executes trades for top financial institutions, combining expert brokers with advanced technology to provide price discovery, liquidity, and privacy across various asset classes. ICAP also offers trade execution platforms and risk solutions to global financial markets through its Electronic Markets, Post Trade Risk and Information, and Global Broking segments.</t>
  </si>
  <si>
    <t xml:space="preserve"> +44 20 7000 5000</t>
  </si>
  <si>
    <t>23453933365</t>
  </si>
  <si>
    <t>http://www.tpicap.com/icap</t>
  </si>
  <si>
    <t>TP ICAP Group plc specializes in providing liquidity and data solutions that enhance price discovery and distribution across global wholesale markets, including financial, energy, and commodities sectors.</t>
  </si>
  <si>
    <t>23461426208</t>
  </si>
  <si>
    <t>iCapital</t>
  </si>
  <si>
    <t>http://www.icapital.com</t>
  </si>
  <si>
    <t>iCapital provides a digital platform that enables qualified investors and their advisors to access a diverse range of private equity strategies, facilitating the investment process in alternative assets through streamlined management capabilities and integration with existing financial systems.</t>
  </si>
  <si>
    <t xml:space="preserve"> +1 212-994-7344</t>
  </si>
  <si>
    <t>22702956950</t>
  </si>
  <si>
    <t>ICF</t>
  </si>
  <si>
    <t>icf.com</t>
  </si>
  <si>
    <t>ICF provides strategic consulting and technology solutions, specializing in data-driven insights and implementation expertise to help clients across various industries, including health, energy, and transportation, address complex challenges and achiev...</t>
  </si>
  <si>
    <t xml:space="preserve"> +1 703-934-3000</t>
  </si>
  <si>
    <t>23429007697</t>
  </si>
  <si>
    <t>icould</t>
  </si>
  <si>
    <t>icould.com</t>
  </si>
  <si>
    <t>icould provides career inspiration and guidance through real-life career videos, advice, and information aimed at helping individuals explore potential career paths and make informed decisions about their professional futures.</t>
  </si>
  <si>
    <t>20172284987</t>
  </si>
  <si>
    <t>ID.me</t>
  </si>
  <si>
    <t>id.me</t>
  </si>
  <si>
    <t>ID.me is a digital identity network that simplifies online identity verification and authentication for individuals, government agencies, and retailers, ensuring secure and reliable access to benefits and services.</t>
  </si>
  <si>
    <t xml:space="preserve"> +1 615-293-4702</t>
  </si>
  <si>
    <t>23462972420</t>
  </si>
  <si>
    <t>IFC - International Finance Corporation</t>
  </si>
  <si>
    <t>http://www.ifc.org</t>
  </si>
  <si>
    <t>IFC, a member of the World Bank Group, unlocks private investment, creates markets, and advances economic development in developing countries.</t>
  </si>
  <si>
    <t>22703020954</t>
  </si>
  <si>
    <t>iGrafx</t>
  </si>
  <si>
    <t>igrafx.com</t>
  </si>
  <si>
    <t>iGrafx is a global leader in Business Process Management (BPM) solutions, offering software and services that help organizations optimize their processes and achieve operational excellence. With over 20 years of experience, iGrafx empowers companies to...</t>
  </si>
  <si>
    <t xml:space="preserve"> +1 503-404-6038</t>
  </si>
  <si>
    <t>23134179980</t>
  </si>
  <si>
    <t>Illumination Works</t>
  </si>
  <si>
    <t>http://www.illuminationworksllc.com</t>
  </si>
  <si>
    <t>Illumination Works is a technology solutions provider that specializes in analytics and integration. They offer a wide range of services including big data information frameworks, data science, data visualization, and application/cloud development, all...</t>
  </si>
  <si>
    <t>23455671054</t>
  </si>
  <si>
    <t>imageworkstbm.com</t>
  </si>
  <si>
    <t>22417168012</t>
  </si>
  <si>
    <t>Improve Group</t>
  </si>
  <si>
    <t>improvegroup.net</t>
  </si>
  <si>
    <t>Improve Group is a construction innovator that specializes in technology-enabled agile construction and facility modernization. They focus on enhancing mission effectiveness by creating spaces that align with the needs of organizations. With millions o...</t>
  </si>
  <si>
    <t>20316563613</t>
  </si>
  <si>
    <t>Included Health</t>
  </si>
  <si>
    <t>includedhealth.com</t>
  </si>
  <si>
    <t>Included Health is a new kind of healthcare company, delivering integrated virtual care and navigation. We’re on a mission to raise the standard of healthcare for everyone. We are the only complete, connected healthcare delivery platform designed to support the unique care experience of each person. We offer our members care guidance, advocacy, and access to personalized virtual and in-person care for everyday and urgent care, primary care, behavioral health, and specialty care. It’s all included. Learn more at includedhealth.com</t>
  </si>
  <si>
    <t xml:space="preserve"> +1 855-431-5533</t>
  </si>
  <si>
    <t>20159081602</t>
  </si>
  <si>
    <t>(855) 431-5533</t>
  </si>
  <si>
    <t>20998463784</t>
  </si>
  <si>
    <t>Indian Health Service</t>
  </si>
  <si>
    <t>ihs.gov</t>
  </si>
  <si>
    <t>Indian Health Service (IHS) is a federal agency providing comprehensive health services to American Indians and Alaska Natives, aiming to raise their health to the highest level. IHS offers career opportunities for health professionals and prioritizes ...</t>
  </si>
  <si>
    <t xml:space="preserve"> +1 301-443-3593</t>
  </si>
  <si>
    <t>Indian Health Service (IHS) Health Information Technology (IT) Modernization</t>
  </si>
  <si>
    <t>19594651053</t>
  </si>
  <si>
    <t>23447770207</t>
  </si>
  <si>
    <t>ING</t>
  </si>
  <si>
    <t>ing.com</t>
  </si>
  <si>
    <t>ING is a global financial institution of Dutch origin offering banking, investments, life insurance, and retirement services. With a strong European base, ING provides retail and commercial banking services to individuals, families, small businesses, large corporations, institutions, and governments in over 40 countries. Known for its strong brand, omnichannel distribution strategy, and international network, ING is a leader in sustainable banking practices and digital innovation, empowering people and businesses to realize their vision for a better future.</t>
  </si>
  <si>
    <t xml:space="preserve"> +31 20 563 9111</t>
  </si>
  <si>
    <t>20157245768</t>
  </si>
  <si>
    <t>Ingredion</t>
  </si>
  <si>
    <t>20157406484</t>
  </si>
  <si>
    <t>INSCOM</t>
  </si>
  <si>
    <t>19792352311</t>
  </si>
  <si>
    <t>ARMY CLOUD ADOPTION TECHNOLOGY SUPPORT NATIONAL GROUND INTELLIGENCE CENTER</t>
  </si>
  <si>
    <t>18269006225</t>
  </si>
  <si>
    <t>22702951227</t>
  </si>
  <si>
    <t>INSICLOUD</t>
  </si>
  <si>
    <t>insicloud.com</t>
  </si>
  <si>
    <t>Beyond solutions, Create Ideas, Bringing value. Every business potential presents great challenges and the solution lies in the constant quest to innovate something better. As a high-end IT solution and service developer, we analyze and understand your...</t>
  </si>
  <si>
    <t>20316973753</t>
  </si>
  <si>
    <t>Insight</t>
  </si>
  <si>
    <t>insight.com</t>
  </si>
  <si>
    <t>IT Solutions Provider (professional, managed, consulting services and HW/SW product provider)</t>
  </si>
  <si>
    <t xml:space="preserve"> +1 480-889-9500</t>
  </si>
  <si>
    <t>20157149820</t>
  </si>
  <si>
    <t>22391520159</t>
  </si>
  <si>
    <t>Insight Global</t>
  </si>
  <si>
    <t>22391520158</t>
  </si>
  <si>
    <t>20317516573</t>
  </si>
  <si>
    <t>Inspired results Plat Circle</t>
  </si>
  <si>
    <t>22391513932</t>
  </si>
  <si>
    <t>Integrated Data Services</t>
  </si>
  <si>
    <t>20317124689</t>
  </si>
  <si>
    <t>Integrity Staffing Solutions</t>
  </si>
  <si>
    <t>integritystaffing.com</t>
  </si>
  <si>
    <t>Staffing and Recruiting</t>
  </si>
  <si>
    <t>Provides recruitment and job placement services for temporary, temporary-to-hire and direct hire positions from light industrial work to banking.</t>
  </si>
  <si>
    <t>3026618776</t>
  </si>
  <si>
    <t>20317493388</t>
  </si>
  <si>
    <t>Intel Corporation</t>
  </si>
  <si>
    <t>20157422970</t>
  </si>
  <si>
    <t>Printing</t>
  </si>
  <si>
    <t>20752942611</t>
  </si>
  <si>
    <t>Interior Business Center, Department of the Interior</t>
  </si>
  <si>
    <t>20808285581</t>
  </si>
  <si>
    <t>Internal Revenue Service</t>
  </si>
  <si>
    <t>GovWin Federal Tracked Opp 245270: DIGITALIZATION TRANSFORMATION DT INTEGRATION AND INNOVATION SUPPORT;SERVICENOW SOFTWARE SUBSCRIPTION AND SUPPORT SERVICES;IRS Technical Integration Support for Modernized Return and Account Services (MRAS)</t>
  </si>
  <si>
    <t>21942254228;16786899524;21828249173</t>
  </si>
  <si>
    <t>22702934067</t>
  </si>
  <si>
    <t>International Trade Administration</t>
  </si>
  <si>
    <t>trade.gov</t>
  </si>
  <si>
    <t>International Trade Administration enhances the competitiveness of U.S. industries by promoting trade and investment, enforcing trade laws, and providing export promotion services to help American organizations thrive in the global market.</t>
  </si>
  <si>
    <t xml:space="preserve"> +1 202-482-8121</t>
  </si>
  <si>
    <t>23454687601</t>
  </si>
  <si>
    <t>Interpublic Group of Companies</t>
  </si>
  <si>
    <t>interpublic.com</t>
  </si>
  <si>
    <t>Interpublic Group is a global leader in advertising and marketing services, offering a wide range of customized solutions that encompass consumer advertising, digital marketing, communications planning, media buying, and public relations through its diverse network of specialized agencies.</t>
  </si>
  <si>
    <t xml:space="preserve"> +1 212-704-1200</t>
  </si>
  <si>
    <t>20156120247</t>
  </si>
  <si>
    <t>Intuit</t>
  </si>
  <si>
    <t>www.intuit.com</t>
  </si>
  <si>
    <t>Intuit is a global technology platform that provides business and financial management solutions for small businesses, consumers, and accounting professionals. With products like TurboTax, QuickBooks, Credit Karma, and Mailchimp, Intuit aims to empower...</t>
  </si>
  <si>
    <t>22702869070</t>
  </si>
  <si>
    <t>Intuitive Design Group</t>
  </si>
  <si>
    <t>intuitivedesign.com</t>
  </si>
  <si>
    <t>Intuitive Design Group is an advanced UX research and design company that specializes in user experience. They offer a range of services including persona development, task analysis and journey maps, viability matrix, knowledge design, conversion rate ...</t>
  </si>
  <si>
    <t xml:space="preserve"> +1 719-229-4031</t>
  </si>
  <si>
    <t>23440277010</t>
  </si>
  <si>
    <t>Invesco US</t>
  </si>
  <si>
    <t>http://www.invesco.com/us</t>
  </si>
  <si>
    <t>Invesco is an independent investment management firm that provides a diverse range of investment solutions and technology platforms to help clients, including retail and institutional investors, achieve their financial objectives across various asset classes globally.</t>
  </si>
  <si>
    <t xml:space="preserve"> +1 404-892-0896</t>
  </si>
  <si>
    <t>23462816271</t>
  </si>
  <si>
    <t>invest.com</t>
  </si>
  <si>
    <t>Invest.com simplifies online trading with platforms like Simple™ for beginners and Pro for experienced traders. They offer fast, reliable tools and alternative investment strategies to diversify portfolios, all while being licensed and regulated by CySec.</t>
  </si>
  <si>
    <t>23449479432</t>
  </si>
  <si>
    <t>InvestCloud, Inc.</t>
  </si>
  <si>
    <t>http://www.investcloud.com</t>
  </si>
  <si>
    <t>InvestCloud is a digital platform revolutionizing the financial industry with scalable technology for modern digital experiences.</t>
  </si>
  <si>
    <t xml:space="preserve"> +1 310-385-7394</t>
  </si>
  <si>
    <t>23463979393</t>
  </si>
  <si>
    <t>Investec</t>
  </si>
  <si>
    <t>https://link.investec.com/ni93mz</t>
  </si>
  <si>
    <t>Investec is an international specialist banking group and asset manager offering a diverse range of financial products and services to niche clients globally.</t>
  </si>
  <si>
    <t>23452371897</t>
  </si>
  <si>
    <t>Investment Planning Counsel</t>
  </si>
  <si>
    <t>http://www.ipcc.ca</t>
  </si>
  <si>
    <t>Investment Planning Counsel (IPC) is a leading independent wealth management company. We support over 700 advisors who manage more than $30 billion in investments for over 200,000 Canadians. Our advisors help investors live their dreams through sound f...</t>
  </si>
  <si>
    <t>23452386965</t>
  </si>
  <si>
    <t>Investors Group</t>
  </si>
  <si>
    <t>investorsgroup.com</t>
  </si>
  <si>
    <t>Investors Group Inc. is a Canadian leader in personal financial planning, offering a unique family of mutual funds and a comprehensive range of investment products and services to help Canadians plan for financial security.</t>
  </si>
  <si>
    <t>23443699623</t>
  </si>
  <si>
    <t>https://www.ig.com.kw/</t>
  </si>
  <si>
    <t>Investors Group (ig.com.kw) is a leading real estate company that specializes in providing a wide range of real estate services. With a strong focus on customer satisfaction, Investors Group offers services such as property management, property sales a...</t>
  </si>
  <si>
    <t>20157273858</t>
  </si>
  <si>
    <t>Isos Technology</t>
  </si>
  <si>
    <t xml:space="preserve"> +1 480-366-5784</t>
  </si>
  <si>
    <t>17151714474</t>
  </si>
  <si>
    <t>isostech.com</t>
  </si>
  <si>
    <t>Simplify your Development with Atlassian Enterprise Solution Partners - Jira Software and Confluence Consultants - Isos Technology.</t>
  </si>
  <si>
    <t>20316962870</t>
  </si>
  <si>
    <t>Issuer Direct</t>
  </si>
  <si>
    <t>23446372173</t>
  </si>
  <si>
    <t>Itaú Private Bank</t>
  </si>
  <si>
    <t>https://www.itau.com.br/private-bank/</t>
  </si>
  <si>
    <t>Itaú Unibanco, the largest bank in Latin America, empowers transformation through a range of banking services like Itaú Uniclass, Personnalité, Private Bank, and Empresas.</t>
  </si>
  <si>
    <t xml:space="preserve"> +55 11 5019-1723</t>
  </si>
  <si>
    <t>23133759862</t>
  </si>
  <si>
    <t>J.P. Morgan &amp; Co.</t>
  </si>
  <si>
    <t>http://www.jpmorgan.com</t>
  </si>
  <si>
    <t>J.P. Morgan &amp; Co. specializes in providing investment solutions through a diversified portfolio focused on maximizing returns from emerging markets, primarily by investing in quoted and unquoted securities across various sectors and countries.</t>
  </si>
  <si>
    <t xml:space="preserve"> +1 212-270-6000</t>
  </si>
  <si>
    <t>23467700021</t>
  </si>
  <si>
    <t>Jackson</t>
  </si>
  <si>
    <t>https://www.jackson.com</t>
  </si>
  <si>
    <t>Jackson is a top provider of annuity products and financial services, committed to simplifying retirement planning and promoting financial literacy.</t>
  </si>
  <si>
    <t xml:space="preserve"> +1 517-381-5500</t>
  </si>
  <si>
    <t>23452898069</t>
  </si>
  <si>
    <t>Jackson Hewitt Tax Service Inc.</t>
  </si>
  <si>
    <t>http://www.jacksonhewitt.com</t>
  </si>
  <si>
    <t>Jackson Hewitt is a top provider of tax preparation services, dedicated to maximizing refunds and ensuring accuracy for clients. Their innovative approach makes taxes less taxing.</t>
  </si>
  <si>
    <t xml:space="preserve"> +1 941-378-7117</t>
  </si>
  <si>
    <t>23449459855</t>
  </si>
  <si>
    <t>Jackson Hewitt Tax Service,</t>
  </si>
  <si>
    <t>jtax.com</t>
  </si>
  <si>
    <t>Jackson Hewitt Tax Service Inc. The headquarters is located in Jersey City, New Jersey.</t>
  </si>
  <si>
    <t>20158946427</t>
  </si>
  <si>
    <t>Jacobs</t>
  </si>
  <si>
    <t xml:space="preserve"> +1 214-583-8500</t>
  </si>
  <si>
    <t>17152545113</t>
  </si>
  <si>
    <t>jacobs.com</t>
  </si>
  <si>
    <t>Jacobs Engineering Group Inc. is a civil engineering company that provides technical, professional and construction services. They also offers interior, construction management, scientific research and testing, architecture, engineering, and operations and maintenance services.</t>
  </si>
  <si>
    <t>23462046642</t>
  </si>
  <si>
    <t>jhancock.com</t>
  </si>
  <si>
    <t>John Hancock is a leading provider of investment banking services.</t>
  </si>
  <si>
    <t>20157354584</t>
  </si>
  <si>
    <t>JLL</t>
  </si>
  <si>
    <t>1-800-996-7566</t>
  </si>
  <si>
    <t>20157294852</t>
  </si>
  <si>
    <t>John Deere</t>
  </si>
  <si>
    <t>Machinery</t>
  </si>
  <si>
    <t xml:space="preserve"> +1 309-765-8000</t>
  </si>
  <si>
    <t>20317146937</t>
  </si>
  <si>
    <t>John Hancock</t>
  </si>
  <si>
    <t>johnhancock.com</t>
  </si>
  <si>
    <t>At John Hancock, we place importance on finding business partners who share our commitment to excellence, and believe that supplier diversity can positively impact the future of our workplace, the future of our business partners, and the future of the communities where we do business.</t>
  </si>
  <si>
    <t xml:space="preserve"> +1 617-572-4493</t>
  </si>
  <si>
    <t>23457574712</t>
  </si>
  <si>
    <t>John Hancock Financial Services</t>
  </si>
  <si>
    <t>http://manulifeillustrator.com</t>
  </si>
  <si>
    <t>20315570826</t>
  </si>
  <si>
    <t>Johnson &amp; Johnson</t>
  </si>
  <si>
    <t>cvmas15.cvmsolutions.com</t>
  </si>
  <si>
    <t>At Johnson &amp;amp; Johnson, we recognize the importance of having a diverse supplier base that reflects our patients and customers around the world. We are committed to working with small and diverse suppliers that can support our long-term growth objectives and add value to our businesses by providing innovative solutions to our marketing, manufacturing and R&amp;amp;D efforts.</t>
  </si>
  <si>
    <t>20159081604</t>
  </si>
  <si>
    <t>Other sites might use Supplier one registration</t>
  </si>
  <si>
    <t>20316914479</t>
  </si>
  <si>
    <t>Johnson Controls Inc</t>
  </si>
  <si>
    <t>johnsoncontrols.com</t>
  </si>
  <si>
    <t>Johnson Controls is a global diversified technology and multi industrial leader serving a wide range of customers in more than 150 countries. Our 120,000 employees create intelligent buildings, efficient energy solutions, integrated infrastructure and ...</t>
  </si>
  <si>
    <t>20157294854</t>
  </si>
  <si>
    <t>Johnson Controls Supplier Diversity</t>
  </si>
  <si>
    <t>23444009024</t>
  </si>
  <si>
    <t>Johnson Financial Group</t>
  </si>
  <si>
    <t>http://www.johnsonfinancialgroup.com</t>
  </si>
  <si>
    <t>Johnson Financial Group is a privately held financial company offering banking, wealth, and insurance services with a strong focus on ethics, customer care, and community impact.</t>
  </si>
  <si>
    <t xml:space="preserve"> +1 262-619-2272</t>
  </si>
  <si>
    <t>23461731681</t>
  </si>
  <si>
    <t>Johnson Financial Group,</t>
  </si>
  <si>
    <t>johnsonbank.com</t>
  </si>
  <si>
    <t>Johnson Bank is a full-service financial institution that provides a range of products and services to help individuals, families, and businesses achieve their financial goals. Our offerings include personal and business banking, home and auto loans, i...</t>
  </si>
  <si>
    <t>20316955721</t>
  </si>
  <si>
    <t>Jones Lang LaSalle</t>
  </si>
  <si>
    <t>us.jll.com</t>
  </si>
  <si>
    <t>Our firm is committed to integrating qualified and certified diverse suppliers into the provisioning of services for its clients. Our mission is to advance JLLs capabilities and impact through developing collaborative business opportunities, while increasing the networking of qualified diverse suppliers. This approach ultimately enhances JLLs value proposition, such that JLL will be better positioned to exceed our customer needs.</t>
  </si>
  <si>
    <t xml:space="preserve"> +1 312-782-5800</t>
  </si>
  <si>
    <t>20159050864</t>
  </si>
  <si>
    <t>JP Morgan Chase</t>
  </si>
  <si>
    <t>20316921919</t>
  </si>
  <si>
    <t>http://www.jpmorganchase.com</t>
  </si>
  <si>
    <t>Our Supplier Diversity Network is comprised of certified diverse businesses that have registered in our system. The Network is the preferred resource used to select diverse suppliers to compete for contracting opportunities. 
As bidding opportunities arise, the Corporate Supplier Diversity team, working with sourcing and procurement professionals, actively utilize this database to screen diverse suppliers against industry--specific criteria for the opportunity at-hand. To receive maximum consideration for these opportunities, you should be diligent in maintaining a current and accurate listing in the system, keeping key--contact and email addresses current.</t>
  </si>
  <si>
    <t>23440275641</t>
  </si>
  <si>
    <t>JPMorgan Chase &amp; Co.</t>
  </si>
  <si>
    <t>jpmchase.com</t>
  </si>
  <si>
    <t>JPMorgan Chase &amp; Co. is an American multinational investment bank and financial services holding company headquartered in New York City and incorporated in Delaware.</t>
  </si>
  <si>
    <t>20316887712</t>
  </si>
  <si>
    <t>JURISolutions Legal</t>
  </si>
  <si>
    <t>jurisolutions.com</t>
  </si>
  <si>
    <t>JURISolutions Legal (JSL) is a national, award-winning legal services and recruitment firm providing innovative, cost-effective legal solutions to government entities, corporations and law firms.  Since 1997, we have provided our customers with access to top legal talent across the country and we specialize in designing customized legal solutions specific to our customers’ needs.  We can provide our customers with access to experienced legal resources in a flexible project/temporary capacity, on a secondment or contract basis, or as permanent, full-time members of the customer’s team. 
In 2009, JURISolutions expanded beyond the commercial and law firm space and added service offerings specifically tailored for state and federal government agencies. Today, the company holds government contracts for institutional support, legal and litigation support, and executive search services.  JURISolutions (dba JuriStaff) is also the proud holder of two GSA schedules and is one of the largest WOSB and WBENC certified legal services firms in the country.</t>
  </si>
  <si>
    <t xml:space="preserve"> +1 215-383-3502</t>
  </si>
  <si>
    <t>20315737463</t>
  </si>
  <si>
    <t>Kaiser Permanente</t>
  </si>
  <si>
    <t>kp.org</t>
  </si>
  <si>
    <t>Kaiser Permanente is committed to supporting diversity in all areas of our organization including our membership, employment, and community support and business relationships. One aspect of this effort is to provide small, minority, women, and veteran-owned business equal opportunity to participate in our contracting and subcontracting activities.</t>
  </si>
  <si>
    <t xml:space="preserve"> +1 510-271-5940</t>
  </si>
  <si>
    <t>18346611230</t>
  </si>
  <si>
    <t>Karrikins Group</t>
  </si>
  <si>
    <t>Not Available</t>
  </si>
  <si>
    <t>Business Alignment, Growth Strategies, Leadership Development</t>
  </si>
  <si>
    <t>Commercial Focused - Larry and Mike to have a brass tax conversation with them to get down to real business.</t>
  </si>
  <si>
    <t>karrikinsgroup.com</t>
  </si>
  <si>
    <t>We are a global behavior change firm that works with senior leaders to accelerate transformation and growth without the associated chaos.</t>
  </si>
  <si>
    <t xml:space="preserve"> +1 720-399-6973</t>
  </si>
  <si>
    <t>20317146938</t>
  </si>
  <si>
    <t>Kellanova</t>
  </si>
  <si>
    <t>kellanova.com</t>
  </si>
  <si>
    <t>Kellanova works to conduct business with diverse suppliers who represent our consumers and the communities where we live and work, while also ensuring our customers, employees and supplier partners benefit from our partnerships.To do so, we rely on hundreds of incredible certified diverse ingredient, packaging, indirect services and co-manufacturing suppliers from around the world. These suppliers include Aboriginal-; disability-; lesbian, gay, bisexual, transgender and queer+-; minority-; veteran and service-disabled veteran-; and woman owned businesses.﻿</t>
  </si>
  <si>
    <t>20159012990</t>
  </si>
  <si>
    <t>Kellanova (Formerly Kellogg)</t>
  </si>
  <si>
    <t>(877) 453-5837</t>
  </si>
  <si>
    <t>20316496907</t>
  </si>
  <si>
    <t>Kelley Drye &amp; Warren LLP</t>
  </si>
  <si>
    <t>20157334165</t>
  </si>
  <si>
    <t>Kellogg Company</t>
  </si>
  <si>
    <t>22702974777</t>
  </si>
  <si>
    <t>KEMNA BAU Andreae GmbH &amp; Co. KG</t>
  </si>
  <si>
    <t>kemna.de</t>
  </si>
  <si>
    <t>KEMNA BAU Andreae GmbH &amp; Co. KG is a renowned company in the construction and building materials industry. With a history dating back to 1867, KEMNA has established itself as a leader in the production of high-quality building materials and the constru...</t>
  </si>
  <si>
    <t>23462664626</t>
  </si>
  <si>
    <t>kewnet.com</t>
  </si>
  <si>
    <t>20316795767</t>
  </si>
  <si>
    <t>KeyBank</t>
  </si>
  <si>
    <t>20315570829</t>
  </si>
  <si>
    <t>Kia Motors North America Inc</t>
  </si>
  <si>
    <t>20317105953</t>
  </si>
  <si>
    <t>Kimberly-Clark Corporation</t>
  </si>
  <si>
    <t>kimberly-clark.com</t>
  </si>
  <si>
    <t>Paper &amp; Forest Products</t>
  </si>
  <si>
    <t>To identify our most valuable suppliers, we recognize those who receive annual performance evaluation scores exceeding an agreed-upon threshold. We award those suppliers who have gone "above and beyond" and are clearly distinguishable from other capable suppliers.</t>
  </si>
  <si>
    <t xml:space="preserve"> +1 972-281-1200</t>
  </si>
  <si>
    <t>20317153864</t>
  </si>
  <si>
    <t>Kindred Healthcare</t>
  </si>
  <si>
    <t>20486358821</t>
  </si>
  <si>
    <t>Kion</t>
  </si>
  <si>
    <t>Kion.io</t>
  </si>
  <si>
    <t>Kion is a cloud enablement solution designed to help organizations simplify management and governance activities to realize the full benefits of the cloud. Wherever you are on your cloud journey, Kion empowers organizations to go farther, faster. Kion ...</t>
  </si>
  <si>
    <t>22702904971</t>
  </si>
  <si>
    <t>Klai BCN</t>
  </si>
  <si>
    <t>klai.es</t>
  </si>
  <si>
    <t>Klai is a user experience consultancy whose main objective is to connect companies with the expectations and needs of users. We specialize in finding and solving usability problems on websites, apps, and intranets. Our goal is to transform visits into ...</t>
  </si>
  <si>
    <t>20315570824</t>
  </si>
  <si>
    <t>Kohl's</t>
  </si>
  <si>
    <t>corporate.kohls.com</t>
  </si>
  <si>
    <t>Business Supplies and Equipment</t>
  </si>
  <si>
    <t>Kohl's is a family-oriented department store that offers a wide range of products including apparel, footwear, accessories, home goods, toys, and electronics. With a focus on customer satisfaction, Kohl's provides hassle-free returns and a variety of s...</t>
  </si>
  <si>
    <t xml:space="preserve"> +1 262-703-7000</t>
  </si>
  <si>
    <t>20159118372</t>
  </si>
  <si>
    <t xml:space="preserve"> +1 919-659-2100</t>
  </si>
  <si>
    <t>20317168190</t>
  </si>
  <si>
    <t>Kohler Co.</t>
  </si>
  <si>
    <t>kohlercompany.com</t>
  </si>
  <si>
    <t>Building Materials</t>
  </si>
  <si>
    <t>Kohler Co. is a dynamic and purpose-driven company that has been in operation since 1873. With a strong foundation of honest and fair behavior, the company focuses on leaving the world a better place. Kohler manufactures smart kitchen and bath products...</t>
  </si>
  <si>
    <t>23446512406</t>
  </si>
  <si>
    <t>KPMG US</t>
  </si>
  <si>
    <t>http://www.kpmg.com/US</t>
  </si>
  <si>
    <t>KPMG is a global network of professional firms that provides comprehensive audit, tax, and advisory services, helping organizations navigate complex business challenges and emerging trends across various industries.</t>
  </si>
  <si>
    <t>20159064855</t>
  </si>
  <si>
    <t>Kundryl</t>
  </si>
  <si>
    <t>Used Online Contact Form</t>
  </si>
  <si>
    <t>20317417381</t>
  </si>
  <si>
    <t>L Brands</t>
  </si>
  <si>
    <t>procurement.limitedbrands.com</t>
  </si>
  <si>
    <t>Building and nurturing a strong commitment to the communities where we live and work has always been important to L Brands.  In 2003, we launched our supplier diversity initiative that is guided by our values inclusion makes us stronger and it matters how we play the game.
Partnering with diverse businesses is important to our success and to our role as a leader in the retail industry. The supplier diversity initiative enables L Brands to have access to the best vendors in each sourcing category. Thus, we seek relationships with suppliers that mirror our values by ensuring diversity in their supply base. The mutually beneficial business will broaden the economic vitality and prosperity of the communities we serve, create value for our shareholders and provide fresh perspective and innovative solutions to our business.</t>
  </si>
  <si>
    <t xml:space="preserve"> +1 925-734-0733</t>
  </si>
  <si>
    <t>20157431612</t>
  </si>
  <si>
    <t xml:space="preserve"> +1 321-727-9100</t>
  </si>
  <si>
    <t>22249056011</t>
  </si>
  <si>
    <t>www.l3harris.com</t>
  </si>
  <si>
    <t>L3Harris Technologies is an agile global aerospace and defense technology innovator, delivering end-to-end solutions that meet customers’ mission-critical needs. The company provides advanced defense and commercial technologies across space, air, land,...</t>
  </si>
  <si>
    <t>20315980913</t>
  </si>
  <si>
    <t>LabCorp</t>
  </si>
  <si>
    <t>20316841524</t>
  </si>
  <si>
    <t>Land O'Lakes</t>
  </si>
  <si>
    <t>23457879170</t>
  </si>
  <si>
    <t>Lazard</t>
  </si>
  <si>
    <t>http://www.lazard.com</t>
  </si>
  <si>
    <t>Lazard is a globally renowned financial advisory and asset management firm, founded in 1848. With a focus on providing sophisticated advice and tailored investment solutions, Lazard serves a diverse range of clients worldwide, including corporations, governments, institutions, and individuals. The company operates through two main segments: Financial Advisory and Asset Management, offering services such as mergers and acquisitions, restructuring, capital raising, and investment management in various strategies. Lazard's commitment to excellence, integrity, and innovation underscores its mission to exceed client expectations and deliver top-tier financial services across multiple continents.</t>
  </si>
  <si>
    <t xml:space="preserve"> +1 441 295 1422</t>
  </si>
  <si>
    <t>22702618143</t>
  </si>
  <si>
    <t>Lean Scaled Architects</t>
  </si>
  <si>
    <t>leanscaledarchitects.com</t>
  </si>
  <si>
    <t>Lean Scaled Architects (LSA) is a company that specializes in digital transformation services. They offer a range of services including IT service management, Agile enterprise architecture, and Lean portfolio management. LSA helps organizations optimiz...</t>
  </si>
  <si>
    <t>23468471122</t>
  </si>
  <si>
    <t>LEARNING DIRECT UK CIC</t>
  </si>
  <si>
    <t>http://www.cic.fr</t>
  </si>
  <si>
    <t>Credit Industriel et Commercial SA is a France based holding company that specializes in the provision of retail banking, corporate banking, private banking, capital development, and insurance services. The Company federates several regional banks, operating a network of branches across France and internationally. CIC is the fourth largest banking group in France, serving 2.7 million retail clients and a significant number of self-employed professionals and companies.</t>
  </si>
  <si>
    <t xml:space="preserve"> +33 1 53 48 26 00</t>
  </si>
  <si>
    <t>23439989398</t>
  </si>
  <si>
    <t>Legal &amp; General</t>
  </si>
  <si>
    <t>https://group.legalandgeneral.com/en</t>
  </si>
  <si>
    <t>Legal &amp; General, established in 1836, is a top UK financial services provider offering life insurance, pensions, investments, and retirement plans to over nine million customers, promoting financial security and a positive future.</t>
  </si>
  <si>
    <t xml:space="preserve"> +44 20 3124 2000</t>
  </si>
  <si>
    <t>23461275009</t>
  </si>
  <si>
    <t>Legal &amp; General Group plc</t>
  </si>
  <si>
    <t>landg.com</t>
  </si>
  <si>
    <t>Legal &amp; General Group plc is a British multinational financial services and asset management company that provides investment management, lifetime mortgages, pensions, annuities, and life assurance.</t>
  </si>
  <si>
    <t>23459259298</t>
  </si>
  <si>
    <t>Lehman Brothers</t>
  </si>
  <si>
    <t>http://www.lehman.com</t>
  </si>
  <si>
    <t>Lehman Brothers is a global financial services firm headquartered in New York City. It was founded in 1850 and went bankrupt in 2008. Lehman Brothers Holdings Inc. (/ˈliːmən/ LEE mən) was a global financial services firm founded in 1847. Before filing ...</t>
  </si>
  <si>
    <t xml:space="preserve"> +1 646-285-9237</t>
  </si>
  <si>
    <t>20316841522</t>
  </si>
  <si>
    <t>Leidos, Inc.</t>
  </si>
  <si>
    <t>leidos.com</t>
  </si>
  <si>
    <t>Leidos is a global leader in innovative solutions through IT, engineering, and science, addressing challenges in national security, health, and infrastructure. With 43,000 employees supporting vital missions, Leidos makes the world safer, healthier, an...</t>
  </si>
  <si>
    <t xml:space="preserve"> +1 571-526-6000</t>
  </si>
  <si>
    <t>23459883844</t>
  </si>
  <si>
    <t>LendingClub</t>
  </si>
  <si>
    <t>http://www.lendingclub.com</t>
  </si>
  <si>
    <t>LendingClub is America's largest online marketplace connecting borrowers and investors, offering personal and business loans through a seamless online platform.</t>
  </si>
  <si>
    <t xml:space="preserve"> +1 415-632-5600</t>
  </si>
  <si>
    <t>23458647360</t>
  </si>
  <si>
    <t>LendingTree</t>
  </si>
  <si>
    <t>http://www.lendingtree.com</t>
  </si>
  <si>
    <t>LendingTree is the go-to online marketplace for competitive loan offers and credit solutions, providing consumers with a variety of financial options from a large network of lenders.</t>
  </si>
  <si>
    <t xml:space="preserve"> +1 704-541-5351</t>
  </si>
  <si>
    <t>22703050362</t>
  </si>
  <si>
    <t>libertymutual.com</t>
  </si>
  <si>
    <t>Liberty Mutual is a trusted insurance company with over 100 years of experience, offering customized insurance quotes for auto, home, renters, and more. They help individuals, families, and businesses preserve and protect what they cherish, providing a...</t>
  </si>
  <si>
    <t xml:space="preserve"> +1 617-357-9500</t>
  </si>
  <si>
    <t>20316473233</t>
  </si>
  <si>
    <t>libertymutualgroup.com</t>
  </si>
  <si>
    <t>As a growing international company, Liberty Mutual Insurance serves customers from different cultures and backgrounds.  To succeed in this global environment, our workforce, vendors and business partners must reflect the communities in which we live and work.
Mutual Success Through Diversity
With that goal in mind, we actively support minority-owned business enterprises (MBEs).  By doing so, we contribute to the overall economic success of the communities we serve and the expansion of our markets.  In fact, whether we purchase direct from MBEs, or MBEs subcontract with our primary vendors, we all win.
Our Supplier Diversity Program supports this commitment with three objectives:
Identify qualified minority-owned businesses
Provide opportunities to compete for our corporate purchases
Promote the development and growth of minority enterprises</t>
  </si>
  <si>
    <t>20159048481</t>
  </si>
  <si>
    <t>Liberty Mutual Insurance</t>
  </si>
  <si>
    <t>1 (800) 290-8711</t>
  </si>
  <si>
    <t>20157173847</t>
  </si>
  <si>
    <t>Linde</t>
  </si>
  <si>
    <t xml:space="preserve"> +44 1483 242200</t>
  </si>
  <si>
    <t>23457857831</t>
  </si>
  <si>
    <t>linfomax.com</t>
  </si>
  <si>
    <t>23463974175</t>
  </si>
  <si>
    <t>LMCU</t>
  </si>
  <si>
    <t>http://www.lmcu.org</t>
  </si>
  <si>
    <t>Lake Michigan Credit Union (LMCU) offers a comprehensive range of financial services, including savings and checking programs, debit cards, online services, mortgages, auto loans, investment services, retirement planning, and insurance products. With great rates and low fees, LMCU is the go-to destination for all your banking and financial needs. Federally insured by the NCUA, LMCU is dedicated to providing top-notch services to its customers.</t>
  </si>
  <si>
    <t>22391508307</t>
  </si>
  <si>
    <t>www.lmi.org</t>
  </si>
  <si>
    <t>LMI is a consultancy dedicated to powering a future-ready, high-performing government. With expertise in digital and analytic solutions, logistics, and management advisory services, LMI delivers integrated capabilities tailored to customers' unique mis...</t>
  </si>
  <si>
    <t xml:space="preserve"> +1 703-917-9800</t>
  </si>
  <si>
    <t>21945763989</t>
  </si>
  <si>
    <t>lmi.org</t>
  </si>
  <si>
    <t>22247676324</t>
  </si>
  <si>
    <t>20317212503</t>
  </si>
  <si>
    <t>lockheedmartin.com</t>
  </si>
  <si>
    <t>Lockheed Martin is a leading global security and aerospace company providing advanced technology systems and services for defense and space sectors.</t>
  </si>
  <si>
    <t xml:space="preserve"> +1 301-897-6000</t>
  </si>
  <si>
    <t>Lockheed Martin - CMMI</t>
  </si>
  <si>
    <t>15468057110</t>
  </si>
  <si>
    <t>20157431611</t>
  </si>
  <si>
    <t>20158962327</t>
  </si>
  <si>
    <t>Logitech</t>
  </si>
  <si>
    <t>20316753169</t>
  </si>
  <si>
    <t>Logitech Inc</t>
  </si>
  <si>
    <t>logitech.com</t>
  </si>
  <si>
    <t>Wholesale</t>
  </si>
  <si>
    <t>Logitech is a global leader in connecting people to the digital world through a diverse range of computer peripherals, gaming gear, and entertainment products.</t>
  </si>
  <si>
    <t>20752614487</t>
  </si>
  <si>
    <t>Lone Star College System</t>
  </si>
  <si>
    <t>lonestar.edu</t>
  </si>
  <si>
    <t>Lone Star College offers over 200 programs, including university transfer, job training, and online degrees, to promote student success and economic prosperity in the Houston area.</t>
  </si>
  <si>
    <t xml:space="preserve"> +1 832-813-6500</t>
  </si>
  <si>
    <t>20316871257</t>
  </si>
  <si>
    <t>Lowe's</t>
  </si>
  <si>
    <t>corporate.lowes.com</t>
  </si>
  <si>
    <t>Lowe’s is a leading home improvement retailer dedicated to inspiring creativity and community spirit. With a wide range of products including appliances, tools, furniture, and more, Lowe’s offers top-notch customer service to help you manage your home ...</t>
  </si>
  <si>
    <t xml:space="preserve"> +1 704-758-1000</t>
  </si>
  <si>
    <t>20156051120</t>
  </si>
  <si>
    <t>Lowe’s Companies, Inc.</t>
  </si>
  <si>
    <t>Supplier gateway - maybe Ernest and young ?</t>
  </si>
  <si>
    <t>20317004828</t>
  </si>
  <si>
    <t>Lowenstein Sandler LLP</t>
  </si>
  <si>
    <t>lowenstein.com</t>
  </si>
  <si>
    <t>Nat'l Legal Partnership</t>
  </si>
  <si>
    <t xml:space="preserve"> +1 973-597-2500</t>
  </si>
  <si>
    <t>20317153858</t>
  </si>
  <si>
    <t>LPL Financial</t>
  </si>
  <si>
    <t>lpl.com</t>
  </si>
  <si>
    <t>LPL Financial offers innovative tools, market insights, and personalized solutions as a partner for financial advisors nationwide.</t>
  </si>
  <si>
    <t xml:space="preserve"> +1 800-877-7210</t>
  </si>
  <si>
    <t>22702795080</t>
  </si>
  <si>
    <t>lsadigital.com</t>
  </si>
  <si>
    <t>https://lsadigital.com</t>
  </si>
  <si>
    <t>23439991381</t>
  </si>
  <si>
    <t>LSEG (London Stock Exchange Group)</t>
  </si>
  <si>
    <t>http://www.lseg.com</t>
  </si>
  <si>
    <t>London Stock Exchange Group provides essential financial markets infrastructure and data services, facilitating innovation, capital raising, and risk management for clients globally while supporting the stability and growth of the financial system.</t>
  </si>
  <si>
    <t>23458014281</t>
  </si>
  <si>
    <t>http://www.mtb.com</t>
  </si>
  <si>
    <t>M&amp;T Bank provides a comprehensive suite of personal and business banking services, including mortgage, loan, and investment solutions, all delivered with a community-focused approach to help clients achieve their financial goals.</t>
  </si>
  <si>
    <t xml:space="preserve"> +1 716-842-5390</t>
  </si>
  <si>
    <t>23133968694</t>
  </si>
  <si>
    <t>Macalogic</t>
  </si>
  <si>
    <t>http://www.macalogic.com/</t>
  </si>
  <si>
    <t>Macalogic is a dynamic and growing company with broad competencies based on over a decade of experience working in the federal arena. We provide IT technical, program management, and business consulting services to customers in the Government and Comme...</t>
  </si>
  <si>
    <t xml:space="preserve"> +1 937-426-2596</t>
  </si>
  <si>
    <t>23454209944</t>
  </si>
  <si>
    <t>Macquarie Group</t>
  </si>
  <si>
    <t>https://www.macquarie.com</t>
  </si>
  <si>
    <t>Macquarie Group is a diversified financial group that provides a wide range of services including asset management, banking, advisory, and risk solutions, with a strong focus on sectors such as infrastructure, energy, and technology.</t>
  </si>
  <si>
    <t>20159111275</t>
  </si>
  <si>
    <t>Macy’s</t>
  </si>
  <si>
    <t>This has a questionnaire towards the bottom which requires very strategic and specific questions to be answered</t>
  </si>
  <si>
    <t>20317417378</t>
  </si>
  <si>
    <t>Macy's Corp</t>
  </si>
  <si>
    <t>macys.com</t>
  </si>
  <si>
    <t>Macy's is the Great American Department Store, offering a wide selection of quality fashion and home products both in-store and online at macys.com. With over 800 stores nationwide, Macy's provides a unique shopping experience tailored to each customer...</t>
  </si>
  <si>
    <t xml:space="preserve"> +1 513-579-7585</t>
  </si>
  <si>
    <t>20317105951</t>
  </si>
  <si>
    <t>Magna</t>
  </si>
  <si>
    <t>magna.com</t>
  </si>
  <si>
    <t>Mechanical or Industrial Engineering</t>
  </si>
  <si>
    <t>Our innovation and manufacturing expertise comes from a complete understanding of the vehicle. We offer modular solutions for every system and part, as well as full-vehicle assembly. Whatever our customers' needs and goals, Magna is an innovation partner that moves them there. Fast.</t>
  </si>
  <si>
    <t xml:space="preserve"> +1 905 726 7027</t>
  </si>
  <si>
    <t>23237706323</t>
  </si>
  <si>
    <t>mail.mil</t>
  </si>
  <si>
    <t>20316973825</t>
  </si>
  <si>
    <t>Major League Baseball</t>
  </si>
  <si>
    <t>mlb.mlb.com</t>
  </si>
  <si>
    <t>Sports</t>
  </si>
  <si>
    <t>MLB.com is the official site of Major League Baseball, offering a comprehensive coverage of audio and video clips, interviews, statistics, schedules, and exclusive stories. It provides MLB.TV for news, schedules, standings, and statistics, along with i...</t>
  </si>
  <si>
    <t xml:space="preserve"> +1 201-520-6275</t>
  </si>
  <si>
    <t>23133985316</t>
  </si>
  <si>
    <t>Makai</t>
  </si>
  <si>
    <t>https://www.makaidefense.com</t>
  </si>
  <si>
    <t>Makai is a company committed to providing exceptional services to government and commercial customers. They specialize in systems engineering and integration, managed network services, data management and cloud migration, application development and De...</t>
  </si>
  <si>
    <t>22703098404</t>
  </si>
  <si>
    <t>Makwa Global</t>
  </si>
  <si>
    <t>makwaglobal.com</t>
  </si>
  <si>
    <t>Makwa Global is a Tribal Enterprise (TE) owned by the Mille Lacs Band of Ojibwe, offering a new approach to Tribal Enterprise capabilities for governments and corporate partners. Makwa Global provides a diverse set of capabilities and experience across...</t>
  </si>
  <si>
    <t>20317105954</t>
  </si>
  <si>
    <t>Mallinckrodt Pharmaceuticals</t>
  </si>
  <si>
    <t>23466045222</t>
  </si>
  <si>
    <t>Man Group</t>
  </si>
  <si>
    <t>http://www.man.com</t>
  </si>
  <si>
    <t>Man Group specializes in alternative investment management, leveraging technology to provide active investment strategies aimed at delivering performance and tailored solutions for clients.</t>
  </si>
  <si>
    <t>20317024772</t>
  </si>
  <si>
    <t>ManpowerGroup Inc.</t>
  </si>
  <si>
    <t>manpowergroup.com</t>
  </si>
  <si>
    <t>ManpowerGroup is a world leader in innovative workforce solutions. Every day, we connect more than 600,000 people to meaningful work across a wide range of skills and industries helping to power the success of clients around the world.</t>
  </si>
  <si>
    <t xml:space="preserve"> +1 414-961-1000</t>
  </si>
  <si>
    <t>22702983055</t>
  </si>
  <si>
    <t>marathonpetroleum.com</t>
  </si>
  <si>
    <t>Marathon Petroleum Corporation (MPC) is a top U.S. petroleum company with a vast refining, marketing, and transportation network. Known for Marathon and Speedway brands, MPC also owns MPLX LP for midstream operations.</t>
  </si>
  <si>
    <t xml:space="preserve"> +1 419-421-2159</t>
  </si>
  <si>
    <t>20317417804</t>
  </si>
  <si>
    <t>23444009047</t>
  </si>
  <si>
    <t>Marqeta</t>
  </si>
  <si>
    <t>http://www.marqeta.com</t>
  </si>
  <si>
    <t>Marqeta is a pioneer in modern card issuing and payment solutions, offering businesses instant card issuance and payment processing through their innovative open API platform.</t>
  </si>
  <si>
    <t xml:space="preserve"> +1 877-962-7738</t>
  </si>
  <si>
    <t>20157413934</t>
  </si>
  <si>
    <t>www.marriott.com</t>
  </si>
  <si>
    <t>Our relationships with thousands of minority-, woman-, service veteran-, disabled-, and LGBT-owned businesses around the globe continue to grow and strengthen.
Over the last decade, Marriott has spent nearly $5 billion with diverse suppliers.
Marriott is an active corporate member of multinational organizations that support the development of diverse and historically excluded suppliers, such as the National Minority Supplier Development Council, and The Women's Business Enterprise National Council.Please take the time to add your company to our diverse supplier portal.</t>
  </si>
  <si>
    <t xml:space="preserve"> +1 301-380-3000</t>
  </si>
  <si>
    <t>20159015316</t>
  </si>
  <si>
    <t>Mars - Tomorrow Starts today</t>
  </si>
  <si>
    <t>20316779858</t>
  </si>
  <si>
    <t>Marsh &amp; McLennan Companies, Inc.</t>
  </si>
  <si>
    <t>mmc.com</t>
  </si>
  <si>
    <t>At Marsh &amp;amp; McLennan Companies, we recognize that by partnering with diverse suppliers, we can create more value for our colleagues, our clients, and the communities we serve.
Marsh &amp;amp; McLennan Companies actively encourages and assists diverse suppliers who are interested in competing for opportunities to supply products and services to Marsh &amp;amp; McLennan Companies and its Operating Companies.</t>
  </si>
  <si>
    <t xml:space="preserve"> +1 866-374-2662</t>
  </si>
  <si>
    <t>23440896131</t>
  </si>
  <si>
    <t>Marsh McLennan</t>
  </si>
  <si>
    <t>https://www.marshmclennan.com/</t>
  </si>
  <si>
    <t>Marsh &amp; McLennan is a leading professional services firm that specializes in risk management, strategic consulting, and human resources, leveraging the expertise of its four global businesses to enhance organizational success and societal resilience.</t>
  </si>
  <si>
    <t xml:space="preserve"> +1 212-345-5000</t>
  </si>
  <si>
    <t>20157472132</t>
  </si>
  <si>
    <t>MarshMcLennan</t>
  </si>
  <si>
    <t>1 212 345 5000</t>
  </si>
  <si>
    <t>20159064856</t>
  </si>
  <si>
    <t>Masco</t>
  </si>
  <si>
    <t>23448287598</t>
  </si>
  <si>
    <t>MassMutual</t>
  </si>
  <si>
    <t>https://www.massmutual.com</t>
  </si>
  <si>
    <t>MassMutual is a leading mutual life insurance company that provides financial services, insurance, retirement plans, 401k, life insurance, and financial planning.</t>
  </si>
  <si>
    <t xml:space="preserve"> +1 888-769-0609</t>
  </si>
  <si>
    <t>20316473234</t>
  </si>
  <si>
    <t>20317493395</t>
  </si>
  <si>
    <t>Mastercard</t>
  </si>
  <si>
    <t>mastercard.us</t>
  </si>
  <si>
    <t>Mastercard is a global technology company in the payments industry. They connect and power an inclusive, digital economy that benefits people, businesses, and governments worldwide by making transactions safe, simple, and accessible. With their family ...</t>
  </si>
  <si>
    <t xml:space="preserve"> +1 914-249-2000</t>
  </si>
  <si>
    <t>20156059949</t>
  </si>
  <si>
    <t>MatchGroup</t>
  </si>
  <si>
    <t>(800) 926-2824</t>
  </si>
  <si>
    <t>22703016092</t>
  </si>
  <si>
    <t>Matlock &amp; Associates</t>
  </si>
  <si>
    <t>matlockllc.com</t>
  </si>
  <si>
    <t>Matlock is an advanced integrated intelligence engineering, procurement, construction, logistics, project management, and manufacturing company based in Maryland. They specialize in providing comprehensive support to U.S. government missions and partne...</t>
  </si>
  <si>
    <t>23447284565</t>
  </si>
  <si>
    <t>McAdam Financial</t>
  </si>
  <si>
    <t>http://www.mcadamfa.com</t>
  </si>
  <si>
    <t>McAdam Financial is a leading financial services company dedicated to helping clients achieve financial success through their innovative Advanced Advisory Model™. By focusing on the influence of profession on finances, McAdam goes beyond traditional advice to provide a comprehensive approach to wealth management. With a large network of advisors and integrated services, McAdam aims to elevate your financial future to a whole new level.</t>
  </si>
  <si>
    <t xml:space="preserve"> +1 888-227-7162</t>
  </si>
  <si>
    <t>23459103844</t>
  </si>
  <si>
    <t>McDonald's</t>
  </si>
  <si>
    <t>us.mcd.com</t>
  </si>
  <si>
    <t>McDonald's is a global fast-food chain known for its iconic burgers, fries, and beverages. The company offers a wide range of affordable and convenient food options, including breakfast items, salads, and desserts. With a focus on quality, consistency, and customer satisfaction, McDonald's aims to provide delicious meals and a welcoming dining experience to customers around the world.</t>
  </si>
  <si>
    <t>20158986045</t>
  </si>
  <si>
    <t>20317203856</t>
  </si>
  <si>
    <t>McGraw Hill</t>
  </si>
  <si>
    <t>mheducation.com</t>
  </si>
  <si>
    <t>McGraw Hill is the leading education partner for millions of educators, learners, and professionals worldwide. They believe in the uniqueness of each teaching and learning journey, offering a wide range of products and services to personalize, engage, ...</t>
  </si>
  <si>
    <t xml:space="preserve"> +1 646-766-2025</t>
  </si>
  <si>
    <t>20159048478</t>
  </si>
  <si>
    <t>McKesson</t>
  </si>
  <si>
    <t>415-983-8300</t>
  </si>
  <si>
    <t>20316722982</t>
  </si>
  <si>
    <t>McKinsey &amp; Company</t>
  </si>
  <si>
    <t>mckinsey.com</t>
  </si>
  <si>
    <t>McKinsey &amp;amp; Company is a global management consulting firm committed to
helping organizations create Change that Matters. In more than 130 cities and 65
countries, our teams help clients across the private, public and social sectors
shape bold strategies and transform the way they work, embed technology where
it unlocks value, and build capabilities to sustain the change. Not just any change,
but Change that Matters – for their organizations, their people, and in turn society
at large.﻿</t>
  </si>
  <si>
    <t xml:space="preserve"> +1 212-446-7000</t>
  </si>
  <si>
    <t>23443219843</t>
  </si>
  <si>
    <t>MD Financial Management | Gestion financière MD</t>
  </si>
  <si>
    <t>https://md.ca</t>
  </si>
  <si>
    <t>MD Financial Management is a company that provides financial planning and advice specifically tailored to the needs of Canadian physicians and their families.</t>
  </si>
  <si>
    <t>20753276743</t>
  </si>
  <si>
    <t>MDA</t>
  </si>
  <si>
    <t>20159081605</t>
  </si>
  <si>
    <t>Medtronic</t>
  </si>
  <si>
    <t>www.medtronic.com</t>
  </si>
  <si>
    <t>Medtronic is the premier global leader in medical technology, providing innovative medical device technologies and therapies to address chronic diseases worldwide. With a comprehensive product portfolio and a presence in 160 countries, Medtronic is ded...</t>
  </si>
  <si>
    <t>1 (800) 633-8766</t>
  </si>
  <si>
    <t>20172284963</t>
  </si>
  <si>
    <t>Mendix</t>
  </si>
  <si>
    <t>mendix.com</t>
  </si>
  <si>
    <t>Mendix is a leading enterprise low code application development platform. With Mendix, businesses can develop mobile and web apps at scale. The platform enables continuous collaboration between software builders and users, accelerating the application ...</t>
  </si>
  <si>
    <t xml:space="preserve"> +1 857-263-8207</t>
  </si>
  <si>
    <t>Mendix ISV for LABI &amp; GQM</t>
  </si>
  <si>
    <t>18506057229</t>
  </si>
  <si>
    <t>23454839697</t>
  </si>
  <si>
    <t>Mercedes-Benz Financial Services USA LLC</t>
  </si>
  <si>
    <t>https://corp.mbfs.com/</t>
  </si>
  <si>
    <t>Mercedes-Benz Financial Services provides financial services, including account management and payment processing, specifically tailored for Mercedes-Benz customers, along with insurance solutions backed by Liberty Mutual.</t>
  </si>
  <si>
    <t>23467543311</t>
  </si>
  <si>
    <t>Mercer Advisors</t>
  </si>
  <si>
    <t>http://www.merceradvisors.com</t>
  </si>
  <si>
    <t>Mercer Advisors provides comprehensive wealth management services, including financial planning, investment management, and family office solutions, aimed at simplifying and enhancing the financial lives of its clients through a holistic and customized approach.</t>
  </si>
  <si>
    <t xml:space="preserve"> +1 888-920-1320</t>
  </si>
  <si>
    <t>20157166460</t>
  </si>
  <si>
    <t>Merck</t>
  </si>
  <si>
    <t>800-444-2080</t>
  </si>
  <si>
    <t>20317203857</t>
  </si>
  <si>
    <t>Merck &amp; Co., Inc.</t>
  </si>
  <si>
    <t>merck.com</t>
  </si>
  <si>
    <t>At Merck, we believe that having a diverse supplier base helps us better understand and anticipate the needs of the people we serve. That is why we cast a wide net in search of talent, seeking qualified suppliers from all segments of the global community. Our supplier diversity program includes large and small HUBZone, minority, women, veteran, and lesbian- and gay-owned business enterprises</t>
  </si>
  <si>
    <t xml:space="preserve"> +1 908-740-4000</t>
  </si>
  <si>
    <t>20317516572</t>
  </si>
  <si>
    <t>Meredith</t>
  </si>
  <si>
    <t>23439969170</t>
  </si>
  <si>
    <t>Meridian Credit Union</t>
  </si>
  <si>
    <t>https://www.meridiancu.ca/about-meridian</t>
  </si>
  <si>
    <t>Meridian Credit Union is Ontario's largest credit union, offering a wide range of financial products and services to over a quarter of a million Members. As a member-owned institution, Meridian prioritizes personalized service, proactive financial advice, and community investment. With a focus on empowering Members and employees alike, Meridian combines exceptional service with innovative banking solutions to help individuals and businesses thrive.</t>
  </si>
  <si>
    <t xml:space="preserve"> +1 866 592 2226</t>
  </si>
  <si>
    <t>23451609767</t>
  </si>
  <si>
    <t>Merrill Lynch</t>
  </si>
  <si>
    <t>http://www.ml.com</t>
  </si>
  <si>
    <t>Merrill Lynch, now part of Bank of America, is a leading provider of wealth management and financial services. With a deep commitment to client interests, Merrill offers a wide range of investment solutions, banking products, and expert advice to help clients achieve their financial goals at every stage of life or career.</t>
  </si>
  <si>
    <t xml:space="preserve"> +1 800-878-7878</t>
  </si>
  <si>
    <t>20316880779</t>
  </si>
  <si>
    <t>Meta Platforms Inc</t>
  </si>
  <si>
    <t>facebook.com</t>
  </si>
  <si>
    <t>Meta Supplier Diversity's mission is to help businesses owned by racial and ethnic minorities, women, veteran, and LGBTQ entrepreneurs across the globe do business with Meta and with the people and communities that we connect.</t>
  </si>
  <si>
    <t>20316962871</t>
  </si>
  <si>
    <t>metlife.com</t>
  </si>
  <si>
    <t>MetLife, Inc. is a leading global provider of employee benefit programs. Through its subsidiaries and affiliates, MetLife holds leading market positions in the United States, Japan, Latin America, Asia, Europe, the Middle East and Africa.</t>
  </si>
  <si>
    <t xml:space="preserve"> +1 212-578-5500</t>
  </si>
  <si>
    <t>20316955720</t>
  </si>
  <si>
    <t>MFS Investment Management, Inc</t>
  </si>
  <si>
    <t>mfs.com</t>
  </si>
  <si>
    <t>MFS Investment Management is an active, global asset manager with a uniquely collaborative approach to build better insights for clients. Its investment approach has three core elements – integrated research, global collaboration, and active risk management. Through the combined application of these three principles, the firm works to deliver sustainable investment solutions for the individual and institutional investors it serves.We bring diversity, equity and inclusion to life from the bottom up through our employee resource groups (ERGs). At MFS, ERGs allow employees to identify common interests and share them with others, while fostering awareness, respect and inclusion within our workplace.​​​​​​​ Our ERGS bring INclusivity@MFS to life by celebrating our differences, giving us a seat at the table, valuing our unique experiences and allowing us to flourish as our authentic selves.﻿</t>
  </si>
  <si>
    <t xml:space="preserve"> +1 617-954-5000</t>
  </si>
  <si>
    <t>20317493390</t>
  </si>
  <si>
    <t>MGM Resorts International</t>
  </si>
  <si>
    <t>mgmresortsdiversity.com</t>
  </si>
  <si>
    <t>As a leader in the gaming and hospitality industry, we believe our Supplier Diversity efforts are an integral part of our corporate culture and a vital element to our success. We invite you to learn more about Supplier Diversity at MGM Resorts International and potential opportunities to provide competitive pricing for quality goods and services.</t>
  </si>
  <si>
    <t>20315899766</t>
  </si>
  <si>
    <t>Micron</t>
  </si>
  <si>
    <t>micron.com</t>
  </si>
  <si>
    <t>Micron Technology is a global leader in semiconductors, providing innovative memory solutions for various applications, transforming information into intelligence.</t>
  </si>
  <si>
    <t xml:space="preserve"> +1 208-368-4000</t>
  </si>
  <si>
    <t>20157307738</t>
  </si>
  <si>
    <t>Microsoft</t>
  </si>
  <si>
    <t>20317138809</t>
  </si>
  <si>
    <t>Mizuho Americas</t>
  </si>
  <si>
    <t>mizuhoamericas.com</t>
  </si>
  <si>
    <t>Mizuho Americas is a financial institution with a uniquely hybrid nature that gives them a broader perspective and sharper sightline that powers their clients ahead. They have cultural and financial footholds in nearly 40 countries across the globe and...</t>
  </si>
  <si>
    <t xml:space="preserve"> +1 212-282-3000</t>
  </si>
  <si>
    <t>22702951229</t>
  </si>
  <si>
    <t>MKT-NHO (Malama Kai Technologies)</t>
  </si>
  <si>
    <t>8(a) Native Hawaiian Organization (NHO)</t>
  </si>
  <si>
    <t>SBA 8(a) Business Development, ISO, NIST, CMMC, ITSM</t>
  </si>
  <si>
    <t>Cloud Services, Data Management, AI Services, Cybersecurity, Technology Maturation and Risk Reduction, Managed Network Services, Application and DevSecOps, Business Consulting, Process Improvement</t>
  </si>
  <si>
    <t>Joint Venture with Fusion Technology, Various Federal ContractsGSA 8(a) STARS III
GSA MAS
DIA SITE III
NOAA NMITS BPA</t>
  </si>
  <si>
    <t>Department of Veterans Affairs, Department of Energy, Department of Transportation, Department of Justice, Federal Bureau of Investigation, Environmental Protection Agency, NASA, NOAA, USDA, Department of Homeland Security, State Department, US Coast Guard</t>
  </si>
  <si>
    <t>mkt-nho.com</t>
  </si>
  <si>
    <t>MKT is a Native Hawaiian company that provides professional services specializing in IT Support, Data, Logistics, and Business Analytics to US Federal Agencies. They offer IT Services and IT Consulting, aligning their expertise to architect data soluti...</t>
  </si>
  <si>
    <t>23457873751</t>
  </si>
  <si>
    <t>MLP</t>
  </si>
  <si>
    <t>http://www.mlp.de</t>
  </si>
  <si>
    <t>MLP Finanzberatung SE MLP ist Ihr Gesprächspartner in allen Finanzfragen – vom Vermögensmanagement über die Altersvorsorge bis zu Versicherungen. MLP ist der Partner in allen Finanzfragen für private Kunden wie für Firmen und institutionelle Investoren...</t>
  </si>
  <si>
    <t xml:space="preserve"> +49 6222 3088320</t>
  </si>
  <si>
    <t>23463666604</t>
  </si>
  <si>
    <t>Moen Incorporated</t>
  </si>
  <si>
    <t>moen.com</t>
  </si>
  <si>
    <t>Moen Incorporated: Leading faucet brand in North America, offering durable, innovative products that enhance everyday life and promote water conservation.</t>
  </si>
  <si>
    <t xml:space="preserve"> +1 440-962-2000</t>
  </si>
  <si>
    <t>20316760736</t>
  </si>
  <si>
    <t>MolsonCoors</t>
  </si>
  <si>
    <t>cvmas14.cvmsolutions.com</t>
  </si>
  <si>
    <t>MillerCoors is dedicated to working with suppliers who are as diverse as our consumers. In 2011, we engaged nearly 600 minority- and woman-owned suppliers to provide essential products and services. We spent a total of $448 million with diverse suppliers, or 8.8 percent of our total supplier spend. Since 2009, we spent a total of $1.27 billion with minority- and woman-owned businesses.</t>
  </si>
  <si>
    <t>23448274065</t>
  </si>
  <si>
    <t>Momentum Financial Services Group</t>
  </si>
  <si>
    <t>http://www.mfsg.com</t>
  </si>
  <si>
    <t>Momentum Financial Services Group provides a wide range of financial products and services in North America, empowering individuals and businesses to achieve their financial goals with over 40 years of experience.</t>
  </si>
  <si>
    <t>23458486377</t>
  </si>
  <si>
    <t>Money Mart</t>
  </si>
  <si>
    <t>moneymart.ca</t>
  </si>
  <si>
    <t>Money Mart is a financial services company that provides quick loans, mortgage solutions, and cheque cashing. They offer these services through online applications, in-store visits, and their mobile app. Money Mart has been in operation for over four d...</t>
  </si>
  <si>
    <t xml:space="preserve"> +1 800 361 1407</t>
  </si>
  <si>
    <t>20316852600</t>
  </si>
  <si>
    <t>Monumental Sports &amp; Entertainment</t>
  </si>
  <si>
    <t>monumentalsports.com</t>
  </si>
  <si>
    <t>Invoicing- Please e-mail invoices to APHoldings@monumentalsports.com
Include contact information - Jonathan Sablah on the invoice</t>
  </si>
  <si>
    <t xml:space="preserve"> +1 202-628-3200</t>
  </si>
  <si>
    <t>23453361279</t>
  </si>
  <si>
    <t>Morgan Stanley</t>
  </si>
  <si>
    <t>http://www.morganstanley.com</t>
  </si>
  <si>
    <t>Morgan Stanley provides a comprehensive range of financial services, including investment banking, securities, investment management, and wealth management, aimed at helping individuals, families, institutions, and governments effectively raise, manage, and distribute capital to achieve their financial goals.</t>
  </si>
  <si>
    <t xml:space="preserve"> +1 212-761-4000</t>
  </si>
  <si>
    <t>20316973828</t>
  </si>
  <si>
    <t>cvmas07.cvmsolutions.com</t>
  </si>
  <si>
    <t>Morgan Stanley pursues diversity in every aspect of our business, seeking out diverse-owned companies that can meet Morgan Stanleys business needs.
Our partners' ethical business practices and entrepreneurial spirit help to keep Morgan Stanley at the forefront of the financial services industry. Working with these firms not only fosters strategic and business relationships, but also stimulates economic development and strengthens the communities where we work.</t>
  </si>
  <si>
    <t>23438988039</t>
  </si>
  <si>
    <t>Morningstar</t>
  </si>
  <si>
    <t>http://www.morningstar.com/company/</t>
  </si>
  <si>
    <t>Morningstar, provides independent investment research, ratings, and tools designed to empower investors in crafting their financial futures across various global markets.</t>
  </si>
  <si>
    <t xml:space="preserve"> +1 312-696-6000</t>
  </si>
  <si>
    <t>23444148517</t>
  </si>
  <si>
    <t>Mortgage Alliance</t>
  </si>
  <si>
    <t>http://www.mortgagealliance.com</t>
  </si>
  <si>
    <t>Mortgage Alliance - Leading mortgage brokerage in Canada, providing great rates and expert advice for all property needs with unparalleled choice and convenience.</t>
  </si>
  <si>
    <t xml:space="preserve"> +1 877 366 3487</t>
  </si>
  <si>
    <t>20158954244</t>
  </si>
  <si>
    <t>Moss Adams</t>
  </si>
  <si>
    <t>(858) 627-1400</t>
  </si>
  <si>
    <t>20317506573</t>
  </si>
  <si>
    <t>Motorola Solutions</t>
  </si>
  <si>
    <t>motorolasolutions.com</t>
  </si>
  <si>
    <t>Motorola Solutions is a global leader in public safety and enterprise security, providing communication infrastructure, devices, accessories, software, and services. They offer innovative solutions in land mobile radio communications, video security, a...</t>
  </si>
  <si>
    <t>20317450856</t>
  </si>
  <si>
    <t>MSCI Inc</t>
  </si>
  <si>
    <t>msci.com</t>
  </si>
  <si>
    <t>MSCI is a leading provider of critical decision support tools and services for the global investment community. With over 50 years of expertise in research, data, and technology, MSCI enables clients to understand and analyze key drivers of risk and re...</t>
  </si>
  <si>
    <t xml:space="preserve"> +1 212-804-3990</t>
  </si>
  <si>
    <t>23436939384</t>
  </si>
  <si>
    <t>MUFG</t>
  </si>
  <si>
    <t>us.mufg.jp</t>
  </si>
  <si>
    <t>MUFG is a global financial group with a long history, offering diverse services like commercial banking, trust banking, and asset management. With a vast network in 50+ markets, MUFG aims to be a trusted financial partner for sustainable growth.</t>
  </si>
  <si>
    <t>23443699235</t>
  </si>
  <si>
    <t>MUFG Investor Services</t>
  </si>
  <si>
    <t>https://www.mufg-investorservices.com/</t>
  </si>
  <si>
    <t>MUFG Investor Services is a leading asset servicing provider for the global investment management industry, offering a suite of integrated solutions across administration, asset servicing, banking, financing, and regulatory services. With over $770 billion in assets under administration, they serve nearly 500 clients including hedge funds, asset managers, private equity firms, and more, providing a range of services from fund financing to securities lending and custody.</t>
  </si>
  <si>
    <t>22702769732</t>
  </si>
  <si>
    <t>My Site</t>
  </si>
  <si>
    <t>leducleadership.com</t>
  </si>
  <si>
    <t>Jason LeDuc Leadership Consultants is a leading provider of Corporate Training and Executive Coaching services in Las Vegas. With a focus on developing effective leaders and enhancing communication skills, we offer digital courses, workshops, and podca...</t>
  </si>
  <si>
    <t>23327482625</t>
  </si>
  <si>
    <t>Myriad Genetics</t>
  </si>
  <si>
    <t>http://www.myriad.com/</t>
  </si>
  <si>
    <t>Myriad Genetics is a pioneering personalized medicine company that discovers and commercializes genetic tests to improve patient care and lower healthcare costs.</t>
  </si>
  <si>
    <t xml:space="preserve"> +1 801-584-3600</t>
  </si>
  <si>
    <t>20172285466</t>
  </si>
  <si>
    <t>nasa.gov</t>
  </si>
  <si>
    <t>NASA pioneers space exploration, scientific discovery, and aeronautics research with advanced rockets and spacecraft to benefit humanity.</t>
  </si>
  <si>
    <t xml:space="preserve"> +1 202-358-0001</t>
  </si>
  <si>
    <t>NASA DIGITAL TRANSFORMATION INITIATIVE FUTURE DIGITAL ENGINEERING COLLABORATION AND INFORMATION SHARING DELIVERY</t>
  </si>
  <si>
    <t>16786898869</t>
  </si>
  <si>
    <t>20315570827</t>
  </si>
  <si>
    <t>Nasdaq</t>
  </si>
  <si>
    <t>nasdaq.com</t>
  </si>
  <si>
    <t>Nasdaq is a leading global provider of trading, clearing, and exchange technology services, empowering businesses to navigate capital markets with confidence and transparency.</t>
  </si>
  <si>
    <t xml:space="preserve"> +1 212-401-8700</t>
  </si>
  <si>
    <t>23454821938</t>
  </si>
  <si>
    <t>National Bank of Belgium</t>
  </si>
  <si>
    <t>http://www.nbb.be</t>
  </si>
  <si>
    <t>The Banque nationale de Belgique (NBB) is Belgium's central bank, dedicated to ensuring a stable and sustainable economic and financial environment. Their key responsibilities include safeguarding price stability, financial system stability, secure cash management, efficient payment systems, and providing valuable data and analyses. NBB offers banking services, monetary policy implementation, prudential supervision for banks, and public research initiatives.</t>
  </si>
  <si>
    <t>20316880780</t>
  </si>
  <si>
    <t>National Basketball Association (NBA)</t>
  </si>
  <si>
    <t>20317153861</t>
  </si>
  <si>
    <t>National Gay Media Association</t>
  </si>
  <si>
    <t>23441211191</t>
  </si>
  <si>
    <t>https://www.nationalgrid.com/</t>
  </si>
  <si>
    <t>National Grid delivers electricity and gas safely and efficiently in the UK and US, connecting millions to clean energy.</t>
  </si>
  <si>
    <t xml:space="preserve"> +44 20 7004 3220</t>
  </si>
  <si>
    <t>23228231189</t>
  </si>
  <si>
    <t>National Institute of Standards and Technology</t>
  </si>
  <si>
    <t>nist.gov</t>
  </si>
  <si>
    <t>NIST promotes U.S. innovation and industrial competitiveness through measurement science, standards, and technology, impacting products and services across multiple industries.</t>
  </si>
  <si>
    <t xml:space="preserve"> +1 301-975-2000</t>
  </si>
  <si>
    <t>22516786004</t>
  </si>
  <si>
    <t>National Institutes of Health</t>
  </si>
  <si>
    <t>nitaac.nih.gov</t>
  </si>
  <si>
    <t>The National Institutes of Health (NIH) is a leading biomedical research facility in the United States. As the largest public funder of biomedical research globally, NIH invests over $32 billion annually to advance medical knowledge, develop new treatm...</t>
  </si>
  <si>
    <t>23235674966</t>
  </si>
  <si>
    <t>National Oceanic and Atmospheric Administration</t>
  </si>
  <si>
    <t>noaa.gov</t>
  </si>
  <si>
    <t>NOAA, a federal agency, provides essential services from weather forecasts to coastal restoration, impacting a significant portion of America's GDP.</t>
  </si>
  <si>
    <t xml:space="preserve"> +1 301-713-1208</t>
  </si>
  <si>
    <t>20157173846</t>
  </si>
  <si>
    <t>National Railroad Passenger Corporation</t>
  </si>
  <si>
    <t>17151338866</t>
  </si>
  <si>
    <t>House Rules: On our Facebook page, we want our riders to get to know us, but more importantly, we want to hear about your experiences aboard Amtrak and how we may help to make your journey more enjoyable. Tune in for deals, tips and the latest Amtrak ...</t>
  </si>
  <si>
    <t>23446998454</t>
  </si>
  <si>
    <t>Nationwide</t>
  </si>
  <si>
    <t>nationwide.com</t>
  </si>
  <si>
    <t>Nationwide is a leading insurance and financial services company that offers a wide range of products to protect homes, cars, families, and financial security. With a strong foundation built on protecting what's most important, Nationwide continues to innovate and provide insurance and financial solutions for individuals and businesses across the United States.</t>
  </si>
  <si>
    <t xml:space="preserve"> +1 614-249-4117</t>
  </si>
  <si>
    <t>23467079836</t>
  </si>
  <si>
    <t>Nationwide Financial</t>
  </si>
  <si>
    <t>http://nationwidefinancial.com</t>
  </si>
  <si>
    <t>Nationwide Financial, a Fortune 100 company based in Columbus, Ohio, is a leading diversified insurance and financial services organization in the United States. They offer a full range of products including life insurance, retirement plans, annuities,...</t>
  </si>
  <si>
    <t xml:space="preserve"> +1 888-867-5175</t>
  </si>
  <si>
    <t>20157472131</t>
  </si>
  <si>
    <t>Nationwide Insurance</t>
  </si>
  <si>
    <t>1 (877) 669-6877</t>
  </si>
  <si>
    <t>20157368137</t>
  </si>
  <si>
    <t>Nationwide Mutual Insurance Company</t>
  </si>
  <si>
    <t>23454989426</t>
  </si>
  <si>
    <t>Natixis</t>
  </si>
  <si>
    <t>https://natixis.groupebpce.com/</t>
  </si>
  <si>
    <t>Groupe BPCE is a leading banking and insurance group in France, offering a comprehensive range of financial services through its major brands Banque Populaire, Caisse d'Epargne, and Natixis. With 117,000 employees serving 36 million customers, the group plays a significant role in financing the French economy and tailors its services to meet the diverse needs of individuals and regions.</t>
  </si>
  <si>
    <t>20157413933</t>
  </si>
  <si>
    <t>Naval Information Warfare Systems Command</t>
  </si>
  <si>
    <t>navwar.navy.mil</t>
  </si>
  <si>
    <t>The United States Navy is a diverse and agile force exemplifying the highest standards of service to our Nation, at home and abroad, at sea and ashore. We are a team, disciplined and well prepared, committed to mission accomplishment. We defend our Nat...</t>
  </si>
  <si>
    <t>6127133720</t>
  </si>
  <si>
    <t>NIWC Cultural Transformation and UCD Alignment Initiative;PMW 150 SYSTEMS ENGINEERING AND TECHNICAL ASSISTANCE SETA (SEAPORT NXG)</t>
  </si>
  <si>
    <t>21901631119;18380671306</t>
  </si>
  <si>
    <t>20806641239</t>
  </si>
  <si>
    <t>Naval Sea Systems Command</t>
  </si>
  <si>
    <t>navsea.navy.mil</t>
  </si>
  <si>
    <t>The United States Navy is the world's most powerful naval force, dedicated to defending the nation at sea. Alongside allies, they protect freedom, ensure economic prosperity, and maintain open seas. Committed to executing their timeless role, the Navy ...</t>
  </si>
  <si>
    <t>CYBER ENGINEERING AND DIGITAL TRANSFORMATION SERVICES FOR DIGITAL VISUAL COMMUNICATIONS PORTFOLIO</t>
  </si>
  <si>
    <t>16786870094</t>
  </si>
  <si>
    <t>20159032712</t>
  </si>
  <si>
    <t>NAVAL UNDERSEA WARFARE CENTER</t>
  </si>
  <si>
    <t>19791481924</t>
  </si>
  <si>
    <t>NAVAL UNDERSEA WARFARE CENTER DIVISION KEYPORT TECHNOLOGY SUPPORT SERVICES TSS (SEAPORT NXG)</t>
  </si>
  <si>
    <t>18270100577</t>
  </si>
  <si>
    <t>20157422968</t>
  </si>
  <si>
    <t>NAVSEA</t>
  </si>
  <si>
    <t>19816075829</t>
  </si>
  <si>
    <t>20157245769</t>
  </si>
  <si>
    <t>NAVSUP</t>
  </si>
  <si>
    <t>19816359548</t>
  </si>
  <si>
    <t>navsup.navy.mil</t>
  </si>
  <si>
    <t>20753277745</t>
  </si>
  <si>
    <t>NAVSUP BSC</t>
  </si>
  <si>
    <t>20316871260</t>
  </si>
  <si>
    <t>NCTA</t>
  </si>
  <si>
    <t>ncta.com</t>
  </si>
  <si>
    <t>Broadcast Media</t>
  </si>
  <si>
    <t>NCTA - The Internet &amp; Television Association represents network innovators and content creators that connect, entertain, inform and inspire consumers every day. NCTA’s members have invested over $290 billion in private capital to build the world’s most...</t>
  </si>
  <si>
    <t>20316609718</t>
  </si>
  <si>
    <t>Nestlé</t>
  </si>
  <si>
    <t>nestle.com</t>
  </si>
  <si>
    <t>Nestlé is the world's largest food and beverage company, operating in 191 countries with a commitment to enhancing quality of life and contributing to a healthier future. With a diverse portfolio covering various categories like beverages, water, nutri...</t>
  </si>
  <si>
    <t xml:space="preserve"> +41 21 924 21 11</t>
  </si>
  <si>
    <t>20159003190</t>
  </si>
  <si>
    <t>NETCOM</t>
  </si>
  <si>
    <t>19792331024</t>
  </si>
  <si>
    <t>20317024771</t>
  </si>
  <si>
    <t>Netflix</t>
  </si>
  <si>
    <t>about.netflix.com</t>
  </si>
  <si>
    <t>Netflix is a leading streaming service providing TV series, films, and mobile games worldwide. Members enjoy unlimited streaming without ads or commitments.</t>
  </si>
  <si>
    <t xml:space="preserve"> +1 408-540-3700</t>
  </si>
  <si>
    <t>22702908801</t>
  </si>
  <si>
    <t>Netlogx</t>
  </si>
  <si>
    <t>Women Owned Small Business (WOSB), Small Disadvantaged Business (Self Certified)</t>
  </si>
  <si>
    <t>Extensive experience in highly regulated environments in health and human services, healthcare, and financial services verticals within State government and the private sector</t>
  </si>
  <si>
    <t>Management Consulting, HHS Policy, Lean Six Sigma, Procurement, Business Process Reengineering, Six Sigma Consulting, MITA State Self-Assessments, Healthcare Business Processes</t>
  </si>
  <si>
    <t>Health and Hospital Corporation of Marion County (Indiana), State of Arizona, Arizona Health Care Cost Containment System (AHCCCS), State of Illinois, Housing Development Authority (HDA), and others</t>
  </si>
  <si>
    <t>netlogx.com</t>
  </si>
  <si>
    <t>netlogx is a management consulting firm that helps public and private organizations navigate change and manage it effectively. They provide consulting services in information management, project and program management, security management, organization...</t>
  </si>
  <si>
    <t xml:space="preserve"> +1 317-313-9641</t>
  </si>
  <si>
    <t>22702875302</t>
  </si>
  <si>
    <t>Netsync</t>
  </si>
  <si>
    <t>Veteran Administration (VETERAN HEALTH ADMINISTRATION, OFFICE OF ACQUISITION, LOGISTICS, AND CONSTRUCTION), Navy (NAVAL INFORMATION WARFARE SYSTEMS COMMAND, NAVAL SEA SYSTEMS COMMAND, US FLEET FORCES COMMAND, COMMANDER NAVY INSTALLATIONS COMMAND, NAVAL AIR SYSTEMS COMMAND), Peace Corps, and others</t>
  </si>
  <si>
    <t>Comprehensive IT Lifecycle Solutions, IT Infrastructure Implementation, Network Operations</t>
  </si>
  <si>
    <t>NETCENTS NetOps SB, CIO-CS, SEWP V, GSA Schedule 70, Response Strategic Sourcing for Services (RS3)</t>
  </si>
  <si>
    <t>Defense (DEFENSE HEALTH AGENCY, DEFENSE LOGISTICS AGENCY, DEFENSE INFORMATION SYSTEMS AGENCY, UNDERSECRETARY FOR RESEARCH &amp; ENGINEERING (R&amp;E), OFFICE OF THE SECRETARY OF DEFENSE), and others</t>
  </si>
  <si>
    <t>netsync.com</t>
  </si>
  <si>
    <t>Netsync is a leading technology solutions provider offering comprehensive IT services to diverse industries for digital transformation.</t>
  </si>
  <si>
    <t>20157302159</t>
  </si>
  <si>
    <t>New York Life</t>
  </si>
  <si>
    <t>1 (800) 225-5695</t>
  </si>
  <si>
    <t>20317493389</t>
  </si>
  <si>
    <t>New York Life Insurance Company</t>
  </si>
  <si>
    <t>newyorklife.com</t>
  </si>
  <si>
    <t>he New York Life Supplier Diversity Program is designed to ensure that diverse businesses have equal access to our procurement processes. Currently, the businesses we include as diverse suppliers are minority-owned, women-owned and Lesbian, Gay, Bisexual and Transgender (LGBT)-owned businesses. Our program has the enthusiastic support of our Chairman, President and CEO, Ted Mathas. Some of our current initiatives involve exploring innovative approaches to facilitate diverse business inclusion in non-traditional areas like management consultants and investment firms. We will continue to expand our customer base for diverse businesses and participate in activities that will introduce the company to new diverse suppliers. We are also encouraging our prime suppliers to subcontract with diverse businesses in the performance of our contracts.</t>
  </si>
  <si>
    <t xml:space="preserve"> +1 201-685-6701</t>
  </si>
  <si>
    <t>22702795081</t>
  </si>
  <si>
    <t>New York Power Authority</t>
  </si>
  <si>
    <t>nypa.gov</t>
  </si>
  <si>
    <t>NYPA, established in 1931, is the largest state power organization in the U.S., providing low-cost electricity from clean hydropower. Supporting economic development and energy efficiency, NYPA serves government, non-profit, and business customers, con...</t>
  </si>
  <si>
    <t xml:space="preserve"> +1 914-287-3114</t>
  </si>
  <si>
    <t>20317040691</t>
  </si>
  <si>
    <t>New York University</t>
  </si>
  <si>
    <t>nyu.edu</t>
  </si>
  <si>
    <t>NYU, founded in 1831, is a leading research university with campuses in New York, Abu Dhabi, and Shanghai, offering a wide range of academic programs in various fields. It is known for its global presence, diverse student body, and commitment to high a...</t>
  </si>
  <si>
    <t xml:space="preserve"> +1 212-998-2375</t>
  </si>
  <si>
    <t>23436936973</t>
  </si>
  <si>
    <t>NEXA Mortgage</t>
  </si>
  <si>
    <t>http://www.nexamortgage.com</t>
  </si>
  <si>
    <t>NEXA Mortgage is a full service mortgage broker. We offer every loan product known and have the ability to shop all loans for the best possible option for any consumer on a single visit.</t>
  </si>
  <si>
    <t xml:space="preserve"> +1 602-344-9333</t>
  </si>
  <si>
    <t>20316677518</t>
  </si>
  <si>
    <t>NextEra Energy, Inc.</t>
  </si>
  <si>
    <t>23453925142</t>
  </si>
  <si>
    <t>Nexxo Financial Corporation</t>
  </si>
  <si>
    <t>http://www.moneygram.com</t>
  </si>
  <si>
    <t>MoneyGram International, Inc. is a global provider of money transfer services operating through two segments: Global Funds Transfer and Financial Paper Products. They offer money transfers, bill payment services, money orders, and official check processing to unbanked and underbanked consumers worldwide through their extensive network of locations and digital solutions like moneygram.com.</t>
  </si>
  <si>
    <t xml:space="preserve"> +1 214-999-7640</t>
  </si>
  <si>
    <t>20315570823</t>
  </si>
  <si>
    <t>nglcc.org</t>
  </si>
  <si>
    <t>NGLCC, America's LGBT Chamber of Commerce, was founded in November 2002 when Justin Nelson and Chance Mitchell realized no one had considered the economic equality of LGBT people or the impact economics could have on the equality movement. The two co-founders sought to showcase that LGBT people are business owners, employers, taxpayers, providers of healthcare – that they are a vibrant, essential part of the small business engine that makes the U.S. economy run and therefore, deserve a place at the equality table. NGLCC purchases a wide variety of goods and services from certified diverse-owned businesses. Our most common commodities include office suppliers, event management services including audio and video production, catering and IT. NGLCC does not have a supplier portal. For inquiries regarding upcoming opportunities, please contact Shanna Mansouri at info@nglcc.org.</t>
  </si>
  <si>
    <t>23438371649</t>
  </si>
  <si>
    <t>ngrid.com</t>
  </si>
  <si>
    <t>us.ngrid.com</t>
  </si>
  <si>
    <t>National Grid is an energy company operating in the UK and US. We deliver electricity and gas safely, reliably and efficiently to the customers and communities we serve – all while working towards a clean energy future.</t>
  </si>
  <si>
    <t>20317450855</t>
  </si>
  <si>
    <t>Nike</t>
  </si>
  <si>
    <t>22514385762</t>
  </si>
  <si>
    <t>Nikira Labs</t>
  </si>
  <si>
    <t>nikiralabs.com</t>
  </si>
  <si>
    <t>Nikira Labs is a gas analyzer company that addresses environmental challenges such as global warming, air quality measurements, and emissions monitoring. They research, develop, and produce instruments to solve these problems. Their vision is to be an ...</t>
  </si>
  <si>
    <t>22703047070</t>
  </si>
  <si>
    <t>NiSource</t>
  </si>
  <si>
    <t>nisource.com</t>
  </si>
  <si>
    <t>NiSource Inc. is a top utility company providing natural gas and electric services to millions of customers across seven states. Committed to reliability and affordability, NiSource invests in modern infrastructure and sustainability for a brighter fut...</t>
  </si>
  <si>
    <t xml:space="preserve"> +1 219-647-5200</t>
  </si>
  <si>
    <t>20317053325</t>
  </si>
  <si>
    <t>23449458239</t>
  </si>
  <si>
    <t>noovomoi.ca</t>
  </si>
  <si>
    <t>sympatico.ca</t>
  </si>
  <si>
    <t>Noovo Moi provides a diverse range of lifestyle content to inspire and inform on fashion, beauty, home, pets, health, and more.</t>
  </si>
  <si>
    <t>20172386712</t>
  </si>
  <si>
    <t>North American Aerospace Defense Command</t>
  </si>
  <si>
    <t>norad.mil</t>
  </si>
  <si>
    <t>North American Aerospace Defense Command (NORAD) is a United States and Canada bi-national organization located at Peterson Air Force Base in Colorado Springs, CO. NORAD is responsible for aerospace warning, aerospace control, and maritime warning for ...</t>
  </si>
  <si>
    <t>NORAD USNORTHCOM INFORMATION TECHNOLOGY ENTERPRISE SERVICES (NITES)</t>
  </si>
  <si>
    <t>18380307380</t>
  </si>
  <si>
    <t>23335331494</t>
  </si>
  <si>
    <t>North Atlantic Industries</t>
  </si>
  <si>
    <t>naii.com</t>
  </si>
  <si>
    <t>North Atlantic Industries (NAI) is a specialized provider of embedded electronics, power supplies, and computing for sense &amp; response intensive, military, and aerospace applications. With over 65 years of experience, NAI offers a portfolio of rugged em...</t>
  </si>
  <si>
    <t xml:space="preserve"> +1 631-567-1100</t>
  </si>
  <si>
    <t>22703047069</t>
  </si>
  <si>
    <t>nc.gov</t>
  </si>
  <si>
    <t>North Carolina State Government provides a wide range of government services and opportunities for individuals interested in various fields such as arts, transportation, IT, public safety, healthcare, and more. With over 81,000 employees across the sta...</t>
  </si>
  <si>
    <t xml:space="preserve"> +1 919-754-6800</t>
  </si>
  <si>
    <t>20806089250</t>
  </si>
  <si>
    <t>North Carolina IT</t>
  </si>
  <si>
    <t>it.nc.gov</t>
  </si>
  <si>
    <t>NC Enterprise Architecture Enablement</t>
  </si>
  <si>
    <t>19363246887</t>
  </si>
  <si>
    <t>23109382790</t>
  </si>
  <si>
    <t>ngc.com</t>
  </si>
  <si>
    <t>Northrop Grumman Corporation is an American multinational aerospace and defense technology company.</t>
  </si>
  <si>
    <t xml:space="preserve"> +1 703-280-2900</t>
  </si>
  <si>
    <t>20316722979</t>
  </si>
  <si>
    <t>northropgrumman.com</t>
  </si>
  <si>
    <t>Northrop Grumman is a leading global security company providing innovative systems, products and solutions in autonomous systems, cyber, C4ISR, strike, and logistics and modernization to government and commercial customers worldwide 
We hold ourselves to a higher standard, both in the products we deliver and in the way we conduct ourselves throughout the entire customer experience. Because, after all, we are in the business of securing a great deal more than just our place in the market. 
Our mission is to be at the forefront of technology and innovation, delivering superior capability in tandem with maximized cost efficiencies. The security solutions we provide help secure freedoms for our nation as well as those of our allies. Squarely meeting our obligations, fiscally and technologically, isn't just a business goal, but a moral imperative. To that end, as we evolve as a company, the responsibility we feel for our country and the citizens and troops we help support grows with us. ​</t>
  </si>
  <si>
    <t>20317417377</t>
  </si>
  <si>
    <t>Northwestern Mutual</t>
  </si>
  <si>
    <t>http://www.northwesternmutual.com</t>
  </si>
  <si>
    <t>Northwestern Mutual is a trusted financial services company providing comprehensive financial planning, life insurance, and investment services to help clients achieve long-term financial security.</t>
  </si>
  <si>
    <t xml:space="preserve"> +1 866-950-4644</t>
  </si>
  <si>
    <t>20157273857</t>
  </si>
  <si>
    <t>1 (866) 950-4644</t>
  </si>
  <si>
    <t>22702679089</t>
  </si>
  <si>
    <t>Nova</t>
  </si>
  <si>
    <t>madebynova.com</t>
  </si>
  <si>
    <t>Graphic Design</t>
  </si>
  <si>
    <t>Nova is a startup digital studio helping companies deliver award winning brand, web, and product design. We practice a measurable, results driven form of design that validates new product ideas, improves learning velocity, and drives real value for you...</t>
  </si>
  <si>
    <t>23464291176</t>
  </si>
  <si>
    <t>Novobanco</t>
  </si>
  <si>
    <t>novobanco.es</t>
  </si>
  <si>
    <t>Novobanco – Crecimiento Económico a Tu Alcance En un mundo financiero en constante evolución, la elección del producto bancario adecuado es fundamental para asegurar una gestión financiera exitosa. Ya sea que estés buscando una cuenta de ahorros, una tarjeta de crédito o un préstamo, tomar decisiones informadas te permitirá maximizar tus beneficios y minimizar los costos. En este artículo, exploraremos cinco pasos clave que te ayudarán a elegir el mejor producto bancario para satisfacer tus necesidades y metas financieras. Evaluar tus Necesid</t>
  </si>
  <si>
    <t>22702934068</t>
  </si>
  <si>
    <t>NTI "The Cyber Super 8</t>
  </si>
  <si>
    <t>ITSM, ISO, NIST, DCAA, CMMC, CMMI</t>
  </si>
  <si>
    <t>Cyberspace Service Management (CYSM), Advanced Cyberspace Operations, Training &amp; Instructional System Design, Administrative Support, Cyber Operations Support, Cyber Netw</t>
  </si>
  <si>
    <t>DoDIN Cyberspace Services Support, Air Force’s first operational Cyberspace squadron</t>
  </si>
  <si>
    <t>U.S. Air Force (747th Cyberspace Squadron)</t>
  </si>
  <si>
    <t>namauu.com</t>
  </si>
  <si>
    <t>NTI (Cyber Super 8a) is a company founded by Dr. Kekai Namauu, a retired US Air Force Cyber warrior. They provide a wide range of products and services in the field of cybersecurity and IT support. Their offerings include Cyber Super 8(a) Service &amp; Hel...</t>
  </si>
  <si>
    <t>22702586439</t>
  </si>
  <si>
    <t>nttdata.com</t>
  </si>
  <si>
    <t>NTT DATA specializes in providing high-value IT services across various sectors, including public and financial services, enterprise IT, and global business solutions, while also focusing on innovative technologies such as generative AI to drive digita...</t>
  </si>
  <si>
    <t>20156043622</t>
  </si>
  <si>
    <t>8007453263</t>
  </si>
  <si>
    <t>NTT Data - ITPM Alfabet Services</t>
  </si>
  <si>
    <t>21693791917</t>
  </si>
  <si>
    <t>17151714055</t>
  </si>
  <si>
    <t>us.nttdata.com</t>
  </si>
  <si>
    <t>NTT DATA is a global IT services provider serving clients from over 50 countries. They help clients transform their businesses, reduce costs, and improve customer experiences through cutting-edge technology solutions. Their services include consulting,...</t>
  </si>
  <si>
    <t>22703074969</t>
  </si>
  <si>
    <t>nttdatafed.com</t>
  </si>
  <si>
    <t>23444457549</t>
  </si>
  <si>
    <t>Nubank</t>
  </si>
  <si>
    <t>http://www.nubank.com.br</t>
  </si>
  <si>
    <t>Nubank offers a comprehensive digital financial platform that empowers users to manage their credit cards and bank accounts entirely through a mobile app, providing transparent and secure options for loans, investments, and financial organization.</t>
  </si>
  <si>
    <t>23459106593</t>
  </si>
  <si>
    <t>Nuveen, a TIAA company</t>
  </si>
  <si>
    <t>http://www.nuveen.com</t>
  </si>
  <si>
    <t>Nuveen is a global investment manager with a 125-year history, offering high-quality investment services across asset classes. They provide outcome-focused solutions, including municipal income funds and alternative investments, to help investors achieve a secure financial future.</t>
  </si>
  <si>
    <t xml:space="preserve"> +1 312-917-7700</t>
  </si>
  <si>
    <t>23447286613</t>
  </si>
  <si>
    <t>OCBC</t>
  </si>
  <si>
    <t>http://www.ocbc.com</t>
  </si>
  <si>
    <t>OCBC Bank is a leading financial services organization based in Singapore, offering a wide range of banking, investment, insurance, and wealth management services. With a strong presence in Southeast Asia and Greater China, OCBC Bank is known for its financial strength, stability, and innovative digital solutions for both personal and business customers.</t>
  </si>
  <si>
    <t xml:space="preserve"> +65 6363 3333</t>
  </si>
  <si>
    <t>20316644121</t>
  </si>
  <si>
    <t>Occidental Petroleum (OXY)</t>
  </si>
  <si>
    <t>oxy.com</t>
  </si>
  <si>
    <t>Oxy is an international energy company excelling in oil, gas, and chemicals, innovating for a lower carbon future and global sustainability.</t>
  </si>
  <si>
    <t xml:space="preserve"> +1 713-215-7000</t>
  </si>
  <si>
    <t>23461894402</t>
  </si>
  <si>
    <t>Ocwen Financial</t>
  </si>
  <si>
    <t>ocwen.com</t>
  </si>
  <si>
    <t>Ocwen Financial Corporation, along with its subsidiaries PHH Mortgage and Liberty Reverse Mortgage, is a leading non-bank mortgage servicing company in America. With a focus on helping homeowners, Ocwen offers services such as mortgage loan servicing, origination, and foreclosure prevention. The company is dedicated to providing innovative solutions and exceptional customer service to over 1.3 million customers, aiming to help families stay in their homes and improve financial outcomes for investors.</t>
  </si>
  <si>
    <t>23456414604</t>
  </si>
  <si>
    <t>Ocwen Financial Corporation - US</t>
  </si>
  <si>
    <t>http://www.onitygroup.com</t>
  </si>
  <si>
    <t>23465430543</t>
  </si>
  <si>
    <t>Odebrecht</t>
  </si>
  <si>
    <t>https://www.novonor.com.br/</t>
  </si>
  <si>
    <t>23129100208</t>
  </si>
  <si>
    <t>Odyssey Consulting</t>
  </si>
  <si>
    <t>http://www.odysseyconsulting.com</t>
  </si>
  <si>
    <t>20317105948</t>
  </si>
  <si>
    <t>Office Depot, LLC</t>
  </si>
  <si>
    <t>officedepot.com</t>
  </si>
  <si>
    <t>Office Depot, LLC is a wholly
owned subsidiary of The ODP Corporation (NASDAQ:ODP), a leading provider of
business services, products and digital workplace technology solutions to
small, medium and enterprise businesses. Through its banner brands Office
Depot® and OfficeMax®, as well as others, the company offers its customers the
tools and resources they need to focus on their passion of starting, growing
and running their business through over 1,200 stores, an online presence and
thousands of dedicated sales professionals.﻿</t>
  </si>
  <si>
    <t xml:space="preserve"> +1 561-438-4800</t>
  </si>
  <si>
    <t>22391635716</t>
  </si>
  <si>
    <t>Ohio University</t>
  </si>
  <si>
    <t>22702776486</t>
  </si>
  <si>
    <t>OlCaMa Finance &amp; Advies</t>
  </si>
  <si>
    <t>olcama.nl</t>
  </si>
  <si>
    <t>Hands-on Advies &amp; Transitiemanagement met een focus op Processen, Finance &amp; Systemen</t>
  </si>
  <si>
    <t>22702618142</t>
  </si>
  <si>
    <t>Old Dominion University</t>
  </si>
  <si>
    <t>odu.edu</t>
  </si>
  <si>
    <t>Old Dominion University is Virginia's entrepreneurial-minded doctoral research university with over 24,500 students, offering innovative academic programs and impactful initiatives.</t>
  </si>
  <si>
    <t xml:space="preserve"> +1 757-683-3322</t>
  </si>
  <si>
    <t>20156051114</t>
  </si>
  <si>
    <t>Optimized Technical Solutions, Inc.</t>
  </si>
  <si>
    <t>Facility Clearance Level: Secret</t>
  </si>
  <si>
    <t>Application Support, Database Management, Network Infrastructure</t>
  </si>
  <si>
    <t>GSA 8a STARS III</t>
  </si>
  <si>
    <t>U.S. Air Force BES Atlassian Tool Suite Support – Maxwell/Gunter AFB</t>
  </si>
  <si>
    <t>optechs-inc.com</t>
  </si>
  <si>
    <t>Optimized Technical Solutions (optechs-inc.com) is a premier provider of fully customized and automated cloud infrastructure and application deployment pipelines for mission critical DoD applications. With over 20 years of combined experience, our team...</t>
  </si>
  <si>
    <t>21426133108</t>
  </si>
  <si>
    <t>Optum Inc</t>
  </si>
  <si>
    <t>optum.com</t>
  </si>
  <si>
    <t>Optum is a health services and innovation company dedicated to improving the health care system for everyone. By combining data, analytics, technology, and expertise, Optum connects people, places, and ideas to create better care experiences. They offe...</t>
  </si>
  <si>
    <t xml:space="preserve"> +1 888-445-8745</t>
  </si>
  <si>
    <t>20157149818</t>
  </si>
  <si>
    <t>20317105950</t>
  </si>
  <si>
    <t>Invoicing- email cheryl.hofmeister@organon.com</t>
  </si>
  <si>
    <t>20156182640</t>
  </si>
  <si>
    <t xml:space="preserve"> +1 551-430-6000</t>
  </si>
  <si>
    <t>17152009868</t>
  </si>
  <si>
    <t>organon.com</t>
  </si>
  <si>
    <t>Organon &amp; Co. is an American pharmaceutical company headquartered in Jersey City, New Jersey.</t>
  </si>
  <si>
    <t>23454990763</t>
  </si>
  <si>
    <t>Orion</t>
  </si>
  <si>
    <t>https://orion.com/</t>
  </si>
  <si>
    <t>Orion Advisor Solutions is a tech powerhouse in wealth management, offering tailored technology and investment solutions for advisors to compete successfully and empower firms to attract new clients seamlessly.</t>
  </si>
  <si>
    <t>23459568034</t>
  </si>
  <si>
    <t>Orion Advisor Services,</t>
  </si>
  <si>
    <t>orionadvisor.com</t>
  </si>
  <si>
    <t>Orion Advisor is a company that provides fully integrated portfolio accounting, daily reconciliation, trade order management, performance reporting, and advisory fee billing for financial advisors.</t>
  </si>
  <si>
    <t xml:space="preserve"> +1 402-496-3513</t>
  </si>
  <si>
    <t>22702769735</t>
  </si>
  <si>
    <t>Pacific Gas &amp; Electric</t>
  </si>
  <si>
    <t>pge.com</t>
  </si>
  <si>
    <t>Pacific Gas &amp; Electric Company (PG&amp;E) is a major American utility company providing natural gas and electric services to residential, commercial, industrial, and agricultural customers in northern and central California. With a history dating back to 1...</t>
  </si>
  <si>
    <t xml:space="preserve"> +1 925-270-2772</t>
  </si>
  <si>
    <t>20158954245</t>
  </si>
  <si>
    <t>Pacific Gas &amp; Electric Company</t>
  </si>
  <si>
    <t>20317080867</t>
  </si>
  <si>
    <t>Papa John's International Inc</t>
  </si>
  <si>
    <t>papajohns.com</t>
  </si>
  <si>
    <t>Papa John's International, Inc. (Papa John's) is a leading pizza chain that operates and franchises pizza delivery and carryout restaurants worldwide. Known for its motto 'Better Ingredients. Better Pizza.', Papa John's offers a variety of pizza option...</t>
  </si>
  <si>
    <t xml:space="preserve"> +1 502-261-7272</t>
  </si>
  <si>
    <t>20317057899</t>
  </si>
  <si>
    <t>Paramount</t>
  </si>
  <si>
    <t>20156182644</t>
  </si>
  <si>
    <t>Paramount Global</t>
  </si>
  <si>
    <t>22702462758</t>
  </si>
  <si>
    <t>Parasoft</t>
  </si>
  <si>
    <t>parasoft.com</t>
  </si>
  <si>
    <t>Parasoft delivers automated software testing solutions for secure, reliable, and compliant software, trusted by Fortune 500 companies. Their platform integrates various testing methods to streamline software delivery efficiently.</t>
  </si>
  <si>
    <t xml:space="preserve"> +1 888-305-0041</t>
  </si>
  <si>
    <t>22702618141</t>
  </si>
  <si>
    <t>partech.com</t>
  </si>
  <si>
    <t>partech.com provides comprehensive technology solutions for the hospitality industry, including point of sale systems, omnichannel ordering, and management platforms, aimed at enhancing the guest experience and streamlining operations for restaurants, ...</t>
  </si>
  <si>
    <t xml:space="preserve"> +1 315-738-0600</t>
  </si>
  <si>
    <t>20157344271</t>
  </si>
  <si>
    <t>Paul Hastings</t>
  </si>
  <si>
    <t>(858) 458-3000</t>
  </si>
  <si>
    <t>23468318479</t>
  </si>
  <si>
    <t>Paysafe</t>
  </si>
  <si>
    <t>https://www.paysafe.com</t>
  </si>
  <si>
    <t>Paysafe is a leading specialized payments platform that provides digital payment solutions to businesses and consumers worldwide. With a focus on payment processing, digital wallets, and online cash solutions, Paysafe enables seamless transactions across various industries such as iGaming, travel, retail, and financial services.</t>
  </si>
  <si>
    <t xml:space="preserve"> +44 20 3884 9226</t>
  </si>
  <si>
    <t>22702733206</t>
  </si>
  <si>
    <t>Peerless Technologies</t>
  </si>
  <si>
    <t>epeerless.com</t>
  </si>
  <si>
    <t>Peerless Technologies Corporation is a nationally recognized company based in Dayton, Ohio, providing quality services to federal government clients across the country. With a focus on defense and space manufacturing, cybersecurity, intelligence, and m...</t>
  </si>
  <si>
    <t xml:space="preserve"> +1 937-490-5000</t>
  </si>
  <si>
    <t>23453934443</t>
  </si>
  <si>
    <t>PenFed Credit Union</t>
  </si>
  <si>
    <t>http://www.penfed.org</t>
  </si>
  <si>
    <t>PenFed Credit Union, established in 1935, is a leading financial institution with over 2.8 million members and $30 billion in assets. Offering a wide range of financial services, PenFed provides loans, savings, credit cards, and more to members across the United States and worldwide, with a focus on empowering individuals to achieve their financial goals.</t>
  </si>
  <si>
    <t xml:space="preserve"> +1 877-520-1160</t>
  </si>
  <si>
    <t>20317053327</t>
  </si>
  <si>
    <t>Penn Entertainment</t>
  </si>
  <si>
    <t>23456200595</t>
  </si>
  <si>
    <t>People's United Bank, N.A.</t>
  </si>
  <si>
    <t>http://www.peoples.com</t>
  </si>
  <si>
    <t>People's United Bank is a subsidiary of People's United Financial, Inc., a diversified, community focused financial services company headquartered in the Northeast with more than $60 billion in assets. Founded in 1842, People’s United Bank offers commercial and retail banking through a network of over 400 retail locations in Connecticut, New York, Massachusetts, Vermont, New Hampshire and Maine, as well as wealth management and insurance solutions. The company also provides specialized commercial services to customers nationwide.</t>
  </si>
  <si>
    <t xml:space="preserve"> +1 203-338-4114</t>
  </si>
  <si>
    <t>20316496904</t>
  </si>
  <si>
    <t>PepsiCo</t>
  </si>
  <si>
    <t>20156086457</t>
  </si>
  <si>
    <t>Pepsico</t>
  </si>
  <si>
    <t>20382850218</t>
  </si>
  <si>
    <t>Percepta LLC</t>
  </si>
  <si>
    <t>percepta.com</t>
  </si>
  <si>
    <t>Vendor</t>
  </si>
  <si>
    <t>Percepta is a global customer relationship organization that manages all forms of contact with our clients’ customers, prospective customers, suppliers and distribution networks. We have positioned ourselves as a customer contact specialist, managing a...</t>
  </si>
  <si>
    <t>Percepta ServiceNow Support</t>
  </si>
  <si>
    <t>18801568369</t>
  </si>
  <si>
    <t>20317491373</t>
  </si>
  <si>
    <t>Performance Contracting Group</t>
  </si>
  <si>
    <t>performancecontracting.com</t>
  </si>
  <si>
    <t>PCI: Performance Contracting, Inc. | Top Specialty Contractor As one of the leading specialty contractors in the United States, PCI offers quality services and products to the industrial, commercial and non residential markets. We provide our customers...</t>
  </si>
  <si>
    <t xml:space="preserve"> +1 913-888-8600</t>
  </si>
  <si>
    <t>23454683802</t>
  </si>
  <si>
    <t>Pershing, a BNY Mellon company</t>
  </si>
  <si>
    <t>http://www.pershing.com</t>
  </si>
  <si>
    <t>Pershing, a part of BNY Mellon, is a leading global provider of financial business solutions to institutional and retail financial organizations, RIAs, advisors, and managers. They offer resources to improve profitability, drive growth, enhance efficiency, attract talent, and manage risk and regulation. With a network of 23 offices worldwide, Pershing serves over 6 million investor accounts globally.</t>
  </si>
  <si>
    <t>22391480072</t>
  </si>
  <si>
    <t>Petra Cyber Technologies</t>
  </si>
  <si>
    <t>21945764139</t>
  </si>
  <si>
    <t>petrobras.com.br</t>
  </si>
  <si>
    <t>Petrobras specializes in oil, natural gas, and energy, providing ethical, safe, and competitive energy solutions with a focus on exploration and production in deep waters.</t>
  </si>
  <si>
    <t xml:space="preserve"> +55 21 3224-2040</t>
  </si>
  <si>
    <t>20157326667</t>
  </si>
  <si>
    <t>17152774512</t>
  </si>
  <si>
    <t>petrobras.com</t>
  </si>
  <si>
    <t>Petrobras.com.br is a leading Brazilian energy company that specializes in the exploration, production, and distribution of oil and natural gas. They offer a wide range of services including fueling stations, lubricants, and natural gas distribution. T...</t>
  </si>
  <si>
    <t>20316948373</t>
  </si>
  <si>
    <t>Pfizer</t>
  </si>
  <si>
    <t>pfizer.com</t>
  </si>
  <si>
    <t>At Pfizer, we realized the value of diversity through reflecting it in our supply based. Supplier Diversity is a strategic business process aimed at providing companies owned by minorities and women an equal opportunity to become suppliers to Pfizer and support our efforts to continually lead the way to a healthier world. We recognize that minority and women owned companies are not always given the opportunity to compete for our business in the same ways as their larger and more widely know counterparts, and as such, make deliberate efforts through our program to further enable fair competition.</t>
  </si>
  <si>
    <t xml:space="preserve"> +1 212-733-2323</t>
  </si>
  <si>
    <t>20159003188</t>
  </si>
  <si>
    <t>1 (800) 879-3477</t>
  </si>
  <si>
    <t>20157279501</t>
  </si>
  <si>
    <t>PG&amp;E</t>
  </si>
  <si>
    <t>20317433507</t>
  </si>
  <si>
    <t>PG&amp;E Corporation</t>
  </si>
  <si>
    <t>cvmas10.cvmsolutions.com</t>
  </si>
  <si>
    <t>A diverse supplier is defined as 51 percent owned by a woman, minority or disabled veteran (WMDVBE) who manages and controls the firm’s day-to-day business operations. In 2012, PG&amp;amp;E also added lesbian, gay, bisexual and transgender (LGBT) business enterprises to its well-established Supplier Diversity Program.
Firms must be located in the United States or its territories; and the owners must be U.S. citizens or legal permanent residents. Learn how to become a certified diverse supplier.
In 2013, PG&amp;amp;E achieved its highest level of diversity spending at $2.3 billion or 42.1 percent. This percentage represents the fifth consecutive year PG&amp;amp;E surpassed the cumulative percentage established by the California Public Utilities Commission (CPUC) for procurement from diverse vendors. We met this goal both through contracting directly with diverse firms and through our prime contractors sub-contracting with diverse firms.</t>
  </si>
  <si>
    <t>20316962874</t>
  </si>
  <si>
    <t>PGA of America</t>
  </si>
  <si>
    <t>pga.com</t>
  </si>
  <si>
    <t>The PGA of America is one of the world's largest sports organization, comprised
 of 28,000 men and women Golf Professionals who are the recognized 
experts in teaching and growing the game. Founded in 1916, the PGA of 
America has enhanced its leadership position by conducting premier 
spectator events – PGA Championship, Ryder Cup, KitchenAid Senior PGA Championship and KPMG Women's PGA Championship – as well as 
significant philanthropic outreach initiatives, and award-winning golf 
promotions.</t>
  </si>
  <si>
    <t xml:space="preserve"> +1 561-624-8400</t>
  </si>
  <si>
    <t>20316906411</t>
  </si>
  <si>
    <t>PGA Tour</t>
  </si>
  <si>
    <t>pgatour.com</t>
  </si>
  <si>
    <t>PGATOUR.COM is the official website of the PGA TOUR, the world's foremost golf Tour. It provides real-time live scoring for the PGA TOUR, Champions Tour, and Korn Ferry Tour. The PGA TOUR is a membership organization of professional golfers with the ai...</t>
  </si>
  <si>
    <t xml:space="preserve"> +1 904-285-3700</t>
  </si>
  <si>
    <t>23443067473</t>
  </si>
  <si>
    <t>Phoenix Group</t>
  </si>
  <si>
    <t>http://www.thephoenixgroup.com/</t>
  </si>
  <si>
    <t>Phoenix Group is the UK's largest long-term savings and retirement business, specializing in the management and acquisition of closed life and pension funds. With assets under management of £76 billion, Phoenix Group offers legacy products under various fund types, including savings, investments, annuities, and protection policies. The company's customer brands include SunLife, Standard Life, Phoenix Life, and ReAssure, with a focus on managing 'heritage' books of business. Phoenix Group is committed to helping individuals plan for their future and take control of their longer lives.</t>
  </si>
  <si>
    <t xml:space="preserve"> +44 20 3567 9100</t>
  </si>
  <si>
    <t>23443235153</t>
  </si>
  <si>
    <t>PHP Agency, Inc.</t>
  </si>
  <si>
    <t>http://www.phpagency.com</t>
  </si>
  <si>
    <t>PHP Agency is a tech-enabled financial services marketing company that provides life insurance and retirement planning products. With over 27,000 licensed agents, PHP has served over 450,000 American families, partnering with leading insurance carriers like AIG and Nationwide. The company's mission is to provide financial education to underserved communities and help protect families' legacies through life insurance products.</t>
  </si>
  <si>
    <t>23447766957</t>
  </si>
  <si>
    <t>23440742522</t>
  </si>
  <si>
    <t>Pictet Group</t>
  </si>
  <si>
    <t>https://www.pictet.com</t>
  </si>
  <si>
    <t>Pictet Group, founded in 1805, is a leading independent investment firm specializing in wealth and asset management. With over 200 years of experience and CHF 609 billion in assets under management, Pictet is committed to responsible partnerships and long-term investment strategies.</t>
  </si>
  <si>
    <t xml:space="preserve"> +41 58 323 23 23</t>
  </si>
  <si>
    <t>23448532102</t>
  </si>
  <si>
    <t>PIMCO</t>
  </si>
  <si>
    <t>https://www.pimco.com/gbl/en/</t>
  </si>
  <si>
    <t>PIMCO is a global leader in active fixed income, providing investment solutions for institutions, professionals, and individuals worldwide.</t>
  </si>
  <si>
    <t xml:space="preserve"> +1 800-927-4648</t>
  </si>
  <si>
    <t>20315824997</t>
  </si>
  <si>
    <t>Pitney Bowes, Inc.</t>
  </si>
  <si>
    <t>pitneybowes.com</t>
  </si>
  <si>
    <t>Pitney Bowes is a global shipping and mailing company that provides technology, logistics, and financial services. Pitney Bowes Inc. offers customer information management, location intelligence, and customer engagement products and solutions. They als...</t>
  </si>
  <si>
    <t xml:space="preserve"> +1 203-356-5000</t>
  </si>
  <si>
    <t>20317408002</t>
  </si>
  <si>
    <t>Planterra Corporation</t>
  </si>
  <si>
    <t>planterra.com</t>
  </si>
  <si>
    <t>Planterra is a company that provides interior landscaping, plantscaping, living walls, holiday décor, and office plant rentals to commercial facilities nationwide.</t>
  </si>
  <si>
    <t>23447299433</t>
  </si>
  <si>
    <t>Platinum Hills Tax &amp; Investment</t>
  </si>
  <si>
    <t>http://www.investmentnz.govt.nz</t>
  </si>
  <si>
    <t>Investment New Zealand is New Zealand’s national investment promotion agency, specializing in assisting international corporate investors to relocate, establish operations, and invest in New Zealand. They facilitate partnerships between high-growth New Zealand businesses and international investors, providing capital, technical expertise, and global market access. With a network of investment managers worldwide, they promote New Zealand as an attractive investment destination and support overseas companies in seizing opportunities in the country.</t>
  </si>
  <si>
    <t>20159048482</t>
  </si>
  <si>
    <t>PNC Financial Services</t>
  </si>
  <si>
    <t>17137483409</t>
  </si>
  <si>
    <t>PNC Financial Services Group</t>
  </si>
  <si>
    <t>http://www.pnc.com</t>
  </si>
  <si>
    <t>The PNC Financial Services Group, Inc. is an American bank holding company based in Pittsburgh, Pennsylvania. Operating through its banking subsidiary, PNC Bank, it offers a wide range of financial services including banking, asset management, wealth m...</t>
  </si>
  <si>
    <t xml:space="preserve"> +1 888-762-2265</t>
  </si>
  <si>
    <t>19359691779</t>
  </si>
  <si>
    <t>20155935748</t>
  </si>
  <si>
    <t>PNC Financial Services Group, Inc.</t>
  </si>
  <si>
    <t>23446978879</t>
  </si>
  <si>
    <t>Point72</t>
  </si>
  <si>
    <t>http://www.point72.com</t>
  </si>
  <si>
    <t>Point72 Asset Management, led by Steven Cohen, is a global firm specializing in diverse asset classes and strategies, prioritizing superior returns and ethical standards through innovative talent development and data-driven decision-making.</t>
  </si>
  <si>
    <t xml:space="preserve"> +1 203-890-2868</t>
  </si>
  <si>
    <t>22702855528</t>
  </si>
  <si>
    <t>Pratt &amp; Whitney</t>
  </si>
  <si>
    <t>prattwhitney.com</t>
  </si>
  <si>
    <t>Pratt &amp; Whitney is a global leader in designing, manufacturing, and servicing advanced aircraft engines and auxiliary power systems for commercial, military, and business aircraft. With a strong presence in the aviation industry, the company's innovati...</t>
  </si>
  <si>
    <t>20315933050</t>
  </si>
  <si>
    <t>Praxair, Inc.</t>
  </si>
  <si>
    <t>praxair.com</t>
  </si>
  <si>
    <t>Linde North America, a world-leading industrial gas and equipment supplier, offers a wide range of gases and services to various industries worldwide.</t>
  </si>
  <si>
    <t xml:space="preserve"> +1 844-445-4633</t>
  </si>
  <si>
    <t>20159111274</t>
  </si>
  <si>
    <t>PricewaterhouseCoopers LLP</t>
  </si>
  <si>
    <t>20316906410</t>
  </si>
  <si>
    <t>Pride Global</t>
  </si>
  <si>
    <t>prideglobal.com</t>
  </si>
  <si>
    <t>Pride Global is a minority owned integrated human capital solutions &amp; advisory firm headquartered in New York City. With our global network of specialized firms, we offer human resources and workforce solutions that empower diversity, ensure compliance...</t>
  </si>
  <si>
    <t xml:space="preserve"> +1 212-235-5300</t>
  </si>
  <si>
    <t>23452911771</t>
  </si>
  <si>
    <t>PrimeLending, A PlainsCapital Company</t>
  </si>
  <si>
    <t>http://primelending.com</t>
  </si>
  <si>
    <t>PrimeLending specializes in providing a wide range of home loan products, including fixed and adjustable rate mortgages, FHA and VA loans, and renovation loans, while ensuring a straightforward and efficient loan process for customers looking to buy, refinance, or renovate their homes.</t>
  </si>
  <si>
    <t xml:space="preserve"> +1 214-252-4000</t>
  </si>
  <si>
    <t>23446356225</t>
  </si>
  <si>
    <t>Primerica</t>
  </si>
  <si>
    <t>https://www.primerica.com/public/corp-social-media-disclosures.html</t>
  </si>
  <si>
    <t>Primerica is a leading financial services company in North America, offering term life insurance, investment and savings products, and corporate distributed products. With a focus on serving middle-income families, Primerica provides financial education and products to help clients achieve financial security. The company also offers individuals the opportunity to build their own financial services business.</t>
  </si>
  <si>
    <t xml:space="preserve"> +1 770-381-1000</t>
  </si>
  <si>
    <t>20316887714</t>
  </si>
  <si>
    <t>Principal Financial Group</t>
  </si>
  <si>
    <t>secure02.principal.com</t>
  </si>
  <si>
    <t>The Principal® recognizes value in doing business with diverse suppliers. We strive to include diverse suppliers in all bidding opportunities and seek partners that contribute to our strategic business objectives and financial performance.</t>
  </si>
  <si>
    <t xml:space="preserve"> +1 515-247-5111</t>
  </si>
  <si>
    <t>22702769734</t>
  </si>
  <si>
    <t>Procentrix,</t>
  </si>
  <si>
    <t>procentrix.com</t>
  </si>
  <si>
    <t>Procentrix is a technology and systems development firm based in Herndon, Virginia that specializes in conceptualizing, designing, and implementing solutions that help clients maximize their investments, primarily in Microsoft products and technologies...</t>
  </si>
  <si>
    <t>20805615411</t>
  </si>
  <si>
    <t>Process Inventory Advisors</t>
  </si>
  <si>
    <t>michaelschank.com</t>
  </si>
  <si>
    <t>19362909466</t>
  </si>
  <si>
    <t>22702724971</t>
  </si>
  <si>
    <t>processinventoryadvisors.com</t>
  </si>
  <si>
    <t>20317057900</t>
  </si>
  <si>
    <t>pgsupplier.com</t>
  </si>
  <si>
    <t>Procter &amp;amp; Gamble
(P&amp;amp;G) is a global consumer goods company known for its superior products
that enhance the lives of consumers worldwide. Some of our brands you might
recognize are Tide, Pampers, Olay, Pantene, Head &amp;amp; Shoulders, Gillette, Crest,
Oral-B, Bounty, and Charmin.  P&amp;amp;G's
commitment to diversity in supply chains drives positive social and economic
impact. By partnering with diverse suppliers, P&amp;amp;G fosters an inclusive
environment that brings unique perspectives and innovations to their products
and services. This approach not only supports underrepresented entrepreneurs
but also taps into untapped potential. By promoting diversity, P&amp;amp;G creates
job opportunities, promotes economic growth, and better understands and caters
to the diverse needs of their customers. Our dedication to superior
products and diverse supply chains sets us apart as a global industry leader,
continuously innovating and making a positive impact on society.</t>
  </si>
  <si>
    <t xml:space="preserve"> +1 513-983-1100</t>
  </si>
  <si>
    <t>20156051115</t>
  </si>
  <si>
    <t>1 (513) 983-1100</t>
  </si>
  <si>
    <t>22702978097</t>
  </si>
  <si>
    <t>Proton</t>
  </si>
  <si>
    <t>passinbox.com</t>
  </si>
  <si>
    <t>Proton is a privacy-focused company that provides a range of secure online services to over 100 million users worldwide. Their offerings include encrypted email, calendar, drive, and VPN services, all designed to protect user privacy and data. With a t...</t>
  </si>
  <si>
    <t>20315570830</t>
  </si>
  <si>
    <t>Providence</t>
  </si>
  <si>
    <t>providence.org</t>
  </si>
  <si>
    <t>Providence is a world-class not-for-profit faith-based health care system that operates multiple hospitals and medical clinics across several states in the United States. They provide a comprehensive range of health and social services, including acute...</t>
  </si>
  <si>
    <t>4255253355</t>
  </si>
  <si>
    <t>20317168189</t>
  </si>
  <si>
    <t>http://www.prudential.com</t>
  </si>
  <si>
    <t>Prudential is committed to providing meaningful opportunities for qualified diverse vendors to compete for business.  The Company recognizes that purchasing products and services from businesses that reflect the demographics of our markets contributes to the sustainability of communities, customers, and Prudential.</t>
  </si>
  <si>
    <t xml:space="preserve"> +1 973-802-6000</t>
  </si>
  <si>
    <t>23454668823</t>
  </si>
  <si>
    <t>PSP Investments</t>
  </si>
  <si>
    <t>investpsp.ca</t>
  </si>
  <si>
    <t>PSP Investments is a Canadian pension investment manager with $230.5B in net assets, specializing in diverse global investments to ensure long-term sustainability and drive the transition to global net zero.</t>
  </si>
  <si>
    <t>23446356243</t>
  </si>
  <si>
    <t>http://www.investpsp.com</t>
  </si>
  <si>
    <t>23464291124</t>
  </si>
  <si>
    <t>PT. MITSUBISHI HC CAPITAL AND FINANCE INDONESIA</t>
  </si>
  <si>
    <t>https://www.id.lf.mufg.jp/</t>
  </si>
  <si>
    <t>20317195788</t>
  </si>
  <si>
    <t>Public Services Enterprise Group (PSEG)</t>
  </si>
  <si>
    <t>23463512141</t>
  </si>
  <si>
    <t>Q2</t>
  </si>
  <si>
    <t>http://www.q2.com</t>
  </si>
  <si>
    <t>Q2 develops comprehensive digital banking solutions that enhance the banking and lending experiences for financial institutions, enabling them to better serve their customers and strengthen community ties.</t>
  </si>
  <si>
    <t xml:space="preserve"> +1 531-289-2400</t>
  </si>
  <si>
    <t>23449473137</t>
  </si>
  <si>
    <t>QNB Finansbank</t>
  </si>
  <si>
    <t>http://qnbfinansbank.com</t>
  </si>
  <si>
    <t>QNB Finansbank is a leading financial institution in Turkey, providing innovative and convenient banking solutions for individual and corporate clients with a strong emphasis on creativity, leadership, and commitment.</t>
  </si>
  <si>
    <t xml:space="preserve"> +90 850 222 0974</t>
  </si>
  <si>
    <t>23448996771</t>
  </si>
  <si>
    <t>QNB Group</t>
  </si>
  <si>
    <t>http://qnb.com</t>
  </si>
  <si>
    <t>QNB Group, established in 1964, is the largest bank in Qatar and the Middle East and Africa region. Offering a wide range of banking services, including investment banking and brokerage, QNB is known for its strong financial performance and community support.</t>
  </si>
  <si>
    <t>20316657008</t>
  </si>
  <si>
    <t>Quanta Services</t>
  </si>
  <si>
    <t>quantaservices.com</t>
  </si>
  <si>
    <t>Quanta Services is the leading specialty contractor with one of the largest and most highly trained workforces in North America — providing fully integrated infrastructure solutions for the electric power, underground utility and communications industries. The company’s geographic footprint spans the United States, Canada and Australia, and its network of companies ensures world-class execution with local delivery.</t>
  </si>
  <si>
    <t xml:space="preserve"> +1 713-629-7600</t>
  </si>
  <si>
    <t>22516392968</t>
  </si>
  <si>
    <t>Quantum Ventura</t>
  </si>
  <si>
    <t>quantumventura.com</t>
  </si>
  <si>
    <t>Quantum Ventura Inc specializes in AI/Machine Learning, Cyber &amp; Mobile Security, Big Data Analytics. Quantum Research Labs undertakes advanced system research. Headquartered in the heart of Silicon Valley at the historic San Jose downtown, Quantum Vent...</t>
  </si>
  <si>
    <t>23453925725</t>
  </si>
  <si>
    <t>Quicken Loans</t>
  </si>
  <si>
    <t>http://www.quickenloans.com</t>
  </si>
  <si>
    <t>Rocket Mortgage, formerly Quicken Loans, is America's top online mortgage lender offering tailored financial solutions and a variety of home loan options to help customers achieve their goals.</t>
  </si>
  <si>
    <t xml:space="preserve"> +1 916-227-0931</t>
  </si>
  <si>
    <t>20315899765</t>
  </si>
  <si>
    <t>Qurate Retail Group Inc</t>
  </si>
  <si>
    <t>qurateretailgroup.com</t>
  </si>
  <si>
    <t>Qurate Retail Group is a leading player in video commerce, offering curated shopping experiences across multiple platforms. They combine shopping and entertainment to provide products, experiences, conversations, and communities for discerning shoppers...</t>
  </si>
  <si>
    <t xml:space="preserve"> +1 720-875-5400</t>
  </si>
  <si>
    <t>22702951228</t>
  </si>
  <si>
    <t>qureshi.co.uk</t>
  </si>
  <si>
    <t>Qureshi.co.uk is a web hosting company that offers hosting services, affiliate programs, and website building assistance. With a focus on helping individuals earn money online and create their own websites, Qureshi.co.uk provides a user-friendly platfo...</t>
  </si>
  <si>
    <t>23462040453</t>
  </si>
  <si>
    <t>Rabobank</t>
  </si>
  <si>
    <t>http://www.rabobank.com</t>
  </si>
  <si>
    <t>Rabobank operates as a cooperative bank, emphasizing customer engagement and support while providing online banking services tailored for both private and business clients.</t>
  </si>
  <si>
    <t>22417167948</t>
  </si>
  <si>
    <t>Rancher Government Solutions</t>
  </si>
  <si>
    <t>ranchergovernment.com</t>
  </si>
  <si>
    <t>Rancher Government Solutions delivers secure and certified open source and cloud native software for the US Government, specializing in Kubernetes multi-cluster management and addressing unique security needs.</t>
  </si>
  <si>
    <t xml:space="preserve"> +1 800-952-5210</t>
  </si>
  <si>
    <t>20752383654</t>
  </si>
  <si>
    <t>Randstad North America Inc</t>
  </si>
  <si>
    <t>randstadusa.com</t>
  </si>
  <si>
    <t>Randstad USA is a top staffing agency connecting job seekers with employers in finance, technology, and more. With a workforce of over 100,000 people managed weekly, Randstad provides HR services through a blend of high-tech and high-touch processes.</t>
  </si>
  <si>
    <t xml:space="preserve"> +1 770-937-7000</t>
  </si>
  <si>
    <t>20317493391</t>
  </si>
  <si>
    <t>Randstad Sourceright Ltd</t>
  </si>
  <si>
    <t>randstadsourceright.com</t>
  </si>
  <si>
    <t>Randstad Sourceright is a global talent leader, providing solutions and expertise that help companies position for growth, execute on strategy, and improve business agility. Our experience encompasses all facets of talent, including traditional employe...</t>
  </si>
  <si>
    <t>23449009457</t>
  </si>
  <si>
    <t>Rathbones Group Plc</t>
  </si>
  <si>
    <t>https://www.rathbones.com</t>
  </si>
  <si>
    <t>Rathbones Group Plc specializes in providing comprehensive wealth and investment management services, including discretionary investment management, tax planning, and financial advisory services, to private clients, charities, and professional partners.</t>
  </si>
  <si>
    <t xml:space="preserve"> +44 20 7399 0000</t>
  </si>
  <si>
    <t>23461267503</t>
  </si>
  <si>
    <t>Raymond James</t>
  </si>
  <si>
    <t>http://www.raymondjames.com</t>
  </si>
  <si>
    <t>Raymond James is a client-focused global financial services firm that specializes in wealth management, capital markets, and asset management, providing tailored financial solutions to individuals, businesses, and municipalities to help them achieve their financial goals.</t>
  </si>
  <si>
    <t xml:space="preserve"> +1 727-567-1000</t>
  </si>
  <si>
    <t>23439969305</t>
  </si>
  <si>
    <t>Raymond James Ltd.</t>
  </si>
  <si>
    <t>http://www.raymondjames.ca</t>
  </si>
  <si>
    <t>Raymond James Ltd. is a diversified financial services firm with a strong and independent history in Canada, providing trusted advice and tailored solutions for individuals and institutions. As the Canadian subsidiary of Raymond James Financial, Inc., the company offers full-service investment dealer services, including financial planning, investment banking, and asset management. With over 80 years of experience, Raymond James Ltd. is committed to helping clients achieve a 'Life Well Planned.'</t>
  </si>
  <si>
    <t xml:space="preserve"> +1 416 777 7000</t>
  </si>
  <si>
    <t>23446512429</t>
  </si>
  <si>
    <t>20316760739</t>
  </si>
  <si>
    <t>raytheon.com</t>
  </si>
  <si>
    <t>Raytheon strives to provide an inclusive environment to do business for small, minority-owned, veteran-owned (including service disabled veterans), lesbian, gay, bisexual, and transgender (LGBT)-owned, persons with disabilities-owned, and HUBZone businesses.
Raytheon also seeks to provide an inclusive environment for historically black colleges, universities, and minority institutions to participate in the procurement of technical, engineering, and research services.
To that end, Raytheon is committed to a diverse supply base that reflects the demographics and values of our Company, customers, and the communities in which we operate.</t>
  </si>
  <si>
    <t>23454209711</t>
  </si>
  <si>
    <t>RBC</t>
  </si>
  <si>
    <t>http://www.rbc.com</t>
  </si>
  <si>
    <t>Royal Bank of Canada (RBC) is a global financial institution offering personal and commercial banking, wealth management, insurance, investor services, and capital markets products. With a diverse business model and a focus on innovation, RBC serves clients in Canada, the U.S., and 27 other countries. The company's 88,000+ employees drive its purpose-driven approach to help clients thrive and communities prosper.</t>
  </si>
  <si>
    <t xml:space="preserve"> +1 416 974 3940</t>
  </si>
  <si>
    <t>23439969303</t>
  </si>
  <si>
    <t>RBC Global Asset Management</t>
  </si>
  <si>
    <t>http://www.rbcgam.com</t>
  </si>
  <si>
    <t>RBC Global Asset Management (RBC GAM) is the asset management division of Royal Bank of Canada (RBC) and includes money managers BlueBay Asset Management and Phillips, Hager &amp; North Investment Management. RBC GAM is a provider of global investment mana...</t>
  </si>
  <si>
    <t xml:space="preserve"> +1 800 422 2766</t>
  </si>
  <si>
    <t>23456413246</t>
  </si>
  <si>
    <t>RBC Wealth Management</t>
  </si>
  <si>
    <t>http://www.rbcwealthmanagement.com</t>
  </si>
  <si>
    <t>RBC Wealth Management is a business that provides tailored strategies to help clients grow and protect their wealth, with a focus on their unique values and aspirations.</t>
  </si>
  <si>
    <t>20156051119</t>
  </si>
  <si>
    <t>Red Sand Systems, LLC.</t>
  </si>
  <si>
    <t>17152010037</t>
  </si>
  <si>
    <t>23462358538</t>
  </si>
  <si>
    <t>Regions Bank</t>
  </si>
  <si>
    <t>https://www.regions.com</t>
  </si>
  <si>
    <t>Regions Bank is a financial holding company that offers a wide range of banking services, including checking, savings, mortgages, loans, wealth management, and more. With a strong presence in the South, Midwest, and Texas, Regions Bank operates through approximately 1,300 banking offices and 2,000 ATMs, serving both consumer and commercial clients. Their mission focuses on making life better for associates, customers, and communities, guided by core values like integrity, customer focus, and inclusivity.</t>
  </si>
  <si>
    <t xml:space="preserve"> +1 800-734-4667</t>
  </si>
  <si>
    <t>23453929508</t>
  </si>
  <si>
    <t>Republic Bank</t>
  </si>
  <si>
    <t>http://www.republicbank.com</t>
  </si>
  <si>
    <t>Republic Bank is the largest locally owned community bank in Kentucky, offering a full range of competitive banking services with a focus on personalized service and ease of banking for clients.</t>
  </si>
  <si>
    <t xml:space="preserve"> +1 502-584-3600</t>
  </si>
  <si>
    <t>23463979628</t>
  </si>
  <si>
    <t>Republic Finance</t>
  </si>
  <si>
    <t>http://www.republicfinance.com</t>
  </si>
  <si>
    <t>Republic Finance specializes in providing a wide range of personal consumer loans, including options for vacations, bill consolidation, and home improvements, while emphasizing flexible lending solutions and exceptional customer service.</t>
  </si>
  <si>
    <t xml:space="preserve"> +1 225-927-0005</t>
  </si>
  <si>
    <t>23459724314</t>
  </si>
  <si>
    <t>Retired</t>
  </si>
  <si>
    <t>http://www.azlockbox.com</t>
  </si>
  <si>
    <t>AZ Lockbox offers secure storage solutions with high-quality lockboxes and key management systems for businesses and individuals.</t>
  </si>
  <si>
    <t>23449480009</t>
  </si>
  <si>
    <t>Revolut</t>
  </si>
  <si>
    <t>https://www.revolut.com</t>
  </si>
  <si>
    <t>Revolut is a global financial superapp that offers a wide range of innovative products and services. With over 40 million customers worldwide, Revolut allows users to send money internationally, hold multiple currencies, spend in various currencies, and manage their finances efficiently.</t>
  </si>
  <si>
    <t xml:space="preserve"> +44 844 744 3512</t>
  </si>
  <si>
    <t>20316887710</t>
  </si>
  <si>
    <t>Reynolds American</t>
  </si>
  <si>
    <t>20995738643</t>
  </si>
  <si>
    <t>Rhode Island Housing and Mortgage Finance Corporation</t>
  </si>
  <si>
    <t>rihousing.com</t>
  </si>
  <si>
    <t>RIHousing is a company that works to ensure that all people who live and work in Rhode Island can afford a safe, healthy home that meets their needs. They provide programs to help individuals fix their existing homes or finance a new one. They also ove...</t>
  </si>
  <si>
    <t>Rhode Island - Strategic Planning Services for Child Support Case Management IT Modernization  </t>
  </si>
  <si>
    <t>18801568301</t>
  </si>
  <si>
    <t>20806089338</t>
  </si>
  <si>
    <t>RI.gov</t>
  </si>
  <si>
    <t>doit.ri.gov</t>
  </si>
  <si>
    <t>RI.gov is the official website of the State of Rhode Island, dedicated to moving the state forward. It serves as the online platform for Governor Gina Raimondo and provides various government services and information to the residents of Rhode Island.</t>
  </si>
  <si>
    <t>4014446220</t>
  </si>
  <si>
    <t>20317124690</t>
  </si>
  <si>
    <t>RICOH USA, Inc.</t>
  </si>
  <si>
    <t>22702713975</t>
  </si>
  <si>
    <t>rinkaita.com</t>
  </si>
  <si>
    <t>20316768422</t>
  </si>
  <si>
    <t>Rivendell Media, Inc</t>
  </si>
  <si>
    <t>rivendellmedia.com</t>
  </si>
  <si>
    <t>Rivendell Media is a leading LGBT media company that provides a wide range of products and services to the LGBTQ+ community. With a focus on inclusivity and diversity, Rivendell Media offers advertising solutions, marketing campaigns, and media plannin...</t>
  </si>
  <si>
    <t>23436775598</t>
  </si>
  <si>
    <t>Riyad Bank</t>
  </si>
  <si>
    <t>http://www.riyadbank.com/</t>
  </si>
  <si>
    <t>Riyad Bank is a leading financial institution in Saudi Arabia and the Middle East, offering a wide range of Islamic banking products and services for retail, corporate, and investment banking. Established in 1957, the bank's global presence includes branches in London and offices in Houston and Singapore, providing innovative financing solutions.</t>
  </si>
  <si>
    <t>22517259678</t>
  </si>
  <si>
    <t>RKL Technologies</t>
  </si>
  <si>
    <t>rkltech.com</t>
  </si>
  <si>
    <t>RKL Technologies, LLC is a precision contract machine shop located in Corona, California. They specialize in providing high-quality machining services with a focus on cleanliness and tight tolerances. With over 100 years of manufacturing experience, RK...</t>
  </si>
  <si>
    <t xml:space="preserve"> +1 951-738-8000</t>
  </si>
  <si>
    <t>20317506572</t>
  </si>
  <si>
    <t>Robert Half</t>
  </si>
  <si>
    <t>roberthalf.com</t>
  </si>
  <si>
    <t>Robert Half is the world's first and largest specialized staffing firm, providing skilled professionals in the fields of accounting and finance, technology, legal, creative, marketing, and administration.  We have more than 400 consulting and staffing locations worldwide.</t>
  </si>
  <si>
    <t xml:space="preserve"> +1 650-234-6000</t>
  </si>
  <si>
    <t>20159056663</t>
  </si>
  <si>
    <t>Robert Half International</t>
  </si>
  <si>
    <t>23462970682</t>
  </si>
  <si>
    <t>Rockland Trust</t>
  </si>
  <si>
    <t>http://www.rocklandtrust.com</t>
  </si>
  <si>
    <t>Rockland Trust is a full-service community bank that provides a comprehensive range of banking, investment, and insurance services to both individuals and businesses in Massachusetts and Rhode Island.</t>
  </si>
  <si>
    <t xml:space="preserve"> +1 781-878-6100</t>
  </si>
  <si>
    <t>20316753170</t>
  </si>
  <si>
    <t>Rockwell Automation, Inc.</t>
  </si>
  <si>
    <t>rockwellautomation.com</t>
  </si>
  <si>
    <t>Rockwell Automation is the global leader in industrial automation, offering innovative solutions to enhance productivity and sustainability for manufacturers.</t>
  </si>
  <si>
    <t xml:space="preserve"> +1 414-382-2000</t>
  </si>
  <si>
    <t>20316834215</t>
  </si>
  <si>
    <t>Ross Stores</t>
  </si>
  <si>
    <t>rossstores.com</t>
  </si>
  <si>
    <t>Ross Dress For Less is the nation's largest off-price retail chain that offers high-quality department and specialty store brands at extraordinary savings. They provide a wide range of products including clothing, shoes, home decor, and more. With a fo...</t>
  </si>
  <si>
    <t xml:space="preserve"> +1 925-965-4400</t>
  </si>
  <si>
    <t>23460960615</t>
  </si>
  <si>
    <t>Rothschild &amp; Co</t>
  </si>
  <si>
    <t>https://www.rothschildandco.com</t>
  </si>
  <si>
    <t>Rothschild &amp; Co is a global financial advisory group with a rich history spanning over 200 years. The company specializes in banking, private equity, investment management, and wealth planning. With a team of 3,800 experts across 40 countries, Rothschild &amp; Co offers independent advice on M&amp;A, strategy, financing, and wealth management to a diverse client base including institutions, families, individuals, and governments.</t>
  </si>
  <si>
    <t>20315701588</t>
  </si>
  <si>
    <t>Royal Caribbean Cruises Ltd.</t>
  </si>
  <si>
    <t>royalcaribbean.com</t>
  </si>
  <si>
    <t>Cruises – Amazing Cruises and Cruise Deals | Royal Caribbean Cruises Cruise to unforgettable destinations with Royal Caribbean. Save with the best cruise deals and packages to the Caribbean and the Bahamas. Start your dream vacation with a cruise to Al...</t>
  </si>
  <si>
    <t xml:space="preserve"> +1 305-539-6000</t>
  </si>
  <si>
    <t>20157259631</t>
  </si>
  <si>
    <t>RSM</t>
  </si>
  <si>
    <t>(619) 281-7764</t>
  </si>
  <si>
    <t>22703817260</t>
  </si>
  <si>
    <t>rTurner Consulting</t>
  </si>
  <si>
    <t>rturner.net</t>
  </si>
  <si>
    <t>rTurner Consulting, LLC provides GovCon consulting products and services to small and large businesses selling IT and Professional Services to Defense and Civilian agencies of the Federal Government. They offer business development, capture, and propos...</t>
  </si>
  <si>
    <t>22702776487</t>
  </si>
  <si>
    <t>rtx.com</t>
  </si>
  <si>
    <t>RTX is a global company with 180,000 employees and four businesses focused on aviation, space, and defense. With over 190 years of innovation, RTX is dedicated to shaping the future of aerospace and defense by uniting bright minds to tackle the world's...</t>
  </si>
  <si>
    <t>20159111272</t>
  </si>
  <si>
    <t>RTX - Collins Aerospace / Pratt &amp; Whitney / Raytheon</t>
  </si>
  <si>
    <t>22248891698</t>
  </si>
  <si>
    <t>RTX Corporation</t>
  </si>
  <si>
    <t>20315824996</t>
  </si>
  <si>
    <t>spglobal.com</t>
  </si>
  <si>
    <t>S&amp;P Global provides essential intelligence for capital and commodity markets worldwide, offering transparent ratings, benchmarks, analytics, and data to empower confident decision-making.</t>
  </si>
  <si>
    <t xml:space="preserve"> +1 212-438-1000</t>
  </si>
  <si>
    <t>20315694484</t>
  </si>
  <si>
    <t>S.C. Johnson Wax</t>
  </si>
  <si>
    <t>scjohnson.com</t>
  </si>
  <si>
    <t>Home SC Johnson is a family company dedicated to innovative, high quality products, excellence in the workplace and a long term commitment to the environment and the communities in which it operates. Based in the USA, the company is one of the world's ...</t>
  </si>
  <si>
    <t xml:space="preserve"> +1 262-260-2000</t>
  </si>
  <si>
    <t>23446991166</t>
  </si>
  <si>
    <t>SABB</t>
  </si>
  <si>
    <t>http://www.sabb.com</t>
  </si>
  <si>
    <t>SABB, a Saudi Joint Stock Company and an Associated Company of the HSBC Group, offers a wide range of banking services to personal, commercial, and corporate customers. With a heritage spanning over 30 years, SABB provides retail, corporate, and treasury services, including Shariah-approved products, under the supervision of the Saudi Central Bank.</t>
  </si>
  <si>
    <t xml:space="preserve"> +966 11 405 0677</t>
  </si>
  <si>
    <t>22248863318</t>
  </si>
  <si>
    <t>SAF/AQC</t>
  </si>
  <si>
    <t>https://ww3.safaq.hq.af.mil/Contracting/</t>
  </si>
  <si>
    <t>20159038741</t>
  </si>
  <si>
    <t>SAF/AQCI</t>
  </si>
  <si>
    <t>19816360521</t>
  </si>
  <si>
    <t>ww3.safaq.hq.af.mil</t>
  </si>
  <si>
    <t xml:space="preserve">SAF/AQCI BUSINESS TRANSFORMATION SUPPORT SERVICES </t>
  </si>
  <si>
    <t>18378155058</t>
  </si>
  <si>
    <t>22701267502</t>
  </si>
  <si>
    <t>SAIT</t>
  </si>
  <si>
    <t>sait.ca</t>
  </si>
  <si>
    <t>The Southern Alberta Institute of Technology (SAIT) offers hands-on degree, diploma, certificate, continuing education, and corporate training programs to develop the skills and knowledge employers demand. SAIT inspires, educates, and innovates with an...</t>
  </si>
  <si>
    <t xml:space="preserve"> +1 877 284 7248</t>
  </si>
  <si>
    <t>20158978623</t>
  </si>
  <si>
    <t>Salesforce</t>
  </si>
  <si>
    <t>23449945714</t>
  </si>
  <si>
    <t>https://salliemae.com</t>
  </si>
  <si>
    <t>Sallie Mae is the nation’s saving, planning, and paying for college company, offering private education loans, free college planning tools, and online banking. Sallie Mae offers solutions that help families save, plan and pay for college.</t>
  </si>
  <si>
    <t xml:space="preserve"> +1 302-283-8000</t>
  </si>
  <si>
    <t>20317195789</t>
  </si>
  <si>
    <t>San Diego Gas &amp; Electric (SDG&amp;E)</t>
  </si>
  <si>
    <t>22494166437</t>
  </si>
  <si>
    <t>San Diego, Orange, Imperial APEX Accelerator</t>
  </si>
  <si>
    <t>apexsocal.org</t>
  </si>
  <si>
    <t>APEX Accelerator is a specialized company that helps small businesses in San Diego, Orange, and Imperial counties find and win government contracts. They offer one-on-one consulting services and expert guidance to increase competitiveness and secure co...</t>
  </si>
  <si>
    <t>20753202600</t>
  </si>
  <si>
    <t>21107882077</t>
  </si>
  <si>
    <t>santacruzca.gov</t>
  </si>
  <si>
    <t>Santa Cruz Police Department Staffing Study RFP</t>
  </si>
  <si>
    <t>19699625812</t>
  </si>
  <si>
    <t>23443683118</t>
  </si>
  <si>
    <t>Santander</t>
  </si>
  <si>
    <t>https://www.santander.com</t>
  </si>
  <si>
    <t>Santander is a global commercial bank committed to helping individuals and businesses prosper through simple, personal, and fair financial services, with a focus on responsibility and sustainability.</t>
  </si>
  <si>
    <t xml:space="preserve"> +34 912 89 32 80</t>
  </si>
  <si>
    <t>23460815005</t>
  </si>
  <si>
    <t>Santander Bank, N. A.</t>
  </si>
  <si>
    <t>santander.us</t>
  </si>
  <si>
    <t>Santander US is a leading financial institution offering a wide range of banking products and services, including personal and business banking, mortgages, loans, and investment solutions. With a focus on customer satisfaction and innovation, Santander US provides tailored financial solutions to meet the diverse needs of its clients.</t>
  </si>
  <si>
    <t xml:space="preserve"> +1 610-320-8400</t>
  </si>
  <si>
    <t>23452920171</t>
  </si>
  <si>
    <t>Santander Bank, N.A.</t>
  </si>
  <si>
    <t>http://www.santanderbank.com</t>
  </si>
  <si>
    <t>Santander Bank, N.A., headquartered in Boston, is one of the country’s largest retail and commercial banks with $89.5 billion in assets. The Bank’s approximately 9,200 employees and more than 3 million customers are principally located in Massachusetts, New Hampshire, Connecticut, Rhode Island, New York, New Jersey, Pennsylvania, and Delaware. Santander Bank is a wholly owned subsidiary of Madrid-based Banco Santander, S.A., one of the most respected banking groups globally with over 148 million customers in the U.S., Europe, and Latin America. The bank offers competitive rates, flexible terms, and no required collateral for various financial needs.</t>
  </si>
  <si>
    <t>23448288948</t>
  </si>
  <si>
    <t>Santander Consumer USA</t>
  </si>
  <si>
    <t>https://santanderconsumerusa.com/</t>
  </si>
  <si>
    <t>Santander Consumer USA: A leading consumer finance company specializing in vehicle finance and lending products.</t>
  </si>
  <si>
    <t xml:space="preserve"> +1 214-634-1110</t>
  </si>
  <si>
    <t>20157117594</t>
  </si>
  <si>
    <t>SAP</t>
  </si>
  <si>
    <t>23457858875</t>
  </si>
  <si>
    <t>SaskTel</t>
  </si>
  <si>
    <t>sasktel.net</t>
  </si>
  <si>
    <t>SaskTel: Leading telecom provider in Saskatchewan, offering internet, TV, home phone, and mobile services with a focus on reliability and innovation.</t>
  </si>
  <si>
    <t>20808284933</t>
  </si>
  <si>
    <t>scaledagile.com</t>
  </si>
  <si>
    <t>Scaled Agile is a provider of the Scaled Agile Framework (SAFe), the world's leading framework for business agility. They help large enterprises achieve better outcomes, increased employee engagement, and improved economics through the SAFe Agile Frame...</t>
  </si>
  <si>
    <t xml:space="preserve"> +1 303-828-1044</t>
  </si>
  <si>
    <t>SAI - SAFe Training for the Army</t>
  </si>
  <si>
    <t>15272737141</t>
  </si>
  <si>
    <t>20316937609</t>
  </si>
  <si>
    <t>SCAN Health Plan</t>
  </si>
  <si>
    <t>scanhealthplan.com</t>
  </si>
  <si>
    <t>SCAN Health Plan is a prominent not-for-profit Medicare Advantage Plan founded in 1977, serving 185,000 members in multiple states with a focus on unique Medicare needs and community support.</t>
  </si>
  <si>
    <t xml:space="preserve"> +1 877-452-5898</t>
  </si>
  <si>
    <t>23453359544</t>
  </si>
  <si>
    <t>Scotiabank</t>
  </si>
  <si>
    <t>http://www.scotiabank.com</t>
  </si>
  <si>
    <t>Scotiabank is a leading multinational financial services provider and Canada's most international bank. They offer a wide range of services including personal and commercial banking, wealth management, private banking, corporate and investment banking, and capital markets. With a global team of approximately 90,000 Scotiabankers, they serve customers across North America, Latin America, the Caribbean, Central America, and Asia Pacific.</t>
  </si>
  <si>
    <t xml:space="preserve"> +1 888 222 3918</t>
  </si>
  <si>
    <t>22702586438</t>
  </si>
  <si>
    <t>SD3IT</t>
  </si>
  <si>
    <t>sd3it.com</t>
  </si>
  <si>
    <t>SD3IT is an IT consulting company that offers solution-driven technology. They specialize in digital security, enhanced data management, and cloud strategies. They serve clients worldwide and focus on supporting the United States Federal, State, and Lo...</t>
  </si>
  <si>
    <t>20317080870</t>
  </si>
  <si>
    <t>SE Grocers</t>
  </si>
  <si>
    <t>23462041976</t>
  </si>
  <si>
    <t>Seacoast Bank</t>
  </si>
  <si>
    <t>http://www.seacoastbank.com</t>
  </si>
  <si>
    <t>Seacoast Bank provides comprehensive personal and business banking solutions with a strong emphasis on community involvement and customer satisfaction.</t>
  </si>
  <si>
    <t xml:space="preserve"> +1 772-287-4000</t>
  </si>
  <si>
    <t>23454667784</t>
  </si>
  <si>
    <t>SECA</t>
  </si>
  <si>
    <t>eycom.ch</t>
  </si>
  <si>
    <t>SECA (eycom.ch) is a Swiss company that specializes in providing innovative IT solutions and services. They offer a wide range of products including cloud computing, cybersecurity, data analytics, and software development. SECA is known for its expertise in delivering cutting-edge technology solutions to help businesses thrive in the digital age.</t>
  </si>
  <si>
    <t xml:space="preserve"> +41 58 286 56 56</t>
  </si>
  <si>
    <t>23439989249</t>
  </si>
  <si>
    <t>SECU</t>
  </si>
  <si>
    <t>http://www.ncsecu.org</t>
  </si>
  <si>
    <t>State Employees' Credit Union (SECU) is North Carolina's largest credit union, serving over 2.6 million members through 270+ branches. Since 1937, SECU has offered financial services to State employees, educators, and their families. They provide a wide range of products including auto loans, mortgages, personal accounts, insurance, investments, and online/mobile banking services. SECU is recognized as the best credit union in North Carolina by Forbes Magazine, emphasizing their commitment to 'people helping people' and equal opportunity for all.</t>
  </si>
  <si>
    <t xml:space="preserve"> +1 888-732-8562</t>
  </si>
  <si>
    <t>20752953006</t>
  </si>
  <si>
    <t>Securigence</t>
  </si>
  <si>
    <t>23459880050</t>
  </si>
  <si>
    <t>Security Service Federal Credit Union</t>
  </si>
  <si>
    <t>http://www.ssfcu.org</t>
  </si>
  <si>
    <t>Security Service Federal Credit Union provides a comprehensive range of financial products and services to its members, emphasizing community support and member ownership through its extensive network of branches and educational resources.</t>
  </si>
  <si>
    <t xml:space="preserve"> +1 888-415-7878</t>
  </si>
  <si>
    <t>23439982359</t>
  </si>
  <si>
    <t>SEI</t>
  </si>
  <si>
    <t>http://www.seic.com</t>
  </si>
  <si>
    <t>SEI (NASDAQ: SEIC) is a leading provider of technology and investment solutions in the financial services industry. With a focus on building brave futures℠ through connection, SEI offers enterprise platform solutions, business process outsourcing, and data management services to help clients achieve operational excellence and make confident investment decisions. Managing approximately $1.3 trillion in assets, SEI collaborates with corporations, financial institutions, professionals, and ultra high net worth families to address complex challenges and drive growth.</t>
  </si>
  <si>
    <t xml:space="preserve"> +1 610-676-1000</t>
  </si>
  <si>
    <t>23462041110</t>
  </si>
  <si>
    <t>Self Trade</t>
  </si>
  <si>
    <t>http://www.selftrade.co.uk</t>
  </si>
  <si>
    <t>Selftrade provides users with a range of tools and information to help them make informed investment decisions</t>
  </si>
  <si>
    <t>23444320789</t>
  </si>
  <si>
    <t>23443065990</t>
  </si>
  <si>
    <t>Self-Help Credit Union</t>
  </si>
  <si>
    <t>http://www.self-help.org/</t>
  </si>
  <si>
    <t>Self Help Credit Union is a nonprofit organization dedicated to providing fair financial services, low-cost loans, checking and savings accounts, and advocating for a fair and inclusive financial marketplace. They have branches in NC, SC, FL, and VA, offering services like mobile banking to make joining easy for all. Self Help has provided over $7 billion in financing to families, individuals, and organizations, aiming to create economic opportunities for all, especially marginalized communities.</t>
  </si>
  <si>
    <t xml:space="preserve"> +1 800-966-7353</t>
  </si>
  <si>
    <t>23468162148</t>
  </si>
  <si>
    <t>ServiceLink</t>
  </si>
  <si>
    <t>http://www.svclnk.com</t>
  </si>
  <si>
    <t>ServiceLink provides innovative mortgage solutions to lenders, servicers, and investors, leveraging technology and exceptional service to enhance the real estate lending lifecycle.</t>
  </si>
  <si>
    <t xml:space="preserve"> +1 904-854-8100</t>
  </si>
  <si>
    <t>20752614515</t>
  </si>
  <si>
    <t>servicenow.com</t>
  </si>
  <si>
    <t>ServiceNow is an IT cloud company that transforms IT by automating and managing IT service relationships across the global enterprise. It provides enterprise cloud computing solutions that define, structure, manage, and automate services for global ent...</t>
  </si>
  <si>
    <t xml:space="preserve"> +1 408-501-8550</t>
  </si>
  <si>
    <t>21310847151</t>
  </si>
  <si>
    <t>Shipley Associates</t>
  </si>
  <si>
    <t>shipleywins.com</t>
  </si>
  <si>
    <t>Shipley Associates provides proposal and sales support services to help companies win business. They offer consulting, training, and AI implementation to improve win rates.</t>
  </si>
  <si>
    <t xml:space="preserve"> +1 888-772-9467</t>
  </si>
  <si>
    <t>GSA MAS Contract Vehicle</t>
  </si>
  <si>
    <t>19699635013</t>
  </si>
  <si>
    <t>20317057901</t>
  </si>
  <si>
    <t>Shopify Inc.</t>
  </si>
  <si>
    <t>shopify.com</t>
  </si>
  <si>
    <t>Shopify is a global commerce platform empowering businesses to sell online and in retail locations with tools for managing products, inventory, orders, and customer relationships.</t>
  </si>
  <si>
    <t>20317417383</t>
  </si>
  <si>
    <t>Siemens Corp</t>
  </si>
  <si>
    <t>new.siemens.com</t>
  </si>
  <si>
    <t>Siemens is a global technology leader in industry, infrastructure, transport, and healthcare, driving innovation and sustainability through electrification, automation, and digitalization.</t>
  </si>
  <si>
    <t xml:space="preserve"> +49 5036 857000</t>
  </si>
  <si>
    <t>23337942536</t>
  </si>
  <si>
    <t>Siemens Government Technologies</t>
  </si>
  <si>
    <t>siemensgovt.com</t>
  </si>
  <si>
    <t>Siemens Government Technologies, Inc. is a federally compliant U.S. organization that specializes in providing innovative solutions for federal agencies in energy generation, infrastructure modernization, and software-driven optimization. As integrators of Siemens' products and services, they ensure mission readiness, cybersecurity, and infrastructure resilience while meeting rigorous government standards and reducing costs.</t>
  </si>
  <si>
    <t xml:space="preserve"> +1 888-464-4218</t>
  </si>
  <si>
    <t>22249113770</t>
  </si>
  <si>
    <t>Sierra Nevada</t>
  </si>
  <si>
    <t>https://www.sncorp.com</t>
  </si>
  <si>
    <t>Sierra Nevada Corporation (SNC) is a trusted leader in innovative, advanced technology solutions and open architecture integrations in aerospace and national security. SNC provides customer-focused technology solutions in aerospace, aviation, electroni...</t>
  </si>
  <si>
    <t xml:space="preserve"> +1 775-849-6512</t>
  </si>
  <si>
    <t>22391551102</t>
  </si>
  <si>
    <t>SierTeK, Ltd.</t>
  </si>
  <si>
    <t>www.siertek.com</t>
  </si>
  <si>
    <t>SIERTEK is a minority and service disabled veteran owned small business that provides expertise in Program Management, Information Technology, and Administrative Support. They serve as prime and sub contractor for various Federal Department of Defense ...</t>
  </si>
  <si>
    <t>23447299422</t>
  </si>
  <si>
    <t>Simmons Bank</t>
  </si>
  <si>
    <t>http://www.simmonsbank.com</t>
  </si>
  <si>
    <t>Simmons Bank has been serving customers for over 100 years, offering personal and business banking, credit cards, home loans, and wealth management services. With a focus on earning trust, creating value, and building relationships, Simmons Bank provides secure and convenient digital banking solutions through its top-rated mobile app and online portal. With 200 locations and 2,800 associates, Simmons Bank continues to uphold its community bank values while helping customers achieve their financial goals.</t>
  </si>
  <si>
    <t xml:space="preserve"> +1 870-541-1000</t>
  </si>
  <si>
    <t>21402789287</t>
  </si>
  <si>
    <t>Small Business Administration</t>
  </si>
  <si>
    <t>sba.gov</t>
  </si>
  <si>
    <t>The Small Business Administration (SBA) is an independent federal agency established in 1953 to support and protect American small businesses. It connects entrepreneurs with lenders and funding, offers counseling, capital, and contracting expertise to ...</t>
  </si>
  <si>
    <t xml:space="preserve"> +1 800-827-5722</t>
  </si>
  <si>
    <t>20317493394</t>
  </si>
  <si>
    <t>SoCalGas</t>
  </si>
  <si>
    <t>socalgas.com</t>
  </si>
  <si>
    <t>SoCalGas, the nation's largest natural gas distribution utility, provides clean, safe, and reliable energy to 21.1 million consumers in over 500 communities. They sell, distribute, and transport natural gas, offering storage services and innovative ene...</t>
  </si>
  <si>
    <t xml:space="preserve"> +1 619-696-4129</t>
  </si>
  <si>
    <t>20317408001</t>
  </si>
  <si>
    <t>Social Driver</t>
  </si>
  <si>
    <t>socialdriver.com</t>
  </si>
  <si>
    <t>Social Driver is a digital agency that helps clients connect with people through websites, social media, and video. They offer a range of services including social media strategy, content development, search engine optimization, branding, digital adver...</t>
  </si>
  <si>
    <t>23454539886</t>
  </si>
  <si>
    <t>Societe Generale</t>
  </si>
  <si>
    <t>https://www.societegenerale.com</t>
  </si>
  <si>
    <t>Société Générale is a top European financial services group with a diverse range of offerings, including retail banking, corporate and investment banking, insurance, and asset management. Committed to sustainability and innovation, the company strives to create a better future for its clients and society.</t>
  </si>
  <si>
    <t xml:space="preserve"> +33 1 42 14 20 00</t>
  </si>
  <si>
    <t>23456046630</t>
  </si>
  <si>
    <t>Société Générale S.A.</t>
  </si>
  <si>
    <t>socgen.com</t>
  </si>
  <si>
    <t>Société Générale is a French multinational financial services company that provides banking services to 31 million clients worldwide.</t>
  </si>
  <si>
    <t>20315408689</t>
  </si>
  <si>
    <t>Sodexo</t>
  </si>
  <si>
    <t>sodexo.ivsportal.net</t>
  </si>
  <si>
    <t>We share a vision of a workplace rooted in diversity, and recognize that diversity benefits us all. We actively seek to bring diverse businesses into our network of suppliers, including minority-owned, women-owned, veteran-owned, disabled-owned or LGBT-owned companies. We currently partner with 1,700 diverse suppliers.</t>
  </si>
  <si>
    <t>20157302158</t>
  </si>
  <si>
    <t>23457421679</t>
  </si>
  <si>
    <t>SoFi</t>
  </si>
  <si>
    <t>http://www.sofi.com</t>
  </si>
  <si>
    <t>SoFi specializes in providing a comprehensive financial platform that empowers individuals to achieve their financial goals through services such as student loan refinancing, debt consolidation, home buying assistance, and investment opportunities, all accessible via a single app.</t>
  </si>
  <si>
    <t xml:space="preserve"> +1 855-456-7634</t>
  </si>
  <si>
    <t>23465429272</t>
  </si>
  <si>
    <t>SoFi Technologies,</t>
  </si>
  <si>
    <t>sofi.org</t>
  </si>
  <si>
    <t>SoFi is an American online personal finance company and online bank that provides financial products including student and auto loan refinancing, mortgages, personal loans, credit card, investing, and banking through both mobile app and desktop interfaces.</t>
  </si>
  <si>
    <t xml:space="preserve"> +1 415-697-2049</t>
  </si>
  <si>
    <t>20784751785</t>
  </si>
  <si>
    <t>Software AG</t>
  </si>
  <si>
    <t>softwareag.com</t>
  </si>
  <si>
    <t>Software AG is a leading Germany-based enterprise integration and technology company, offering digital business platforms, data management, and consulting services to drive operational efficiency and digital transformation globally.</t>
  </si>
  <si>
    <t xml:space="preserve"> +49 6151 920</t>
  </si>
  <si>
    <t>22702956949</t>
  </si>
  <si>
    <t>Sonatype</t>
  </si>
  <si>
    <t>sonatype.com</t>
  </si>
  <si>
    <t>Sonatype accelerates innovation by integrating security into the software development lifecycle, offering component lifecycle management solutions for secure app creation.</t>
  </si>
  <si>
    <t xml:space="preserve"> +1 301-684-8080</t>
  </si>
  <si>
    <t>20317146939</t>
  </si>
  <si>
    <t>Sonoco Products</t>
  </si>
  <si>
    <t>sonoco.com</t>
  </si>
  <si>
    <t>Packaging and Containers</t>
  </si>
  <si>
    <t>Sonoco is a global leader in packaging solutions, offering consumer and industrial packaging products and services to leading brands worldwide. Committed to sustainability and innovation, Sonoco enhances products and customer experiences with a focus o...</t>
  </si>
  <si>
    <t xml:space="preserve"> +1 843-383-7000</t>
  </si>
  <si>
    <t>20316955723</t>
  </si>
  <si>
    <t>Sony Pictures Entertainment</t>
  </si>
  <si>
    <t>sonypictures.com</t>
  </si>
  <si>
    <t>Sony Pictures Entertainment (SPE) is a subsidiary of Sony Entertainment Inc., which is a subsidiary of Tokyo-based Sony Corporation. SPE's global operations encompass motion picture production, acquisition, and distribution; television production, acquisition, and distribution; television networks; digital content creation and distribution; operation of studio facilities; and development of new entertainment products, services and technologies. SPE’s Motion Picture Group includes film labels Columbia Pictures, Screen Gems, TriStar Pictures, Sony Pictures Animation, and Sony Pictures Classics.For additional information, go to http://www.sonypictures.com/corp/divisions.﻿</t>
  </si>
  <si>
    <t xml:space="preserve"> +1 310-244-4000</t>
  </si>
  <si>
    <t>22702904970</t>
  </si>
  <si>
    <t>Southern California Edison</t>
  </si>
  <si>
    <t>sce.com</t>
  </si>
  <si>
    <t>Southern California Edison (SCE) is a major electric utility company in Southern California, providing electricity and promoting clean energy solutions through rebates and incentives.</t>
  </si>
  <si>
    <t xml:space="preserve"> +1 626-302-0008</t>
  </si>
  <si>
    <t>20316609716</t>
  </si>
  <si>
    <t>Southern Company Gas</t>
  </si>
  <si>
    <t>southerncompanygas.com</t>
  </si>
  <si>
    <t>Natural Gas Utility serving Georgia:  Atlanta Gas Light Company, Georgia Natural Gas, and Southern Company Gas Illinois: Nicor Gas Tennessee:  Chattanooga GasTexas: Sequent Energy Tennessee: Chattanooga Gas Company Virginia: Virginia Natural Gas</t>
  </si>
  <si>
    <t xml:space="preserve"> +1 404-506-5000</t>
  </si>
  <si>
    <t>23463666699</t>
  </si>
  <si>
    <t>SouthState Bank</t>
  </si>
  <si>
    <t>http://www.southstatebank.com</t>
  </si>
  <si>
    <t>Here at South State, we are dedicated to providing a wide range of banking solutions to over one million customers across the Southeast. From consumer banking to wealth management, our commitment to exceptional service and community involvement sets us apart as a leading regional bank since 1934.</t>
  </si>
  <si>
    <t xml:space="preserve"> +1 863-293-4710</t>
  </si>
  <si>
    <t>20316779856</t>
  </si>
  <si>
    <t>southwest.com</t>
  </si>
  <si>
    <t>Working with our Suppliers is an important part of managing the overall waste cycle. Every day, office products such as printer cartridges and toners can quickly accumulate and negatively impact our environment. At Southwest, we work with our Suppliers to purchase recycled toners and cartridges and then return them for further recycling, thus extending their use and eliminating them from the waste cycle. We are devoted to finding Suppliers who meet our levels of Customer Service and our high standards of efficiency and help us achieve our commitment to Supplier Diversity.</t>
  </si>
  <si>
    <t xml:space="preserve"> +1 214-792-4000</t>
  </si>
  <si>
    <t>23453359621</t>
  </si>
  <si>
    <t>Spire Capital</t>
  </si>
  <si>
    <t>spirecapital.com</t>
  </si>
  <si>
    <t>Spire Capital is an active and experienced private equity firm with an investment focus in small market companies within the business services, information services, education, media and communications sectors. Spire Capital seeks to lead small market ...</t>
  </si>
  <si>
    <t>22702719533</t>
  </si>
  <si>
    <t>SPIRIT Hellas S.A.</t>
  </si>
  <si>
    <t>spirit-intl.com</t>
  </si>
  <si>
    <t>SPIRIT Hellas S.A. is a professional services provider specializing in Business Process Management solutions. They combine industry know-how, state-of-the-art software tools, and process excellence consulting methodologies and practices. Their dedicate...</t>
  </si>
  <si>
    <t>20316852601</t>
  </si>
  <si>
    <t>Splunk</t>
  </si>
  <si>
    <t>23443699819</t>
  </si>
  <si>
    <t>Square Capital</t>
  </si>
  <si>
    <t>http://www.squarecapital.co.in</t>
  </si>
  <si>
    <t>Square Capital is India’s first unbiased loan advisory services firm. We advise on all kinds of loans and mortgage solutions. Our unique business model is similar to a private banking model, as we assign individual Loan Portfolio Counsellors to each cl...</t>
  </si>
  <si>
    <t>22702914364</t>
  </si>
  <si>
    <t>SRR International</t>
  </si>
  <si>
    <t>srrintl.com</t>
  </si>
  <si>
    <t>SRR International is a customer-centered organization that provides a wide range of IT services, cyber security services, training, and staffing to federal, state, and local government, healthcare, and commercial organizations. They offer IT consulting...</t>
  </si>
  <si>
    <t>22702974778</t>
  </si>
  <si>
    <t>St. James's Place</t>
  </si>
  <si>
    <t>sjp.co.uk</t>
  </si>
  <si>
    <t>St. James's Place is a leading wealth management company that offers personalized financial advice and services to help individuals, trustees, and organizations achieve their financial goals. With a focus on quality, face-to-face interactions, and buil...</t>
  </si>
  <si>
    <t>20316871258</t>
  </si>
  <si>
    <t>Standard Charter Bank</t>
  </si>
  <si>
    <t>20317124693</t>
  </si>
  <si>
    <t>Staples</t>
  </si>
  <si>
    <t>staples.com</t>
  </si>
  <si>
    <t>Staples values diversity and recognizes how important diversity is to maintaining a competitive advantage in today's marketplace. The mission of our Diversity Supplier Program is to work with diverse businesses to reduce supply chain costs and to increase revenues by bringing superior products to market.</t>
  </si>
  <si>
    <t xml:space="preserve"> +1 508-253-5000</t>
  </si>
  <si>
    <t>23439294093</t>
  </si>
  <si>
    <t>Starr Insurance Companies</t>
  </si>
  <si>
    <t>https://www.starrcompanies.com</t>
  </si>
  <si>
    <t>Starr Insurance Companies is a global leader in insurance and investment, providing comprehensive risk management solutions to businesses worldwide.</t>
  </si>
  <si>
    <t xml:space="preserve"> +1 212-230-5050</t>
  </si>
  <si>
    <t>22703098406</t>
  </si>
  <si>
    <t>State Farm</t>
  </si>
  <si>
    <t>statefarm.com</t>
  </si>
  <si>
    <t>State Farm is a mutual insurance company founded in 1922, offering a variety of insurance and financial products to over 84 million policyholders. Committed to fairness and customer satisfaction, State Farm helps customers manage risks, recover from th...</t>
  </si>
  <si>
    <t xml:space="preserve"> +1 309-766-2311</t>
  </si>
  <si>
    <t>20316841525</t>
  </si>
  <si>
    <t>b2b.statefarm.com</t>
  </si>
  <si>
    <t>We establish new business relationships that help strengthen local economies and provide jobs in communities where many of our customers, agents, and employees are located. By reaching out and supporting a culturally diverse supplier base we broaden and strengthen our customer base.</t>
  </si>
  <si>
    <t>20317138810</t>
  </si>
  <si>
    <t>State Street Corporation</t>
  </si>
  <si>
    <t>20159015315</t>
  </si>
  <si>
    <t>23459573541</t>
  </si>
  <si>
    <t>STC</t>
  </si>
  <si>
    <t>http://www.sterling-trust.com/</t>
  </si>
  <si>
    <t>22703020953</t>
  </si>
  <si>
    <t>Steel Patriot Partners</t>
  </si>
  <si>
    <t>steelpatriotpartners.com</t>
  </si>
  <si>
    <t>Steel Patriot Partners is a cybersecurity compliance, governance, and security operations company. They offer tailored compliance services, including audit support, policy procedure creation, evidence collection, and third-party risk assessments. They ...</t>
  </si>
  <si>
    <t>20317080869</t>
  </si>
  <si>
    <t>Stellantis</t>
  </si>
  <si>
    <t>23457729048</t>
  </si>
  <si>
    <t>StepStone Group</t>
  </si>
  <si>
    <t>stepstoneglobal.com</t>
  </si>
  <si>
    <t>StepStone Group: Global private markets investment firm offering tailored solutions and liquid alternatives for diversified portfolios.</t>
  </si>
  <si>
    <t>23467852604</t>
  </si>
  <si>
    <t>http://www.stepstonegroup.com</t>
  </si>
  <si>
    <t>StepStone Group (Nasdaq: STEP) is a global private markets investment firm that offers customized investment solutions, advisory services, and data services to a diverse range of clients, including pension funds, sovereign wealth funds, insurance companies, endowments, foundations, family offices, and private wealth clients. The company partners with clients to build private markets portfolios across private equity, infrastructure, private debt, and real estate asset classes, focusing on meeting specific investment objectives.</t>
  </si>
  <si>
    <t xml:space="preserve"> +1 212-351-6100</t>
  </si>
  <si>
    <t>23457882807</t>
  </si>
  <si>
    <t>Sterling Bank</t>
  </si>
  <si>
    <t>http://www.banksterling.com</t>
  </si>
  <si>
    <t>Sterling Bank Plc is a Nigerian bank that offers a wide range of financial products and services. With a focus on personal customer service, Sterling Bank aims to provide a level of service that is not typically found in larger, out-of-state banks. The...</t>
  </si>
  <si>
    <t>23463975252</t>
  </si>
  <si>
    <t>StoneX Payments</t>
  </si>
  <si>
    <t>https://payments.stonex.com/</t>
  </si>
  <si>
    <t>StoneX Group is an institutional-grade financial services franchise offering global market access, clearing, execution, and trading platforms. With a focus on connecting companies, organizations, traders, and investors to the tools they need to thrive in today's competitive financial markets, StoneX provides a full suite of services and market insights to stay ahead of the curve.</t>
  </si>
  <si>
    <t xml:space="preserve"> +1 212-485-3500</t>
  </si>
  <si>
    <t>23454684518</t>
  </si>
  <si>
    <t>Stout</t>
  </si>
  <si>
    <t>https://www.stout.com</t>
  </si>
  <si>
    <t>Stout is a global advisory firm that specializes in corporate finance, offering services in investment banking, valuation, financial disputes, and investigations to assist clients in making informed business decisions and successfully navigating critical transactions across various industries.</t>
  </si>
  <si>
    <t>23454531709</t>
  </si>
  <si>
    <t>Sumitomo Mitsui Banking</t>
  </si>
  <si>
    <t>smbcgroup.com</t>
  </si>
  <si>
    <t>Sumitomo Mitsui Banking provides tailored financial solutions designed to meet the unique needs of businesses, fostering long-lasting relationships built on trust and a commitment to shared success.</t>
  </si>
  <si>
    <t xml:space="preserve"> +1 212-224-4000</t>
  </si>
  <si>
    <t>23455822244</t>
  </si>
  <si>
    <t>Sumitomo Mitsui Banking Corporation</t>
  </si>
  <si>
    <t>http://www.smfg.co.jp/english/</t>
  </si>
  <si>
    <t>Sumitomo Mitsui Financial Group, Inc. is a holding company for Sumitomo Mitsui Banking Corporation (the Bank) and its subsidiaries. The Company operates through four segments: Commercial Banking, Leasing, Securities and Consumer Finance. The Company an...</t>
  </si>
  <si>
    <t xml:space="preserve"> +81 3-3282-8111</t>
  </si>
  <si>
    <t>20316657004</t>
  </si>
  <si>
    <t>Sun Life Financial Inc</t>
  </si>
  <si>
    <t>http://www.sunlife.com</t>
  </si>
  <si>
    <t>Sun Life is a leading financial services organization dedicated to helping Clients achieve lifetime financial security and live healthier lives. The company provides a range of insurance, wealth, and asset management solutions to individuals and corpor...</t>
  </si>
  <si>
    <t>20317493396</t>
  </si>
  <si>
    <t>Superbeo</t>
  </si>
  <si>
    <t>superbeo.com</t>
  </si>
  <si>
    <t>Superbeo is a certified service disabled Veteran and LGBTE owned company headquartered in Miami, FL. Superbeo provides diverse talent to its Fortune 500 clients. They are a staffing solutions provider focused on Diversity, Equity, and Inclusion. They w...</t>
  </si>
  <si>
    <t>22146013590</t>
  </si>
  <si>
    <t>Support Systems Associates</t>
  </si>
  <si>
    <t>ssai.org</t>
  </si>
  <si>
    <t>Support Systems Associates Inc. (SSAI) is a privately owned company specializing in engineering, logistics, and management services for both the U.S. government and private sector. With offices throughout the United States, SSAI has grown steadily sinc...</t>
  </si>
  <si>
    <t>20317477959</t>
  </si>
  <si>
    <t>Swinerton</t>
  </si>
  <si>
    <t>swinerton.com</t>
  </si>
  <si>
    <t>Swinerton is a national construction company with a passion for results, offering innovative construction solutions in various sectors including Medical, Education, Multifamily Residential, Hospitality, and more. With a focus on Green, BIM, Design Buil...</t>
  </si>
  <si>
    <t xml:space="preserve"> +1 415-421-2980</t>
  </si>
  <si>
    <t>20315980912</t>
  </si>
  <si>
    <t>Symetra Life Insurance Co</t>
  </si>
  <si>
    <t>symetra.com</t>
  </si>
  <si>
    <t>Symetra Financial Corporation is a diversified financial services company based in Bellevue, Washington. Established in 1957, Symetra offers employee benefits, annuities, and life insurance through a national network of consultants, financial instituti...</t>
  </si>
  <si>
    <t xml:space="preserve"> +1 425-256-8000</t>
  </si>
  <si>
    <t>20316921916</t>
  </si>
  <si>
    <t>Sysco</t>
  </si>
  <si>
    <t>20315933049</t>
  </si>
  <si>
    <t>T-Mobile</t>
  </si>
  <si>
    <t>t-mobile.com</t>
  </si>
  <si>
    <t>T-Mobile US, Inc. is a pioneering wireless company revolutionizing the industry with innovative services and a nationwide 4G LTE network, serving over 71 million customers with voice, messaging, and data solutions.</t>
  </si>
  <si>
    <t xml:space="preserve"> +1 800-318-9270</t>
  </si>
  <si>
    <t>20157390477</t>
  </si>
  <si>
    <t>T-Mobile US, INC</t>
  </si>
  <si>
    <t>www.t-mobile.com</t>
  </si>
  <si>
    <t>T-Mobile is a telecommunications company that provides wireless services to both consumers and businesses. They offer an advanced 4G LTE and nationwide 5G network, as well as services for the future of 5G, IoT, home TV, and customer care.</t>
  </si>
  <si>
    <t>23457554737</t>
  </si>
  <si>
    <t>T. Rowe Price</t>
  </si>
  <si>
    <t>http://www.troweprice.com</t>
  </si>
  <si>
    <t>T. Rowe Price is a global investment management firm providing mutual funds, retirement services, and strategic investing solutions for long-term success.</t>
  </si>
  <si>
    <t xml:space="preserve"> +1 410-345-2000</t>
  </si>
  <si>
    <t>22391388512</t>
  </si>
  <si>
    <t>TangramFlex</t>
  </si>
  <si>
    <t>tangramflex.com</t>
  </si>
  <si>
    <t>Tangram Flex is a company that specializes in rapid integration with confidence in complex systems. They provide customized software integration solutions tailored to the mission of their clients, bringing new capabilities to fielded systems securely. ...</t>
  </si>
  <si>
    <t xml:space="preserve"> +1 937-985-3199</t>
  </si>
  <si>
    <t>23447455879</t>
  </si>
  <si>
    <t>Tanner</t>
  </si>
  <si>
    <t>http://www.tanner.cl</t>
  </si>
  <si>
    <t>Hacemos realidad los sueños de crecer. Somos una Institución Financiera con elevados estándares éticos, dispuestos a entregar la mejor y más eficiente atención a las necesidades de nuestros clientes, a través de productos y servicios innovadores, espec...</t>
  </si>
  <si>
    <t>20157189806</t>
  </si>
  <si>
    <t>Target</t>
  </si>
  <si>
    <t>23443219850</t>
  </si>
  <si>
    <t>TD</t>
  </si>
  <si>
    <t>http://www.td.com</t>
  </si>
  <si>
    <t>TD Bank, a Canadian multinational banking institution, offers a wide range of personal and commercial banking services, including brokerage, mutual funds, asset management, insurance, and capital markets products. Known for its legendary customer experiences and unexpectedly human approach to banking.</t>
  </si>
  <si>
    <t xml:space="preserve"> +1 888 751 9000</t>
  </si>
  <si>
    <t>23461268663</t>
  </si>
  <si>
    <t>TD Ameritrade</t>
  </si>
  <si>
    <t>http://www.tdameritrade.com</t>
  </si>
  <si>
    <t>TD Ameritrade is a top online broker providing stock trading, investing, and retirement planning services with innovative technology and exceptional client service.</t>
  </si>
  <si>
    <t xml:space="preserve"> +1 402-331-7856</t>
  </si>
  <si>
    <t>20159081603</t>
  </si>
  <si>
    <t>20316955717</t>
  </si>
  <si>
    <t>TE/Global Auto</t>
  </si>
  <si>
    <t>20157302156</t>
  </si>
  <si>
    <t>Teachers Insurance and Annuity Association of America</t>
  </si>
  <si>
    <t xml:space="preserve"> +1 703-620-6600</t>
  </si>
  <si>
    <t>17151338790</t>
  </si>
  <si>
    <t>https://www.tiaa.org</t>
  </si>
  <si>
    <t>The Teachers Insurance and Annuity Association of America-College Retirement Equities Fund, is a Fortune 100 financial services organization that is the leading provider of financial services in the academic, research, medical, cultural and governmenta...</t>
  </si>
  <si>
    <t>20158994318</t>
  </si>
  <si>
    <t>4439949166</t>
  </si>
  <si>
    <t>17151714350</t>
  </si>
  <si>
    <t>tecveris.com</t>
  </si>
  <si>
    <t>Since 2011, TecVeris has provided Product Development, Portfolio Management, Architecture Advisory, Training and Atlassian services based on Lean Agile principles. Our innovative value driven scoring model and collaborative approach enables organizatio...</t>
  </si>
  <si>
    <t>20317398147</t>
  </si>
  <si>
    <t>TEST CR</t>
  </si>
  <si>
    <t>23439468054</t>
  </si>
  <si>
    <t>testpublishers.org</t>
  </si>
  <si>
    <t>Testpublishers.org, also known as the Association of Test Publishers (ATP), is a global nonprofit organization established in 1992. ATP is dedicated to promoting and preserving the integrity of testing and assessment practices, advancing equity in education, and emphasizing the value of these practices to society. Members of ATP work towards international strategies that enhance the industry's position, technology, and the underlying scientific principles.</t>
  </si>
  <si>
    <t xml:space="preserve"> +1 717-755-9747</t>
  </si>
  <si>
    <t>23163759734</t>
  </si>
  <si>
    <t>Tetra Tech</t>
  </si>
  <si>
    <t>tetratech.com</t>
  </si>
  <si>
    <t>Tetra Tech is a global provider of consulting and engineering services, dedicated to improving the quality of life worldwide through science, technology, and innovation. With a team of 16,000 experts from 60 disciplines, Tetra Tech offers smart, sustai...</t>
  </si>
  <si>
    <t xml:space="preserve"> +1 626-351-4664</t>
  </si>
  <si>
    <t>20806089112</t>
  </si>
  <si>
    <t>Texas Department of Motor Vehicles</t>
  </si>
  <si>
    <t>txdmv.gov</t>
  </si>
  <si>
    <t>The Texas Department of Motor Vehicles (TxDMV) is a dynamic state agency dedicated to customer service, consumer protection, and the success of motor vehicle-related industries. It is one of only a handful of state agencies that raises revenue for the ...</t>
  </si>
  <si>
    <t>Texas DMV</t>
  </si>
  <si>
    <t>18799836430</t>
  </si>
  <si>
    <t>20315899764</t>
  </si>
  <si>
    <t>The ActOne Group</t>
  </si>
  <si>
    <t>23443235159</t>
  </si>
  <si>
    <t>The Blackstone Group</t>
  </si>
  <si>
    <t>http://www.blackstone.com</t>
  </si>
  <si>
    <t>Blackstone is a leading alternative asset manager that focuses on providing stable income returns and capital growth by investing in floating rate senior secured loans and collateralized loan obligations across various industries, including healthcare, telecommunications, and media.</t>
  </si>
  <si>
    <t xml:space="preserve"> +1 212-583-5000</t>
  </si>
  <si>
    <t>20159118374</t>
  </si>
  <si>
    <t>The Cigna Group</t>
  </si>
  <si>
    <t>1 (800) 997-1654</t>
  </si>
  <si>
    <t>20316795763</t>
  </si>
  <si>
    <t>The City of Pittsburgh</t>
  </si>
  <si>
    <t>20156051116</t>
  </si>
  <si>
    <t>The Coca-Cola Company Supplier Diversity</t>
  </si>
  <si>
    <t>1 (800) 438-2653</t>
  </si>
  <si>
    <t>20316852605</t>
  </si>
  <si>
    <t>The Dow Chemical Company</t>
  </si>
  <si>
    <t>20316937611</t>
  </si>
  <si>
    <t>thehersheycompany.com</t>
  </si>
  <si>
    <t>The Hershey Company is the largest producer of quality chocolate in North America and a global leader in chocolate and sugar confectionery. They offer a wide range of candy brands including Hershey's, Hershey's Kisses, Reese's, Kit Kat, Twizzlers, and ...</t>
  </si>
  <si>
    <t xml:space="preserve"> +1 717-534-4200</t>
  </si>
  <si>
    <t>20157149819</t>
  </si>
  <si>
    <t>20157334164</t>
  </si>
  <si>
    <t>The Home Depot Supplier Diversity</t>
  </si>
  <si>
    <t>20315654567</t>
  </si>
  <si>
    <t>The Kraft Heinz Company</t>
  </si>
  <si>
    <t>20316948372</t>
  </si>
  <si>
    <t>The Kroger Co.</t>
  </si>
  <si>
    <t>thekrogerco.com</t>
  </si>
  <si>
    <t>Headquartered in Cincinnati, OH, The Kroger Co. (NYSE:KR) is a large retailer in the U.S. participating in both the Retail Industry and the Food and Beverage Industry. As of Nov 2020, The Kroger Co. Family of Stores operates grocery retail stores under nearly two dozen banner names (including supermarkets, digital shopping, warehouse, multi-department stores, fine jewelry, fuel centers &amp;amp; pharmacies) and production/manufacturing facilities producing high quality private-label products.</t>
  </si>
  <si>
    <t xml:space="preserve"> +1 513-762-4000</t>
  </si>
  <si>
    <t>20316955718</t>
  </si>
  <si>
    <t>The Kroger Company</t>
  </si>
  <si>
    <t>23457577276</t>
  </si>
  <si>
    <t>The Ro al Bank Of Scotland Group</t>
  </si>
  <si>
    <t>http://www.rbs.com</t>
  </si>
  <si>
    <t>Royal Bank of Scotland is a British banking and insurance holding company that offers personal and business banking, private banking, investment banking, insurance, and corporate finance.</t>
  </si>
  <si>
    <t xml:space="preserve"> +44 20 3897 4467</t>
  </si>
  <si>
    <t>20157101451</t>
  </si>
  <si>
    <t>The Walt Disney Company</t>
  </si>
  <si>
    <t>(407) 939-5277</t>
  </si>
  <si>
    <t>23457731408</t>
  </si>
  <si>
    <t>Thermal Technology</t>
  </si>
  <si>
    <t>thermaltechnology.com</t>
  </si>
  <si>
    <t>Thermal Technology is a diversified technology company and global manufacturer of advanced thermal processing systems. We are dedicated to delivering the highest levels of satisfaction in the implementation of our equipment and processes. We respond to...</t>
  </si>
  <si>
    <t xml:space="preserve"> +1 707-571-1911</t>
  </si>
  <si>
    <t>23462970521</t>
  </si>
  <si>
    <t>Thomas George Associates</t>
  </si>
  <si>
    <t>tgaltd.com</t>
  </si>
  <si>
    <t>Thomas George Associates, Ltd. has been the first choice of insurance carriers across the nation, to help increase cash flow position, streamlining billing issues and maximizing insurance recoveries. In order to help our clients reach their recovery go...</t>
  </si>
  <si>
    <t>23456044873</t>
  </si>
  <si>
    <t>tiaa-cref.org</t>
  </si>
  <si>
    <t>TIAA is a Fortune 100 financial services organization that provides retirement services in the academic, research, medical and cultural fields.</t>
  </si>
  <si>
    <t>20317153863</t>
  </si>
  <si>
    <t>www1.tiaa-cref.org</t>
  </si>
  <si>
    <t>Our Supplier Diversity Program started in 1992 to build supplier relationships with minority and women-owned business enterprises. We look for diversity-owned businesses to provide products and services for our daily business operations and encourage competition among diverse and diversity-conscious suppliers. Our Supplier Diversity Program accepts certifications from the following categories.
Woman-Owned Business Enterprises (WBEs)
Minority-Owned Business Enterprises (MBEs)
Veteran-Owned and Disabled Veteran-Owned Business Enterprises  (VBEs) (DVBEs)
Gay, Lesbian, Bi-Sexual &amp;amp; Transgender-Owned Businesses (GLBT)
Other certifications are considered on a case-by-case basis</t>
  </si>
  <si>
    <t>20156120246</t>
  </si>
  <si>
    <t>23447300009</t>
  </si>
  <si>
    <t>TIAA Bank</t>
  </si>
  <si>
    <t>tiaabank.com</t>
  </si>
  <si>
    <t>TIAA Bank is a financial services company that offers a range of banking and investment solutions to help customers manage their day-to-day finances and achieve their financial goals.</t>
  </si>
  <si>
    <t xml:space="preserve"> +1 888-882-3837</t>
  </si>
  <si>
    <t>20317398144</t>
  </si>
  <si>
    <t>TierPM</t>
  </si>
  <si>
    <t>tierpm.com</t>
  </si>
  <si>
    <t>TierPM is a technology solutions company specializing in AV/IT staffing, data analytics, application development, and project-based consulting. They provide services such as recruiting and staffing, connecting businesses with skilled AV/IT candidates. ...</t>
  </si>
  <si>
    <t>20315654570</t>
  </si>
  <si>
    <t>Tishman Speyer</t>
  </si>
  <si>
    <t>tishmanspeyer.com</t>
  </si>
  <si>
    <t>Tishman Speyer is a global real estate company that has been redefining the industry since 1978. With a focus on unlocking human potential, we build communities worldwide and collaborate with companies to develop and operate over $89 billion in propert...</t>
  </si>
  <si>
    <t>20316563615</t>
  </si>
  <si>
    <t>TJX</t>
  </si>
  <si>
    <t>23454669583</t>
  </si>
  <si>
    <t>TMX Group</t>
  </si>
  <si>
    <t>http://www.tmx.com</t>
  </si>
  <si>
    <t>TMX Group operates global markets, builds digital communities, and provides analytic solutions to facilitate funding, growth, and success for businesses, traders, and investors across multiple asset classes.</t>
  </si>
  <si>
    <t xml:space="preserve"> +1 888 873 8392</t>
  </si>
  <si>
    <t>20159103129</t>
  </si>
  <si>
    <t>Toyota</t>
  </si>
  <si>
    <t>www.toyota.com</t>
  </si>
  <si>
    <t>Toyota falls into two industries - Manufacturing (Automotive) and Financial.</t>
  </si>
  <si>
    <t>800-331-4331</t>
  </si>
  <si>
    <t>20157488653</t>
  </si>
  <si>
    <t>Toyota Motor North America</t>
  </si>
  <si>
    <t>toyotamotors.com</t>
  </si>
  <si>
    <t>23467544186</t>
  </si>
  <si>
    <t>Tradeweb</t>
  </si>
  <si>
    <t>http://www.tradeweb.com</t>
  </si>
  <si>
    <t>Tradeweb Markets is a global electronic trading platform offering access to rates, credit, equities, and money markets for institutional, wholesale, and retail clients. With advanced technologies, Tradeweb enhances trade workflows and reduces risks, facilitating over $1 trillion in notional value traded per day.</t>
  </si>
  <si>
    <t xml:space="preserve"> +1 646-430-6000</t>
  </si>
  <si>
    <t>20157101455</t>
  </si>
  <si>
    <t>Trane Technologies</t>
  </si>
  <si>
    <t>Architecture &amp; Planning</t>
  </si>
  <si>
    <t>23465276727</t>
  </si>
  <si>
    <t>Transamerica</t>
  </si>
  <si>
    <t>http://www.transamerica.com</t>
  </si>
  <si>
    <t>Transamerica helps people make the wealth and health connection, emphasizing the impact of today's actions on future finances. They provide financial services, insurance, investments, and retirement solutions.</t>
  </si>
  <si>
    <t xml:space="preserve"> +1 319-355-8843</t>
  </si>
  <si>
    <t>20316623739</t>
  </si>
  <si>
    <t>Transportation Security Administration</t>
  </si>
  <si>
    <t>tsa.gov</t>
  </si>
  <si>
    <t>The Transportation Security Administration (TSA) is a government administration that was created in the wake of the September 11, 2001 attacks. As a component of the U.S. Department of Homeland Security, their mission is to protect the nation’s transpo...</t>
  </si>
  <si>
    <t>2395610740</t>
  </si>
  <si>
    <t>20316921915</t>
  </si>
  <si>
    <t>Travel + Leisure</t>
  </si>
  <si>
    <t>travelandleisure.com</t>
  </si>
  <si>
    <t>Travel + Leisure is a leading travel resource offering trip ideas, hotel recommendations, flight deals, city guides, and expert travel tips. Through its Facebook page, it provides inspiration and information on top destinations, hotels, restaurants, te...</t>
  </si>
  <si>
    <t xml:space="preserve"> +1 800-888-8728</t>
  </si>
  <si>
    <t>20159032711</t>
  </si>
  <si>
    <t>Travel + Leisure Co.</t>
  </si>
  <si>
    <t>1-800-917-8188</t>
  </si>
  <si>
    <t>20156043621</t>
  </si>
  <si>
    <t>Trimble</t>
  </si>
  <si>
    <t>www.trimble.com</t>
  </si>
  <si>
    <t>20317203855</t>
  </si>
  <si>
    <t>truist.com</t>
  </si>
  <si>
    <t>Our mission is to ensure our suppliers reflect who we are as a community and company. Through qualified and innovative diverse-businesses, we provide value-added supplier partnerships that enhance our client experience, strengthen our operations and enrich our communities.Our vision is to have a best-in-class supplier diversity framework where diverse business development and inclusion is at the forefront of our procurement and business processes.</t>
  </si>
  <si>
    <t xml:space="preserve"> +1 336-733-2000</t>
  </si>
  <si>
    <t>20157368138</t>
  </si>
  <si>
    <t>23452917071</t>
  </si>
  <si>
    <t>Trustmark Bank</t>
  </si>
  <si>
    <t>http://www.trustmark.com</t>
  </si>
  <si>
    <t>Trustmark is a respected financial institution providing banking, wealth management, and insurance solutions with $13 billion in assets and a strong presence in the South.</t>
  </si>
  <si>
    <t xml:space="preserve"> +1 601-208-5111</t>
  </si>
  <si>
    <t>20317417382</t>
  </si>
  <si>
    <t>Turner Construction</t>
  </si>
  <si>
    <t>turnerconstruction.com</t>
  </si>
  <si>
    <t>http://www.turnerconstruction.com/</t>
  </si>
  <si>
    <t>20316852603</t>
  </si>
  <si>
    <t>U.S. Bank</t>
  </si>
  <si>
    <t>https://www.usbank.com/index.html</t>
  </si>
  <si>
    <t>The Supplier Diversity mission is to identify, develop and build strong relationships with certified minority and woman-owned businesses that are qualified to supply U.S. Bank with quality products and services.</t>
  </si>
  <si>
    <t>20157218630</t>
  </si>
  <si>
    <t>22703028609</t>
  </si>
  <si>
    <t>U.S. Coast Guard</t>
  </si>
  <si>
    <t>uscg.mil</t>
  </si>
  <si>
    <t>The United States Coast Guard (USCG) is a vital branch of the Armed Forces dedicated to protecting the public, the environment, and U.S. economic interests in various maritime regions. They ensure maritime safety, security, and stewardship to safeguard...</t>
  </si>
  <si>
    <t>20155935750</t>
  </si>
  <si>
    <t>U.S. Customs and Border Protection</t>
  </si>
  <si>
    <t>19816360581</t>
  </si>
  <si>
    <t>cbp.gov</t>
  </si>
  <si>
    <t>U.S. Customs and Border Protection (CBP) is a federal law enforcement agency of the United States Department of Homeland Security. They are responsible for securing our nation's borders and facilitating lawful international travel and trade. CBP serves...</t>
  </si>
  <si>
    <t>19816359969</t>
  </si>
  <si>
    <t>ENTERPRISE NETWORK ARCHITECTURE SERVICES SUPPORT (ENAESS)</t>
  </si>
  <si>
    <t>18380564287</t>
  </si>
  <si>
    <t>19792330571</t>
  </si>
  <si>
    <t>20157085360</t>
  </si>
  <si>
    <t>U.S. Department of Agriculture</t>
  </si>
  <si>
    <t>19816359751</t>
  </si>
  <si>
    <t>fs.usda.gov</t>
  </si>
  <si>
    <t>The United States Department of Agriculture (USDA) is the United States federal executive department responsible for developing and executing U.S. federal government policy on farming, agriculture, and food. It aims to meet the needs of farmers and ran...</t>
  </si>
  <si>
    <t>GovWin 232615: US DEPARTMENT OF AGRICULTURE WIDE PROGRAM MANAGEMENT SUPPORT SERVICES (PMSS);DYNAMIC AUTOMATED RESOURCE TRACKING (DART)</t>
  </si>
  <si>
    <t>19930877804;18380514847</t>
  </si>
  <si>
    <t>20172386694</t>
  </si>
  <si>
    <t>U.S. Department of Commerce</t>
  </si>
  <si>
    <t>commerce.gov</t>
  </si>
  <si>
    <t>International Trade and Development</t>
  </si>
  <si>
    <t>The U.S. Department of Commerce, commerce.gov, is the official website of the United States Department of Commerce and Secretary of Commerce. The department has a broad mandate to advance economic growth and job opportunities for the American people. I...</t>
  </si>
  <si>
    <t>Service Management Platform (SMP)</t>
  </si>
  <si>
    <t>18476174158</t>
  </si>
  <si>
    <t>20808285288</t>
  </si>
  <si>
    <t>U.S. Department of Energy</t>
  </si>
  <si>
    <t>energy.gov</t>
  </si>
  <si>
    <t>The U.S. Department of Energy is dedicated to building a new clean energy economy, reducing nuclear dangers and environmental risks, and expanding scientific research to advance energy technologies. Established in 1977 with roots in the Manhattan Proje...</t>
  </si>
  <si>
    <t xml:space="preserve"> +1 202-586-5000</t>
  </si>
  <si>
    <t>G2 AGILE SOFTWARE DEVELOPMENT</t>
  </si>
  <si>
    <t>16786870791</t>
  </si>
  <si>
    <t>20155935749</t>
  </si>
  <si>
    <t>19816075785</t>
  </si>
  <si>
    <t>Department of Energy Building the new clean energy economy. Reducing nuclear dangers &amp; environmental risks. Expanding the frontiers of knowledge via scientific research. Building the new energy economy. Reducing environmental risks. Expanding the front...</t>
  </si>
  <si>
    <t>US DEPARTMENT OF ENERGY CIO BUSINESS OPERATIONS SUPPORT SERVICES 2 (CBOSS 2)</t>
  </si>
  <si>
    <t>18380307720</t>
  </si>
  <si>
    <t>20172386565</t>
  </si>
  <si>
    <t>U.S. Department of the Treasury</t>
  </si>
  <si>
    <t>home.treasury.gov</t>
  </si>
  <si>
    <t>The U.S. Department of the Treasury is the executive agency responsible for promoting economic prosperity and ensuring the financial security of the United States. They provide a wide range of services including monetary circulation, economic planning,...</t>
  </si>
  <si>
    <t>2026222000</t>
  </si>
  <si>
    <t>PROVIDING TREASURY ENTERPRISE CYBERSECURITY TECHNOLOGY SERVICES PROTECTS HIGHLY ADAPTIVE CYBERSECURITY SERVICES (HACS)</t>
  </si>
  <si>
    <t>18362782258</t>
  </si>
  <si>
    <t>20157374081</t>
  </si>
  <si>
    <t>RFI1707043 - Enterprise Architecture Support Service</t>
  </si>
  <si>
    <t>20799394333</t>
  </si>
  <si>
    <t>20158954246</t>
  </si>
  <si>
    <t>U.S. Department of Veterans Affairs</t>
  </si>
  <si>
    <t xml:space="preserve"> +1 800-698-2411</t>
  </si>
  <si>
    <t>RFQ Response to VA pi.planning.io</t>
  </si>
  <si>
    <t>20511846405</t>
  </si>
  <si>
    <t>20808285530</t>
  </si>
  <si>
    <t>U.S. Navy</t>
  </si>
  <si>
    <t>SEAPORT NEXT GENERATION ON RAMP 2024 (SEAPORT NXG)</t>
  </si>
  <si>
    <t>16786871368</t>
  </si>
  <si>
    <t>20316623525</t>
  </si>
  <si>
    <t>niwcatlantic.navy.mil</t>
  </si>
  <si>
    <t>Navy - Allied Command (From Software AG)</t>
  </si>
  <si>
    <t>15991202564</t>
  </si>
  <si>
    <t>20172386739</t>
  </si>
  <si>
    <t>msc.usff.navy.mil</t>
  </si>
  <si>
    <t>MSC N611 INTEGRATED BUSINESS SYSTEMS IBS</t>
  </si>
  <si>
    <t>18380959617</t>
  </si>
  <si>
    <t>21929592140</t>
  </si>
  <si>
    <t>U.S. Navy - Naval Undersea Warfare Center (NUWC)</t>
  </si>
  <si>
    <t>us.navy.mil</t>
  </si>
  <si>
    <t>21310598067</t>
  </si>
  <si>
    <t>U.S. Navy Air Systems Command (NAVAIR)</t>
  </si>
  <si>
    <t>navair.navy.mil</t>
  </si>
  <si>
    <t>NAVAIR Digital Transformation White Paper Series;F18 IPT Digital Advisory Services 2024 H2</t>
  </si>
  <si>
    <t>22011094643;19903262256</t>
  </si>
  <si>
    <t>20157382450</t>
  </si>
  <si>
    <t>U.S. Navy's Military Sealift Command</t>
  </si>
  <si>
    <t>www.msc.usff.navy.mil</t>
  </si>
  <si>
    <t xml:space="preserve"> +1.314.646.1101</t>
  </si>
  <si>
    <t>20159087281</t>
  </si>
  <si>
    <t>U.S. Northern Command</t>
  </si>
  <si>
    <t>www.northcom.mil</t>
  </si>
  <si>
    <t>U.S. Northern Command (USNORTHCOM) was established Oct. 1, 2002 to provide command and control of Department of Defense (DOD) homeland defense efforts and to coordinate defense support of civil authorities. USNORTHCOM defends America's homeland — prote...</t>
  </si>
  <si>
    <t>21728966486</t>
  </si>
  <si>
    <t>U.S. Office of Personnel Management</t>
  </si>
  <si>
    <t>opm.gov</t>
  </si>
  <si>
    <t>OPM is the chief human resources agency for the Federal Government, providing leadership and support to Federal agencies for a trusted and effective civilian workforce.</t>
  </si>
  <si>
    <t xml:space="preserve"> +1 202-606-1800</t>
  </si>
  <si>
    <t>20157398315</t>
  </si>
  <si>
    <t>Uber</t>
  </si>
  <si>
    <t>www.uber.com</t>
  </si>
  <si>
    <t>Uber is a mobile app connecting passengers with drivers for hire. The company's mission is to help people go anywhere, get anything, and earn their way. Uber provides transportation services in over 450 cities worldwide, offering convenience, safety, a...</t>
  </si>
  <si>
    <t>Asking to submit LSA's best work</t>
  </si>
  <si>
    <t>20317124692</t>
  </si>
  <si>
    <t>UBS Financial Services Inc</t>
  </si>
  <si>
    <t>http://www.ubs.com/about</t>
  </si>
  <si>
    <t>UBS is a global financial services firm operating in over 50 countries. They offer tailored financial solutions to individuals, families, institutions, and corporations, including wealth management, investment banking, asset management, and private and...</t>
  </si>
  <si>
    <t>22514385588</t>
  </si>
  <si>
    <t>UIC Government Services</t>
  </si>
  <si>
    <t>bowhead.com</t>
  </si>
  <si>
    <t>UIC Government Services (UICGS) and its Bowhead Family of Companies, a division of Ukpeaġvik Iñupiat Corporation (UIC), provide premier support to defense and civilian government agencies. With over 3000 employees and 300 prime and subcontracts, we off...</t>
  </si>
  <si>
    <t xml:space="preserve"> +1 703-578-5566</t>
  </si>
  <si>
    <t>20159032716</t>
  </si>
  <si>
    <t>UKG</t>
  </si>
  <si>
    <t>www.ukg.com</t>
  </si>
  <si>
    <t>UKG provides HR, payroll, and workforce management solutions that inspire people and elevate work experiences, with a culture-driven HCM suite and generative AI for data insights.</t>
  </si>
  <si>
    <t xml:space="preserve"> +1 978-250-9800</t>
  </si>
  <si>
    <t>20316955724</t>
  </si>
  <si>
    <t>Ulta Beauty</t>
  </si>
  <si>
    <t>ulta.com</t>
  </si>
  <si>
    <t>Ulta Beauty is the largest U.S. beauty retailer offering a wide range of cosmetics, fragrance, skin care, hair care products, and salon services. With over 25,000 products from 500 brands, including their own label, Ulta Beauty provides a complete beau...</t>
  </si>
  <si>
    <t xml:space="preserve"> +1 630-410-4800</t>
  </si>
  <si>
    <t>23440275800</t>
  </si>
  <si>
    <t>UNCAGED CAPITAL LLC</t>
  </si>
  <si>
    <t>https://www.uncagedcapital.net</t>
  </si>
  <si>
    <t>20316806283</t>
  </si>
  <si>
    <t>UNFI</t>
  </si>
  <si>
    <t>prmp.trans411.com</t>
  </si>
  <si>
    <t>At UNFI, our goal is to provide the markets we serve with a 
superior grocery shopping experience enhanced by local expertise, 
national strength and a passion for our customers offering conventional and natural brands. This goal requires our 
company to embrace a customer base with a wide range of backgrounds 
and increasingly diverse needs. Finding the right partners to help us 
deliver the products our customers want when they want them is critical 
to our success.</t>
  </si>
  <si>
    <t>20316644122</t>
  </si>
  <si>
    <t>Unispace</t>
  </si>
  <si>
    <t>DesignBuild Firm that does work across the Globe.</t>
  </si>
  <si>
    <t>20158986046</t>
  </si>
  <si>
    <t>United Parcel Service</t>
  </si>
  <si>
    <t>www.ups.com</t>
  </si>
  <si>
    <t>UPS is a package delivery company specializing in transportation and logistics services. They operate in more than 220 countries and territories, offering innovative solutions to customers of all sizes. UPS is committed to delivering what matters and b...</t>
  </si>
  <si>
    <t>1 888-742-5877</t>
  </si>
  <si>
    <t>22702753039</t>
  </si>
  <si>
    <t>United States Air Force</t>
  </si>
  <si>
    <t>us.af.mil</t>
  </si>
  <si>
    <t>20806641500</t>
  </si>
  <si>
    <t>EGLIN WIDE AGILE ACQUISITION CONTRACT ON RAMP IV (EWAAC ON RAMP IV)</t>
  </si>
  <si>
    <t>16786898223</t>
  </si>
  <si>
    <t>20806641417</t>
  </si>
  <si>
    <t>safcn.af.mil</t>
  </si>
  <si>
    <t>SAF/MG - EA Modeling</t>
  </si>
  <si>
    <t>15468026186</t>
  </si>
  <si>
    <t>20157307740</t>
  </si>
  <si>
    <t>www.usaf.mil</t>
  </si>
  <si>
    <t>22145239209</t>
  </si>
  <si>
    <t>United States Air Force Sustainment Center (AFSC)</t>
  </si>
  <si>
    <t>afsc.af.mil</t>
  </si>
  <si>
    <t>20172285350</t>
  </si>
  <si>
    <t>United States Department of State</t>
  </si>
  <si>
    <t>state.gov</t>
  </si>
  <si>
    <t>The U.S. Department of State is the primary foreign affairs agency of the United States, dedicated to advancing national interests and security through diplomacy.</t>
  </si>
  <si>
    <t xml:space="preserve"> +1 703-875-6037</t>
  </si>
  <si>
    <t>GovWin Opp 232459: BUREAU OF DIPLOMATIC SECURITY - DIPLOMATIC SECURITY FINANCIAL AND RESOURCE MANAGEMENT SUPPORT SERVICES;SCALED AGILE FRAMEWORK (SAFE);AGILE TEACHING AND SOP DEVELOPMENT SERVICES;SYSTEMS OPERATION AND SECURITY SUPPORT SERVICES</t>
  </si>
  <si>
    <t>22456783719;16786899088;16786619002;16786900303</t>
  </si>
  <si>
    <t>22754167636</t>
  </si>
  <si>
    <t>United StatesDepartment of Education</t>
  </si>
  <si>
    <t>ed.gov</t>
  </si>
  <si>
    <t>The U.S. Department of Education promotes student achievement and global competitiveness through educational excellence, equal access, federal student loans, grants, legislation, and data research.</t>
  </si>
  <si>
    <t xml:space="preserve"> +1 800-872-5327</t>
  </si>
  <si>
    <t>22540367626</t>
  </si>
  <si>
    <t>United Support Services</t>
  </si>
  <si>
    <t>usscompany.com</t>
  </si>
  <si>
    <t>United Support Services, Inc. (USS) is a specialized professional services company providing a full range of Information Technology (IT) Support, Cyber Personnel, Network Engineering, and Administrative Services for clients in government and commercial...</t>
  </si>
  <si>
    <t>20317124691</t>
  </si>
  <si>
    <t>United Technologies Corporation</t>
  </si>
  <si>
    <t>utc.com</t>
  </si>
  <si>
    <t>20156099645</t>
  </si>
  <si>
    <t>UnitedHealth Group</t>
  </si>
  <si>
    <t>https://www.unitedhealthgroup.com/</t>
  </si>
  <si>
    <t>UnitedHealth Group helps people live healthier lives and helps make the health system work better for everyone. UnitedHealth Group is a leader worldwide in helping people live healthier lives and helping make the health system work better for everyone....</t>
  </si>
  <si>
    <t>(800) 328-5979</t>
  </si>
  <si>
    <t>23436777386</t>
  </si>
  <si>
    <t>UPS Capital®</t>
  </si>
  <si>
    <t>http://www.upscapital.com</t>
  </si>
  <si>
    <t>UPS Capital offers multi carrier, multi modal shipping insurance and additional services to reduce risks and preserve cash flow. UPS is a global leader in logistics, offering a broad range of solutions including the transportation of packages and freight; the facilitation of international trade, and the deployment of advanced technology to more efficiently manage the world of business. UPS Capital delivers the shipping experience businesses and their customers crave simply and affordably, fueled by 100+ years of supply chain knowledge. From insurance services to payments, businesses can make, move, and sell goods with peace of mind, covering shipment loss, damage, and porch piracy.</t>
  </si>
  <si>
    <t xml:space="preserve"> +1 404-828-6000</t>
  </si>
  <si>
    <t>20316887713</t>
  </si>
  <si>
    <t>Upstart</t>
  </si>
  <si>
    <t>upstart.com</t>
  </si>
  <si>
    <t>Invoicing- Ada Ortega, Bills@upstart.com</t>
  </si>
  <si>
    <t xml:space="preserve"> +1 650-204-1000</t>
  </si>
  <si>
    <t>20159056664</t>
  </si>
  <si>
    <t>US Army</t>
  </si>
  <si>
    <t>www.army.mil</t>
  </si>
  <si>
    <t>Army EKR (PLACEHOLDER - Get with Mike for Details)</t>
  </si>
  <si>
    <t>14809281641</t>
  </si>
  <si>
    <t>20805256329</t>
  </si>
  <si>
    <t>US Dept of Veterans Affairs</t>
  </si>
  <si>
    <t>20316731681</t>
  </si>
  <si>
    <t>US Foods</t>
  </si>
  <si>
    <t>usfoods.com</t>
  </si>
  <si>
    <t>US Foods® is one of America’s great food companies and a leading foodservice distributor, partnering with approximately 300,000 restaurants and foodservice operators to help their businesses succeed. With nearly 28,000 employees and more than 70 locations, we provide our customers with a broad and innovative food offering and a comprehensive suite of e-commerce, technology, and business solutions.https://www.usfoods.com/about-us-foods.html</t>
  </si>
  <si>
    <t xml:space="preserve"> +1 847-720-8000</t>
  </si>
  <si>
    <t>23112537422</t>
  </si>
  <si>
    <t>US Info Tech</t>
  </si>
  <si>
    <t>usinfotech.com</t>
  </si>
  <si>
    <t>U.S. Information Technologies Corporation (USIT) is a leading provider of Oracle based information technology solutions. Our national workforce, many of whom are former Oracle professionals, bring extensive credentials to projects needing Oracle databa...</t>
  </si>
  <si>
    <t>20172285269</t>
  </si>
  <si>
    <t>US Postal Service</t>
  </si>
  <si>
    <t>usps.com</t>
  </si>
  <si>
    <t>USPS is a government enterprise that delivers mail and packages to every address in the nation, connecting Americans through its services.</t>
  </si>
  <si>
    <t xml:space="preserve"> +1 800-275-8777</t>
  </si>
  <si>
    <t>USPS OIG ENTERPRISE IT SERVICE MANAGEMENT</t>
  </si>
  <si>
    <t>16786997336</t>
  </si>
  <si>
    <t>23443377202</t>
  </si>
  <si>
    <t>usaajobs.com</t>
  </si>
  <si>
    <t>USAA is a leading provider of financial services to the military community, offering insurance, investments, financial planning, and banking products with a strong commitment to service and integrity.</t>
  </si>
  <si>
    <t xml:space="preserve"> +1 210-498-8787</t>
  </si>
  <si>
    <t>20317398148</t>
  </si>
  <si>
    <t>usaa.com</t>
  </si>
  <si>
    <t>USAA provides a full range of
highly competitive financial products and services to the military community
and their families. And our world-class employees are personally committed to
delivering excellent service and great guidance.</t>
  </si>
  <si>
    <t>20317175471</t>
  </si>
  <si>
    <t>UScellular</t>
  </si>
  <si>
    <t>uscellular.com</t>
  </si>
  <si>
    <t>U.S. Cellular is the fifth-largest full-service
wireless carrier in the United States, providing national network coverage and
industry-leading innovations designed to elevate the customer experience and
connect them to what matters most.</t>
  </si>
  <si>
    <t xml:space="preserve"> +1 773-399-8900</t>
  </si>
  <si>
    <t>20172285196</t>
  </si>
  <si>
    <t>uscis.gov</t>
  </si>
  <si>
    <t>USCIS is a component agency of the Department of Homeland Security (DHS). USCIS upholds America’s promise as a nation of welcome and possibility with fairness, integrity, and respect for all we serve.</t>
  </si>
  <si>
    <t>8003755283</t>
  </si>
  <si>
    <t>USCIS INTEGRATED FINANCIAL SYSTEMS SUPPORT SERVICES FOR OCFO</t>
  </si>
  <si>
    <t>18380672289</t>
  </si>
  <si>
    <t>20159073163</t>
  </si>
  <si>
    <t>www.uscis.gov</t>
  </si>
  <si>
    <t>Immigration Direct simplifies U.S. immigration applications with user-friendly software and services, ensuring accurate and timely submissions for a stress-free process.</t>
  </si>
  <si>
    <t>22702800270</t>
  </si>
  <si>
    <t>USDA</t>
  </si>
  <si>
    <t>usda.gov</t>
  </si>
  <si>
    <t>The United States Department of Agriculture (USDA) is a federal executive department dedicated to developing and executing U.S. government policy on farming, agriculture, and food. USDA aims to meet the needs of farmers and ranchers, promote agricultur...</t>
  </si>
  <si>
    <t xml:space="preserve"> +1 800-232-0233</t>
  </si>
  <si>
    <t>USDA Forecast - FY25 Q1 - Business Process Consulting Services;USDA Forecast - FY25 Q3 - FPAC Program Management Services;USDA Forecast 2383 - FY24 Q4 - Business Management Support Services;USDA Forecast - FY25 Q3 - Conservation Agile Release Trains;USDA Forecast - FY25 Q3 - Mature Scaled Agile Framework (SAFe) processes</t>
  </si>
  <si>
    <t>21940388414;21942401056;21940388895;21941334571;21942400772</t>
  </si>
  <si>
    <t>20806089569</t>
  </si>
  <si>
    <t>V-Soft Consulting</t>
  </si>
  <si>
    <t>Health Resources and Services Administration, National Institutes of Health</t>
  </si>
  <si>
    <t>ISO 9001, ISO 27001, CMMI for Development Level 3</t>
  </si>
  <si>
    <t>IT Consulting, Software Development, Network Infrastructure, Cybersecurity</t>
  </si>
  <si>
    <t>vsoftconsulting.com</t>
  </si>
  <si>
    <t>V Soft Consulting provides transformative IT services and staffing solutions for enterprises worldwide, specializing in ServiceNow, MuleSoft, Big Data, and Mobile App Development.</t>
  </si>
  <si>
    <t>502-693-2051</t>
  </si>
  <si>
    <t>T-Tech ServiceNow and ITSM Support Work</t>
  </si>
  <si>
    <t>18801568407</t>
  </si>
  <si>
    <t>23457730903</t>
  </si>
  <si>
    <t>Valley Bank Women in Business</t>
  </si>
  <si>
    <t>http://www.valley.com</t>
  </si>
  <si>
    <t>Valley National Bank is a regional financial institution with approximately $56 billion in assets and over 200 branches across several states. Founded in 1927, the bank offers a wide range of banking services including commercial and retail banking, home mortgage and commercial lending, wealth management, insurance, and estate planning solutions to help customers and communities achieve financial success.</t>
  </si>
  <si>
    <t xml:space="preserve"> +1 973-305-8800</t>
  </si>
  <si>
    <t>23439969183</t>
  </si>
  <si>
    <t>Vanguard</t>
  </si>
  <si>
    <t>http://www.vanguard.com</t>
  </si>
  <si>
    <t>Vanguard is an investor-owned investment company providing mutual funds, IRAs, ETFs, and 401(k) plans with a focus on personalized financial advice and low-cost investing to help individuals secure their financial future.</t>
  </si>
  <si>
    <t xml:space="preserve"> +1 610-669-1000</t>
  </si>
  <si>
    <t>23436931501</t>
  </si>
  <si>
    <t>Various Projects, Inc.</t>
  </si>
  <si>
    <t>http://www.various-projects.com</t>
  </si>
  <si>
    <t>Various Projects, Inc. is a multidisciplinary creative collaboration formed in 2005 by Elizabeth Beer &amp; Brian Janusiak. They work in the areas of design, art, and commerce, and focus on linking creative disciplines through collaborations. The studio cr...</t>
  </si>
  <si>
    <t>20157218632</t>
  </si>
  <si>
    <t>Verizon</t>
  </si>
  <si>
    <t>www.verizon.com</t>
  </si>
  <si>
    <t>Verizon Communications is a leading broadband and telecommunications company offering wireless, internet, TV, and phone services. With the largest 4G LTE network and pioneering 5G technology, Verizon provides fast internet, reliable TV, and communicati...</t>
  </si>
  <si>
    <t>Need company W-9 or W-8 Form. LSA is an LLC not a sole-prop correct?</t>
  </si>
  <si>
    <t>22702995890</t>
  </si>
  <si>
    <t>Veterans Affairs</t>
  </si>
  <si>
    <t>va.gov</t>
  </si>
  <si>
    <t>The United States Department of Veterans Affairs (VA.gov) is a government-run military veteran benefit system that serves veterans and their families. It provides a wide range of services and support to veterans, including healthcare, disability compen...</t>
  </si>
  <si>
    <t>20317506571</t>
  </si>
  <si>
    <t>Victoria's Secret &amp; Co</t>
  </si>
  <si>
    <t>victoriassecret.com</t>
  </si>
  <si>
    <t>Victoria's Secret is a leading specialty retailer offering a wide range of lingerie, bras, beauty products, and clothing. With a focus on beauty and fantasy, the brand aims to bring luxury and elegance into every woman's wardrobe. Victoria's Secret is ...</t>
  </si>
  <si>
    <t>20316496906</t>
  </si>
  <si>
    <t>VISA</t>
  </si>
  <si>
    <t>usa.visa.com</t>
  </si>
  <si>
    <t>Visa is a trusted world leader in digital payment technology that connects and enables individuals, businesses, and economies to thrive. Their purpose is to uplift everyone, everywhere by being the best way to pay and be paid. Visa facilitates transact...</t>
  </si>
  <si>
    <t xml:space="preserve"> +1 650-432-3200</t>
  </si>
  <si>
    <t>20315824998</t>
  </si>
  <si>
    <t>Vizient</t>
  </si>
  <si>
    <t>vizientinc.com</t>
  </si>
  <si>
    <t>Vizient Inc. is the nation's largest healthcare performance improvement company, connecting members with expertise and solutions to accelerate healthcare performance and deliver exceptional, cost-effective services.</t>
  </si>
  <si>
    <t xml:space="preserve"> +1 972-830-0000</t>
  </si>
  <si>
    <t>20316753171</t>
  </si>
  <si>
    <t>VMware Inc</t>
  </si>
  <si>
    <t>vmware.com</t>
  </si>
  <si>
    <t>VMware is a leading provider of multi-cloud services, offering solutions for modern apps, multi-cloud, digital workspace, security, and networking. With a focus on virtualization and cloud infrastructure, VMware empowers customers to develop, deliver, ...</t>
  </si>
  <si>
    <t xml:space="preserve"> +1 650-427-5000</t>
  </si>
  <si>
    <t>20317182277</t>
  </si>
  <si>
    <t>Voya Financial</t>
  </si>
  <si>
    <t>http://www.voya.com</t>
  </si>
  <si>
    <t>Voya Financial, Inc. is a leading health, wealth, and investment company dedicated to clearing paths to financial confidence. They offer retirement, investment, and insurance solutions to help individuals and institutions become well planned, well inve...</t>
  </si>
  <si>
    <t xml:space="preserve"> +1 212-309-8200</t>
  </si>
  <si>
    <t>23463820984</t>
  </si>
  <si>
    <t>Voya Investment Management</t>
  </si>
  <si>
    <t>voyainvestments.com</t>
  </si>
  <si>
    <t>23447751975</t>
  </si>
  <si>
    <t>Wah Fung Knitters</t>
  </si>
  <si>
    <t>wfg.com</t>
  </si>
  <si>
    <t>Wah Fung Knitters (wfg.com) is a leading knitwear manufacturer specializing in high-quality knit products for various industries. With a focus on innovation and craftsmanship, Wah Fung Knitters delivers custom-designed knitwear solutions to meet the un...</t>
  </si>
  <si>
    <t>20317105947</t>
  </si>
  <si>
    <t>Walmart</t>
  </si>
  <si>
    <t>20158970194</t>
  </si>
  <si>
    <t>www.walmart.com</t>
  </si>
  <si>
    <t>Walmart is a multinational retail corporation that operates discount department stores and warehouse stores. Founded with the goal of saving people money to help them live better, Walmart continues to prioritize customer satisfaction and affordability ...</t>
  </si>
  <si>
    <t xml:space="preserve"> +1 501-273-4000</t>
  </si>
  <si>
    <t>20159073165</t>
  </si>
  <si>
    <t>Walt Disney Company</t>
  </si>
  <si>
    <t>www.waltdisney.com</t>
  </si>
  <si>
    <t>Through interactive galleries featuring cartoons, artifacts, movies, music, a spectacular model of Disneyland and Walt's own narration, come be inspired by the story of the legendary man who raised animation to an art, passionately explored innovation,...</t>
  </si>
  <si>
    <t>20158994320</t>
  </si>
  <si>
    <t>Warner Bros Discovery</t>
  </si>
  <si>
    <t>www.warnerbrothers.com</t>
  </si>
  <si>
    <t>Movies , TV Shows and Video Games including Harry Potte</t>
  </si>
  <si>
    <t>818-954-6777</t>
  </si>
  <si>
    <t>20317493387</t>
  </si>
  <si>
    <t>Warner Media</t>
  </si>
  <si>
    <t>22703044477</t>
  </si>
  <si>
    <t>Washington Gas</t>
  </si>
  <si>
    <t>washgas.com</t>
  </si>
  <si>
    <t>Washington Gas is a regulated natural gas utility providing safe, reliable natural gas service to more than 1.1 million customers throughout Washington, D.C., and in parts of Maryland and Virginia. As part of the WGL family of energy companies, Washing...</t>
  </si>
  <si>
    <t xml:space="preserve"> +1 703-750-4440</t>
  </si>
  <si>
    <t>20315654569</t>
  </si>
  <si>
    <t>Waste Management</t>
  </si>
  <si>
    <t>wm.com</t>
  </si>
  <si>
    <t>Waste Management is North America's top provider of waste management and recycling services, partnering with customers and communities to manage waste, recover resources, and create renewable energy.</t>
  </si>
  <si>
    <t xml:space="preserve"> +1 713-512-6200</t>
  </si>
  <si>
    <t>23454693229</t>
  </si>
  <si>
    <t>Webster Financial</t>
  </si>
  <si>
    <t>websteronline.com</t>
  </si>
  <si>
    <t>Webster Bank is a commercial bank that provides banking, lending, investments, and private banking services to individuals, families, and businesses in Connecticut, New York, Massachusetts, and Rhode Island.</t>
  </si>
  <si>
    <t xml:space="preserve"> +1 203-578-2202</t>
  </si>
  <si>
    <t>20158970193</t>
  </si>
  <si>
    <t>Webster Financial Corporation</t>
  </si>
  <si>
    <t>https://www.websterbank.com</t>
  </si>
  <si>
    <t>Webster Bank is a leading commercial bank that provides financial solutions to businesses, individuals, families, and partners. With over $60 billion in assets, they offer a range of services through Commercial Banking, Consumer Banking, and HSA Bank. ...</t>
  </si>
  <si>
    <t xml:space="preserve"> +1 855-274-2800</t>
  </si>
  <si>
    <t>23456406121</t>
  </si>
  <si>
    <t>Wedbush Securities</t>
  </si>
  <si>
    <t>http://www.wedbush.com</t>
  </si>
  <si>
    <t>Wedbush Securities, founded in 1955, is a leading West Coast firm offering a wide range of financial services including securities brokerage, wealth management, and investment banking. With a focus on client service, innovation, and advanced technology, Wedbush provides expert advice and innovative investment products to help clients achieve their financial goals.</t>
  </si>
  <si>
    <t xml:space="preserve"> +1 213-688-8000</t>
  </si>
  <si>
    <t>20157354583</t>
  </si>
  <si>
    <t>Wells Fargo</t>
  </si>
  <si>
    <t>http://www.wellsfargo.com</t>
  </si>
  <si>
    <t>Wells Fargo is a diversified financial services company with a vision to satisfy customers' financial needs and help them succeed financially. Founded in 1852, it offers banking, investment, mortgage, consumer, and commercial finance products through v...</t>
  </si>
  <si>
    <t>23454974729</t>
  </si>
  <si>
    <t>Wells Fargo Advisors</t>
  </si>
  <si>
    <t>http://www.wellsfargoadvisors.com</t>
  </si>
  <si>
    <t>Wells Fargo Advisors provides a full range of financial advisory services, investments, brokerage services, and online trading to help clients achieve their retirement goals. With over 15,000 Financial Advisors nationwide, Wells Fargo Advisors upholds a reputation for strength, integrity, and client satisfaction, focusing on personalized service and meeting clients' financial needs at every stage of life.</t>
  </si>
  <si>
    <t xml:space="preserve"> +1 866-224-5708</t>
  </si>
  <si>
    <t>23462504567</t>
  </si>
  <si>
    <t>Wells Fargo Capital Finance</t>
  </si>
  <si>
    <t>https://www.wellsfargocapitalfinance.com</t>
  </si>
  <si>
    <t>Wells Fargo Capital Finance offers financial solutions for businesses' cash flow and growth needs through asset-based lending, factoring, and supply chain finance.</t>
  </si>
  <si>
    <t>23461576311</t>
  </si>
  <si>
    <t>WeOwn</t>
  </si>
  <si>
    <t>https://www.weown.com</t>
  </si>
  <si>
    <t>WeOwn is a blockchain-based technology provider that redefines lending and equity finance by digitalising debt and equity assets. WeOwn is a technology specialist for the blockchain-based tokenisation of financial assets and the digitalisation of post-...</t>
  </si>
  <si>
    <t>20316921918</t>
  </si>
  <si>
    <t>West Virginia University</t>
  </si>
  <si>
    <t>cbc.wvu.edu</t>
  </si>
  <si>
    <t>West Virginia University (WVU) is a renowned family of distinctive campuses dedicated to providing quality and affordable education. As the state's flagship land grant and research university, WVU offers opportunities to scholars worldwide and excels i...</t>
  </si>
  <si>
    <t xml:space="preserve"> +1 304-293-0111</t>
  </si>
  <si>
    <t>23456191815</t>
  </si>
  <si>
    <t>Western Union</t>
  </si>
  <si>
    <t>https://www.westernunion.com</t>
  </si>
  <si>
    <t>Western Union is a global leader in money transfer services, offering fast and reliable options for sending and receiving money worldwide. With over 500,000 agent locations in 200 countries, Western Union facilitates consumer and business transactions, making it easy to send money for various purposes like education, healthcare, and everyday expenses. Their secure and convenient services cater to individuals and businesses, ensuring quick and efficient money transfers to support loved ones and meet financial needs.</t>
  </si>
  <si>
    <t xml:space="preserve"> +1 800-877-8973</t>
  </si>
  <si>
    <t>20317053326</t>
  </si>
  <si>
    <t>WEX Inc.</t>
  </si>
  <si>
    <t>http://www.wexinc.com</t>
  </si>
  <si>
    <t>WEX is a global leader in corporate payments solutions, simplifying complexities across continents and industries with a focus on fuel, fleet, and employee benefits.</t>
  </si>
  <si>
    <t xml:space="preserve"> +1 207-773-8171</t>
  </si>
  <si>
    <t>23459573171</t>
  </si>
  <si>
    <t>Wheels, Inc.</t>
  </si>
  <si>
    <t>http://www.wheels.com</t>
  </si>
  <si>
    <t>Wheels, Inc. offers fleet management and mobility solutions since 1939, serving Fortune 500 clients globally with services like vehicle leasing, maintenance, and strategic consultation for optimal fleet efficiency.</t>
  </si>
  <si>
    <t xml:space="preserve"> +1 800-477-2211</t>
  </si>
  <si>
    <t>20316937608</t>
  </si>
  <si>
    <t>White and Williams, LLP</t>
  </si>
  <si>
    <t>whiteandwilliams.com</t>
  </si>
  <si>
    <t>White and Williams LLP is a global reaching, full service law firm with over 200 lawyers in ten offices. We represent public and private companies across a wide spectrum of industries including education, energy, financial services, food and beverage, ...</t>
  </si>
  <si>
    <t xml:space="preserve"> +1 215-864-7000</t>
  </si>
  <si>
    <t>23452678661</t>
  </si>
  <si>
    <t>White Oak Global Advisors</t>
  </si>
  <si>
    <t>http://www.whiteoaksf.com</t>
  </si>
  <si>
    <t>White Oak Global Advisors offers tailored financial solutions and a diverse range of over 20 lending products to assist small and middle market businesses in meeting their evolving capital requirements.</t>
  </si>
  <si>
    <t>23436764310</t>
  </si>
  <si>
    <t>Willis</t>
  </si>
  <si>
    <t>http://www.willistowerswatson.com</t>
  </si>
  <si>
    <t>Willis Towers Watson is a leading global advisory, broking and solutions company that helps clients around the world turn risk into a path for growth. With roots dating to 1828, Willis Towers Watson has 39,000 employees in more than 120 countries. We design and deliver solutions that manage risk, optimize benefits, cultivate talent, and expand the power of capital to protect and strengthen institutions and individuals. Our unique perspective allows us to see the critical intersections between talent, assets, and ideas — the dynamic formula that drives business performance.</t>
  </si>
  <si>
    <t>23454691998</t>
  </si>
  <si>
    <t>Work the World</t>
  </si>
  <si>
    <t>worktheworld.com.au</t>
  </si>
  <si>
    <t>Work the World is a British company that organizes placements for healthcare students and professionals to gain experience working in Africa, Asia, and South America. They offer tailor-made healthcare electives, placements, and internships in various d...</t>
  </si>
  <si>
    <t>20316962872</t>
  </si>
  <si>
    <t>Workday</t>
  </si>
  <si>
    <t>workday.com</t>
  </si>
  <si>
    <t>Workday provides enterprise cloud applications for finance, HR, planning, spend management, and analytics. Empower your workforce and drive innovation with Workday's SaaS-based solutions.</t>
  </si>
  <si>
    <t xml:space="preserve"> +1 925-951-9000</t>
  </si>
  <si>
    <t>23455128131</t>
  </si>
  <si>
    <t>World Financial Group (WFG)</t>
  </si>
  <si>
    <t>https://www.worldfinancialgroup.com</t>
  </si>
  <si>
    <t>World Financial Group (WFG) offers personalized financial services including life insurance, retirement planning, and wealth building strategies to individuals and families. As part of the AEGON group, WFG's independent associates prioritize personalized service and financial empowerment for all clients.</t>
  </si>
  <si>
    <t>22417168957</t>
  </si>
  <si>
    <t>Wright Brothers Institute</t>
  </si>
  <si>
    <t>wbi-innovates.com</t>
  </si>
  <si>
    <t>Wright Brothers Institute (WBI) partners with AFRL to drive R&amp;D collaborations and innovation in aerospace and national security, supporting technology transfer and fostering diverse collaborations for solving complex problems.</t>
  </si>
  <si>
    <t>23459257455</t>
  </si>
  <si>
    <t>Wuestenrot &amp; Wuerttembergische AG</t>
  </si>
  <si>
    <t>http://ww-ag.com</t>
  </si>
  <si>
    <t>Wuestenrot &amp; Wuerttembergische AG (W&amp;W) is a Germany based holding company for a group of enterprises active in two business segments: Building Society Saving Bank and Insurance. The company offers Building Society Savings, Banking, Non-Life Insurance, Personal Insurance, investment, informational technology, and service operations through its subsidiaries. W&amp;W has operations in Germany, France, Ireland, Luxembourg, the United Kingdom, and the United States.</t>
  </si>
  <si>
    <t xml:space="preserve"> +49 711 6620</t>
  </si>
  <si>
    <t>23109383947</t>
  </si>
  <si>
    <t>Wyetech</t>
  </si>
  <si>
    <t>wyetechllc.com</t>
  </si>
  <si>
    <t>Wyetech is a company that offers quality engineering services in the fields of Software Engineering, Systems Engineering, Cloud Engineering, Data Analysis, and Cyber Security to federal and commercial customers. They have qualified employees in a broad...</t>
  </si>
  <si>
    <t>22702679088</t>
  </si>
  <si>
    <t>Wyndham Worldwide</t>
  </si>
  <si>
    <t>wyndhamworldwide.com</t>
  </si>
  <si>
    <t>Wyndham Worldwide is an integrated hospitality company that offers a wide range of hospitality products and services. With 20 hotel brands and 9,280 locations worldwide, including family resorts, upscale hotels, and private villas, Wyndham provides tra...</t>
  </si>
  <si>
    <t xml:space="preserve"> +1 973-753-6000</t>
  </si>
  <si>
    <t>20316834217</t>
  </si>
  <si>
    <t>Wyndham Worldwide Corporation</t>
  </si>
  <si>
    <t>suppliers.wyndhamworldwide.com</t>
  </si>
  <si>
    <t>Wyndham Worldwide recognizes that diverse-owned businesses play an important role in the economy and the communities in which we live and work. By partnering with them, the Company helps to generate new ideas and opportunities, which not only help Wyndham Worldwide and its business units, but the overall strength and dynamism of the economy itself.
We take a holistic approach to diversity and the inclusion of a well-rounded diverse supplier base, promoting better business solutions while cultivating and fostering greater employee and customer loyalty. Our mission is to develop and implement an approach to supplier diversity which becomes part of our daily culture, achieving results that add value by reducing costs, improving quality and/or increasing revenue through the identification and use of competent diverse suppliers.</t>
  </si>
  <si>
    <t>20316795764</t>
  </si>
  <si>
    <t>Xcel Energy Inc.</t>
  </si>
  <si>
    <t>xcelenergy.com</t>
  </si>
  <si>
    <t>Xcel Energy is a major U.S. electric and natural gas company based in Minneapolis, Minnesota. With operations in eight Midwestern and Western states, they provide energy-related products and services to approximately 3.5 million electricity customers a...</t>
  </si>
  <si>
    <t xml:space="preserve"> +1 612-330-5500</t>
  </si>
  <si>
    <t>20157166462</t>
  </si>
  <si>
    <t>Xerox</t>
  </si>
  <si>
    <t>www.xerox.com</t>
  </si>
  <si>
    <t>Photography</t>
  </si>
  <si>
    <t>Xerox Corporation is a technology leader providing workplace solutions, document management, and digital printing technologies to enhance communication and productivity. With a focus on innovation, Xerox serves small to large businesses, governments, g...</t>
  </si>
  <si>
    <t>23454976601</t>
  </si>
  <si>
    <t>Yapı Kredi</t>
  </si>
  <si>
    <t>http://www.yapikredi.com.tr</t>
  </si>
  <si>
    <t>Yapı Kredi, established in 1944 as one of Turkey's first private banks, offers a wide range of banking and financial services. From card payment systems and consumer loans to corporate banking and wealth management, Yapı Kredi serves individual customers, SMEs, and high net worth clients with innovative solutions and a customer-centric approach. With a strong market position and total assets of TL 411 billion, Yapı Kredi continues to contribute to the Turkish economy through its diverse product offerings and extensive branch network.</t>
  </si>
  <si>
    <t xml:space="preserve"> +90 850 222 0444</t>
  </si>
  <si>
    <t>23459258174</t>
  </si>
  <si>
    <t>YES BANK</t>
  </si>
  <si>
    <t>http://www.yesbank.in</t>
  </si>
  <si>
    <t>YES BANK, India's fourth largest private sector Bank provides comprehensive banking and financial solutions with a customer-centric focus and operational excellence.</t>
  </si>
  <si>
    <t>20316921917</t>
  </si>
  <si>
    <t>Zoetis</t>
  </si>
  <si>
    <t>20315701585</t>
  </si>
  <si>
    <t>Zurn</t>
  </si>
  <si>
    <t>23454363432</t>
  </si>
  <si>
    <t>英國保誠集團亞洲區總部</t>
  </si>
  <si>
    <t>http://www.prudentialcorporation-asia.com</t>
  </si>
  <si>
    <t>保誠深信，只要用心聆聽，才能真正了解不同客戶的需要。 英國保誠致力秉承「用心聆聽 更知你心」的企業理念，透過聆聽及了解客戶的需要，及配合公司一貫的專業服務文化，致力成為香港多銷售渠道保險公司的首位。 Prudential plc為國際性金融服務集團，主要業務位於亞洲、美國及英國。截至2016年12月31日，集團為超過2,400萬名保險客戶提供服務及管理資產達5,990億英鎊。Prudential plc於香港、倫敦、紐約及新加坡證券交易所上市。</t>
  </si>
  <si>
    <t>(937) 238-0057</t>
  </si>
  <si>
    <t>Kurt / Mike</t>
  </si>
  <si>
    <t>(412) 607-0402</t>
  </si>
  <si>
    <t>Sent LinkedIN Invite 2025Apr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</si>
</sst>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yyyy\-mm\-dd\ hh:mm"/>
  </numFmts>
  <fonts count="40">
    <font>
      <sz val="10"/>
      <color theme="1"/>
      <name val="Arial"/>
      <family val="2"/>
    </font>
    <font>
      <b/>
      <sz val="13"/>
      <color theme="1"/>
      <name val="Calibri"/>
      <family val="2"/>
    </font>
    <font>
      <sz val="12"/>
      <color theme="1"/>
      <name val="Calibri"/>
      <family val="2"/>
    </font>
    <font>
      <sz val="10"/>
      <color theme="1"/>
      <name val="Arial"/>
      <family val="2"/>
    </font>
    <font>
      <b/>
      <sz val="10"/>
      <color theme="1"/>
      <name val="Arial"/>
      <family val="2"/>
    </font>
    <font>
      <sz val="10"/>
      <color rgb="FF000000"/>
      <name val="Arial"/>
      <family val="2"/>
    </font>
    <font>
      <sz val="12"/>
      <color rgb="FFFF0000"/>
      <name val="Calibri"/>
      <family val="2"/>
    </font>
    <font>
      <sz val="10"/>
      <color rgb="FFFF0000"/>
      <name val="Arial"/>
      <family val="2"/>
    </font>
    <font>
      <u/>
      <sz val="10"/>
      <color theme="10"/>
      <name val="Arial"/>
      <family val="2"/>
    </font>
    <font>
      <sz val="11"/>
      <color theme="1"/>
      <name val="-Apple-System"/>
      <charset val="1"/>
    </font>
    <font>
      <b/>
      <sz val="12"/>
      <color theme="1"/>
      <name val="Arial"/>
      <family val="2"/>
    </font>
    <font>
      <sz val="12"/>
      <color theme="1"/>
      <name val="Arial"/>
      <family val="2"/>
    </font>
    <font>
      <sz val="12"/>
      <color rgb="FF000000"/>
      <name val="Arial"/>
      <family val="2"/>
    </font>
    <font>
      <b/>
      <sz val="12"/>
      <color rgb="FF000000"/>
      <name val="Arial"/>
      <family val="2"/>
    </font>
    <font>
      <b/>
      <sz val="16"/>
      <color theme="1"/>
      <name val="Calibri"/>
      <family val="2"/>
    </font>
    <font>
      <sz val="16"/>
      <color theme="1"/>
      <name val="Arial"/>
      <family val="2"/>
    </font>
    <font>
      <sz val="20"/>
      <color theme="1"/>
      <name val="Calibri"/>
      <family val="2"/>
    </font>
    <font>
      <b/>
      <sz val="16"/>
      <name val="Calibri"/>
      <family val="2"/>
    </font>
    <font>
      <sz val="12"/>
      <name val="Calibri"/>
      <family val="2"/>
    </font>
    <font>
      <sz val="20"/>
      <name val="Calibri"/>
      <family val="2"/>
    </font>
    <font>
      <u/>
      <sz val="10"/>
      <name val="Arial"/>
      <family val="2"/>
    </font>
    <font>
      <sz val="10"/>
      <name val="Arial"/>
      <family val="2"/>
    </font>
    <font>
      <sz val="20"/>
      <name val="Arial"/>
      <family val="2"/>
    </font>
    <font>
      <b/>
      <sz val="12"/>
      <name val="Calibri"/>
      <family val="2"/>
    </font>
    <font>
      <b/>
      <sz val="24"/>
      <name val="Calibri"/>
      <family val="2"/>
    </font>
    <font>
      <b/>
      <sz val="24"/>
      <color theme="1"/>
      <name val="Calibri"/>
      <family val="2"/>
    </font>
    <font>
      <b/>
      <u/>
      <sz val="24"/>
      <name val="Arial"/>
      <family val="2"/>
    </font>
    <font>
      <sz val="26"/>
      <name val="Calibri"/>
      <family val="2"/>
    </font>
    <font>
      <sz val="26"/>
      <color theme="1"/>
      <name val="Calibri"/>
      <family val="2"/>
    </font>
    <font>
      <u/>
      <sz val="26"/>
      <name val="Arial"/>
      <family val="2"/>
    </font>
    <font>
      <sz val="26"/>
      <name val="Arial"/>
      <family val="2"/>
    </font>
    <font>
      <b/>
      <sz val="12"/>
      <color theme="1"/>
      <name val="Calibri"/>
      <family val="2"/>
    </font>
    <font>
      <sz val="20"/>
      <color rgb="FFFF0000"/>
      <name val="Calibri"/>
      <family val="2"/>
    </font>
    <font>
      <b/>
      <sz val="24"/>
      <color rgb="FFFF0000"/>
      <name val="Calibri"/>
      <family val="2"/>
    </font>
    <font>
      <sz val="26"/>
      <color rgb="FFFF0000"/>
      <name val="Calibri"/>
      <family val="2"/>
    </font>
    <font>
      <b/>
      <sz val="12"/>
      <color rgb="FFFF0000"/>
      <name val="Calibri"/>
      <family val="2"/>
    </font>
    <font>
      <b/>
      <sz val="12"/>
      <color rgb="FF000000"/>
      <name val="Calibri"/>
      <family val="2"/>
    </font>
    <font>
      <sz val="12"/>
      <color rgb="FF000000"/>
      <name val="Aptos Narrow"/>
      <family val="2"/>
    </font>
    <font>
      <sz val="12"/>
      <color rgb="FF000000"/>
      <name val="Calibri"/>
      <family val="2"/>
    </font>
    <font>
      <sz val="8"/>
      <name val="Arial"/>
      <family val="2"/>
    </font>
  </fonts>
  <fills count="15">
    <fill>
      <patternFill patternType="none"/>
    </fill>
    <fill>
      <patternFill patternType="gray125"/>
    </fill>
    <fill>
      <patternFill patternType="solid">
        <fgColor rgb="FFEDEDED"/>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EBF1DE"/>
        <bgColor rgb="FF000000"/>
      </patternFill>
    </fill>
    <fill>
      <patternFill patternType="solid">
        <bgColor theme="6" tint="0.79998168889431442"/>
      </patternFill>
    </fill>
    <fill>
      <patternFill patternType="solid">
        <fgColor theme="4" tint="0.79998168889431442"/>
        <bgColor indexed="64"/>
      </patternFill>
    </fill>
  </fills>
  <borders count="19">
    <border>
      <left/>
      <right/>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s>
  <cellStyleXfs count="7">
    <xf numFmtId="0" fontId="0"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8" fillId="0" borderId="0" applyNumberFormat="0" applyFill="0" applyBorder="0" applyAlignment="0" applyProtection="0"/>
  </cellStyleXfs>
  <cellXfs count="217">
    <xf numFmtId="0" fontId="0" fillId="0" borderId="0" xfId="0"/>
    <xf numFmtId="49" fontId="2" fillId="0" borderId="0" xfId="0" applyNumberFormat="1" applyFont="1" applyAlignment="1">
      <alignment wrapText="1"/>
    </xf>
    <xf numFmtId="22" fontId="2" fillId="0" borderId="0" xfId="0" applyNumberFormat="1" applyFont="1"/>
    <xf numFmtId="49" fontId="2" fillId="2" borderId="0" xfId="0" applyNumberFormat="1" applyFont="1" applyFill="1" applyAlignment="1">
      <alignment wrapText="1"/>
    </xf>
    <xf numFmtId="22" fontId="2" fillId="2" borderId="0" xfId="0" applyNumberFormat="1" applyFont="1" applyFill="1"/>
    <xf numFmtId="0" fontId="1" fillId="0" borderId="1" xfId="0" applyFont="1" applyBorder="1" applyAlignment="1">
      <alignment vertical="center" wrapText="1"/>
    </xf>
    <xf numFmtId="49" fontId="2" fillId="3" borderId="0" xfId="0" applyNumberFormat="1" applyFont="1" applyFill="1" applyAlignment="1">
      <alignment wrapText="1"/>
    </xf>
    <xf numFmtId="22" fontId="2" fillId="3" borderId="0" xfId="0" applyNumberFormat="1" applyFont="1" applyFill="1"/>
    <xf numFmtId="0" fontId="0" fillId="3" borderId="0" xfId="0" applyFill="1"/>
    <xf numFmtId="0" fontId="4" fillId="0" borderId="0" xfId="0" applyFont="1"/>
    <xf numFmtId="0" fontId="0" fillId="0" borderId="0" xfId="0" applyAlignment="1">
      <alignment wrapText="1"/>
    </xf>
    <xf numFmtId="49" fontId="2" fillId="4" borderId="0" xfId="0" applyNumberFormat="1" applyFont="1" applyFill="1" applyAlignment="1">
      <alignment wrapText="1"/>
    </xf>
    <xf numFmtId="22" fontId="2" fillId="4" borderId="0" xfId="0" applyNumberFormat="1" applyFont="1" applyFill="1"/>
    <xf numFmtId="0" fontId="0" fillId="4" borderId="0" xfId="0" applyFill="1"/>
    <xf numFmtId="164" fontId="0" fillId="0" borderId="0" xfId="0" applyNumberFormat="1"/>
    <xf numFmtId="0" fontId="5" fillId="0" borderId="0" xfId="0" applyFont="1"/>
    <xf numFmtId="49" fontId="2" fillId="3" borderId="2" xfId="0" applyNumberFormat="1" applyFont="1" applyFill="1" applyBorder="1" applyAlignment="1">
      <alignment wrapText="1"/>
    </xf>
    <xf numFmtId="0" fontId="0" fillId="3" borderId="2" xfId="0" applyFill="1" applyBorder="1"/>
    <xf numFmtId="0" fontId="0" fillId="0" borderId="2" xfId="0" applyBorder="1"/>
    <xf numFmtId="0" fontId="0" fillId="0" borderId="2" xfId="0" applyBorder="1" applyAlignment="1">
      <alignment wrapText="1"/>
    </xf>
    <xf numFmtId="0" fontId="5" fillId="0" borderId="2" xfId="0" applyFont="1" applyBorder="1"/>
    <xf numFmtId="0" fontId="0" fillId="6" borderId="2" xfId="0" applyFill="1" applyBorder="1"/>
    <xf numFmtId="0" fontId="4" fillId="5" borderId="2" xfId="0" applyFont="1"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6" borderId="2" xfId="0" applyFill="1" applyBorder="1" applyAlignment="1">
      <alignment horizontal="center"/>
    </xf>
    <xf numFmtId="0" fontId="7" fillId="0" borderId="2" xfId="0" applyFont="1" applyBorder="1" applyAlignment="1">
      <alignment horizontal="center"/>
    </xf>
    <xf numFmtId="0" fontId="0" fillId="7" borderId="2" xfId="0" applyFill="1" applyBorder="1"/>
    <xf numFmtId="0" fontId="0" fillId="8" borderId="2" xfId="0" applyFill="1" applyBorder="1"/>
    <xf numFmtId="0" fontId="0" fillId="9" borderId="2" xfId="0" applyFill="1" applyBorder="1"/>
    <xf numFmtId="0" fontId="7" fillId="9" borderId="2" xfId="0" applyFont="1" applyFill="1" applyBorder="1" applyAlignment="1">
      <alignment horizontal="center"/>
    </xf>
    <xf numFmtId="0" fontId="0" fillId="9" borderId="2" xfId="0" applyFill="1" applyBorder="1" applyAlignment="1">
      <alignment horizontal="center"/>
    </xf>
    <xf numFmtId="0" fontId="5" fillId="9" borderId="2" xfId="0" applyFont="1" applyFill="1" applyBorder="1"/>
    <xf numFmtId="0" fontId="7" fillId="0" borderId="0" xfId="0" applyFont="1"/>
    <xf numFmtId="0" fontId="0" fillId="0" borderId="0" xfId="0" applyAlignment="1">
      <alignment readingOrder="1"/>
    </xf>
    <xf numFmtId="0" fontId="4" fillId="5" borderId="2" xfId="0" applyFont="1" applyFill="1" applyBorder="1"/>
    <xf numFmtId="0" fontId="0" fillId="0" borderId="0" xfId="0" applyAlignment="1">
      <alignment vertical="top" wrapText="1"/>
    </xf>
    <xf numFmtId="0" fontId="4" fillId="0" borderId="3" xfId="0" applyFont="1" applyBorder="1" applyAlignment="1">
      <alignment horizontal="left" vertical="top"/>
    </xf>
    <xf numFmtId="0" fontId="0" fillId="5" borderId="3" xfId="0"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7" fillId="0" borderId="0" xfId="0" applyFont="1" applyAlignment="1">
      <alignment horizontal="left" vertical="top"/>
    </xf>
    <xf numFmtId="0" fontId="1" fillId="5" borderId="2" xfId="0" applyFont="1" applyFill="1" applyBorder="1" applyAlignment="1">
      <alignment vertical="center"/>
    </xf>
    <xf numFmtId="49" fontId="2" fillId="3" borderId="2" xfId="0" applyNumberFormat="1" applyFont="1" applyFill="1" applyBorder="1"/>
    <xf numFmtId="0" fontId="0" fillId="10" borderId="2" xfId="0" applyFill="1" applyBorder="1"/>
    <xf numFmtId="49" fontId="6" fillId="3" borderId="2" xfId="0" applyNumberFormat="1" applyFont="1" applyFill="1" applyBorder="1"/>
    <xf numFmtId="0" fontId="7" fillId="3" borderId="2" xfId="0" applyFont="1" applyFill="1" applyBorder="1"/>
    <xf numFmtId="0" fontId="7" fillId="0" borderId="2" xfId="0" applyFont="1" applyBorder="1"/>
    <xf numFmtId="0" fontId="7" fillId="9" borderId="2" xfId="0" applyFont="1" applyFill="1" applyBorder="1"/>
    <xf numFmtId="49" fontId="2" fillId="3" borderId="0" xfId="0" applyNumberFormat="1" applyFont="1" applyFill="1"/>
    <xf numFmtId="0" fontId="0" fillId="5" borderId="3" xfId="0" applyFill="1" applyBorder="1" applyAlignment="1">
      <alignment horizontal="left" vertical="top" wrapText="1"/>
    </xf>
    <xf numFmtId="0" fontId="9" fillId="0" borderId="0" xfId="0" applyFont="1"/>
    <xf numFmtId="0" fontId="11" fillId="0" borderId="4" xfId="0" applyFont="1" applyBorder="1" applyAlignment="1">
      <alignment wrapText="1"/>
    </xf>
    <xf numFmtId="0" fontId="10" fillId="5" borderId="4" xfId="0" applyFont="1" applyFill="1" applyBorder="1" applyAlignment="1">
      <alignment horizontal="center" wrapText="1"/>
    </xf>
    <xf numFmtId="0" fontId="11" fillId="0" borderId="4" xfId="0" applyFont="1" applyBorder="1" applyAlignment="1">
      <alignment horizontal="center" wrapText="1"/>
    </xf>
    <xf numFmtId="0" fontId="12" fillId="0" borderId="4" xfId="0" applyFont="1" applyBorder="1" applyAlignment="1">
      <alignment horizontal="center" wrapText="1"/>
    </xf>
    <xf numFmtId="0" fontId="12" fillId="0" borderId="4" xfId="0" applyFont="1" applyBorder="1" applyAlignment="1">
      <alignment wrapText="1"/>
    </xf>
    <xf numFmtId="0" fontId="10" fillId="5" borderId="0" xfId="0" applyFont="1" applyFill="1" applyAlignment="1">
      <alignment wrapText="1"/>
    </xf>
    <xf numFmtId="0" fontId="11" fillId="0" borderId="0" xfId="0" applyFont="1" applyAlignment="1">
      <alignment wrapText="1"/>
    </xf>
    <xf numFmtId="0" fontId="11" fillId="0" borderId="6" xfId="0" applyFont="1" applyBorder="1" applyAlignment="1">
      <alignment wrapText="1"/>
    </xf>
    <xf numFmtId="0" fontId="11" fillId="0" borderId="5" xfId="0" applyFont="1" applyBorder="1" applyAlignment="1">
      <alignment wrapText="1"/>
    </xf>
    <xf numFmtId="0" fontId="11" fillId="0" borderId="0" xfId="0" applyFont="1" applyAlignment="1">
      <alignment horizontal="center" wrapText="1"/>
    </xf>
    <xf numFmtId="0" fontId="13" fillId="5" borderId="4" xfId="0" applyFont="1" applyFill="1" applyBorder="1" applyAlignment="1">
      <alignment wrapText="1"/>
    </xf>
    <xf numFmtId="49" fontId="2" fillId="0" borderId="0" xfId="0" quotePrefix="1" applyNumberFormat="1" applyFont="1" applyAlignment="1">
      <alignment wrapText="1"/>
    </xf>
    <xf numFmtId="0" fontId="17" fillId="11" borderId="2" xfId="0" applyFont="1" applyFill="1" applyBorder="1" applyAlignment="1">
      <alignment vertical="center" wrapText="1"/>
    </xf>
    <xf numFmtId="49" fontId="18" fillId="11" borderId="2" xfId="0" applyNumberFormat="1" applyFont="1" applyFill="1" applyBorder="1" applyAlignment="1">
      <alignment wrapText="1"/>
    </xf>
    <xf numFmtId="49" fontId="19" fillId="11" borderId="2" xfId="0" applyNumberFormat="1" applyFont="1" applyFill="1" applyBorder="1" applyAlignment="1">
      <alignment wrapText="1"/>
    </xf>
    <xf numFmtId="49" fontId="20" fillId="11" borderId="2" xfId="6" applyNumberFormat="1" applyFont="1" applyFill="1" applyBorder="1" applyAlignment="1">
      <alignment wrapText="1"/>
    </xf>
    <xf numFmtId="0" fontId="15" fillId="0" borderId="0" xfId="0" applyFont="1"/>
    <xf numFmtId="49" fontId="18" fillId="11" borderId="7" xfId="0" applyNumberFormat="1" applyFont="1" applyFill="1" applyBorder="1" applyAlignment="1">
      <alignment wrapText="1"/>
    </xf>
    <xf numFmtId="49" fontId="19" fillId="11" borderId="7" xfId="0" applyNumberFormat="1" applyFont="1" applyFill="1" applyBorder="1" applyAlignment="1">
      <alignment wrapText="1"/>
    </xf>
    <xf numFmtId="49" fontId="18" fillId="11" borderId="3" xfId="0" applyNumberFormat="1" applyFont="1" applyFill="1" applyBorder="1" applyAlignment="1">
      <alignment wrapText="1"/>
    </xf>
    <xf numFmtId="49" fontId="19" fillId="11" borderId="3" xfId="0" applyNumberFormat="1" applyFont="1" applyFill="1" applyBorder="1" applyAlignment="1">
      <alignment wrapText="1"/>
    </xf>
    <xf numFmtId="49" fontId="2" fillId="0" borderId="2" xfId="0" applyNumberFormat="1" applyFont="1" applyBorder="1" applyAlignment="1">
      <alignment wrapText="1"/>
    </xf>
    <xf numFmtId="49" fontId="2" fillId="0" borderId="2" xfId="0" quotePrefix="1" applyNumberFormat="1" applyFont="1" applyBorder="1" applyAlignment="1">
      <alignment wrapText="1"/>
    </xf>
    <xf numFmtId="22" fontId="2" fillId="0" borderId="2" xfId="0" applyNumberFormat="1" applyFont="1" applyBorder="1"/>
    <xf numFmtId="0" fontId="21" fillId="0" borderId="0" xfId="0" applyFont="1"/>
    <xf numFmtId="0" fontId="22" fillId="0" borderId="0" xfId="0" applyFont="1"/>
    <xf numFmtId="0" fontId="11" fillId="0" borderId="0" xfId="0" applyFont="1"/>
    <xf numFmtId="49" fontId="24" fillId="11" borderId="7" xfId="0" applyNumberFormat="1" applyFont="1" applyFill="1" applyBorder="1" applyAlignment="1">
      <alignment wrapText="1"/>
      <extLst>
        <ext xmlns:xfpb="http://schemas.microsoft.com/office/spreadsheetml/2022/featurepropertybag" uri="{C7286773-470A-42A8-94C5-96B5CB345126}">
          <xfpb:xfComplement i="0"/>
        </ext>
      </extLst>
    </xf>
    <xf numFmtId="49" fontId="24" fillId="11" borderId="3" xfId="0" applyNumberFormat="1" applyFont="1" applyFill="1" applyBorder="1" applyAlignment="1">
      <alignment wrapText="1"/>
      <extLst>
        <ext xmlns:xfpb="http://schemas.microsoft.com/office/spreadsheetml/2022/featurepropertybag" uri="{C7286773-470A-42A8-94C5-96B5CB345126}">
          <xfpb:xfComplement i="0"/>
        </ext>
      </extLst>
    </xf>
    <xf numFmtId="49" fontId="24" fillId="11" borderId="2" xfId="0" applyNumberFormat="1" applyFont="1" applyFill="1" applyBorder="1" applyAlignment="1">
      <alignment wrapText="1"/>
      <extLst>
        <ext xmlns:xfpb="http://schemas.microsoft.com/office/spreadsheetml/2022/featurepropertybag" uri="{C7286773-470A-42A8-94C5-96B5CB345126}">
          <xfpb:xfComplement i="0"/>
        </ext>
      </extLst>
    </xf>
    <xf numFmtId="49" fontId="26" fillId="11" borderId="2" xfId="6" applyNumberFormat="1" applyFont="1" applyFill="1" applyBorder="1" applyAlignment="1">
      <alignment wrapText="1"/>
      <extLst>
        <ext xmlns:xfpb="http://schemas.microsoft.com/office/spreadsheetml/2022/featurepropertybag" uri="{C7286773-470A-42A8-94C5-96B5CB345126}">
          <xfpb:xfComplement i="0"/>
        </ext>
      </extLst>
    </xf>
    <xf numFmtId="49" fontId="27" fillId="11" borderId="7" xfId="0" applyNumberFormat="1" applyFont="1" applyFill="1" applyBorder="1" applyAlignment="1">
      <alignment wrapText="1"/>
      <extLst>
        <ext xmlns:xfpb="http://schemas.microsoft.com/office/spreadsheetml/2022/featurepropertybag" uri="{C7286773-470A-42A8-94C5-96B5CB345126}">
          <xfpb:xfComplement i="0"/>
        </ext>
      </extLst>
    </xf>
    <xf numFmtId="49" fontId="27" fillId="11" borderId="3" xfId="0" applyNumberFormat="1" applyFont="1" applyFill="1" applyBorder="1" applyAlignment="1">
      <alignment wrapText="1"/>
      <extLst>
        <ext xmlns:xfpb="http://schemas.microsoft.com/office/spreadsheetml/2022/featurepropertybag" uri="{C7286773-470A-42A8-94C5-96B5CB345126}">
          <xfpb:xfComplement i="0"/>
        </ext>
      </extLst>
    </xf>
    <xf numFmtId="49" fontId="27" fillId="11" borderId="2" xfId="0" applyNumberFormat="1" applyFont="1" applyFill="1" applyBorder="1" applyAlignment="1">
      <alignment wrapText="1"/>
      <extLst>
        <ext xmlns:xfpb="http://schemas.microsoft.com/office/spreadsheetml/2022/featurepropertybag" uri="{C7286773-470A-42A8-94C5-96B5CB345126}">
          <xfpb:xfComplement i="0"/>
        </ext>
      </extLst>
    </xf>
    <xf numFmtId="49" fontId="29" fillId="11" borderId="2" xfId="6" applyNumberFormat="1" applyFont="1" applyFill="1" applyBorder="1" applyAlignment="1">
      <alignment wrapText="1"/>
      <extLst>
        <ext xmlns:xfpb="http://schemas.microsoft.com/office/spreadsheetml/2022/featurepropertybag" uri="{C7286773-470A-42A8-94C5-96B5CB345126}">
          <xfpb:xfComplement i="0"/>
        </ext>
      </extLst>
    </xf>
    <xf numFmtId="0" fontId="30" fillId="0" borderId="0" xfId="0" applyFont="1"/>
    <xf numFmtId="49" fontId="2" fillId="11" borderId="2" xfId="0" applyNumberFormat="1" applyFont="1" applyFill="1" applyBorder="1" applyAlignment="1">
      <alignment wrapText="1"/>
    </xf>
    <xf numFmtId="49" fontId="16" fillId="11" borderId="2" xfId="0" applyNumberFormat="1" applyFont="1" applyFill="1" applyBorder="1" applyAlignment="1">
      <alignment wrapText="1"/>
    </xf>
    <xf numFmtId="49" fontId="25" fillId="11" borderId="2" xfId="0" applyNumberFormat="1" applyFont="1" applyFill="1" applyBorder="1" applyAlignment="1">
      <alignment wrapText="1"/>
      <extLst>
        <ext xmlns:xfpb="http://schemas.microsoft.com/office/spreadsheetml/2022/featurepropertybag" uri="{C7286773-470A-42A8-94C5-96B5CB345126}">
          <xfpb:xfComplement i="0"/>
        </ext>
      </extLst>
    </xf>
    <xf numFmtId="49" fontId="28" fillId="11" borderId="2" xfId="0" applyNumberFormat="1" applyFont="1" applyFill="1" applyBorder="1" applyAlignment="1">
      <alignment wrapText="1"/>
      <extLst>
        <ext xmlns:xfpb="http://schemas.microsoft.com/office/spreadsheetml/2022/featurepropertybag" uri="{C7286773-470A-42A8-94C5-96B5CB345126}">
          <xfpb:xfComplement i="0"/>
        </ext>
      </extLst>
    </xf>
    <xf numFmtId="49" fontId="2" fillId="11" borderId="2" xfId="0" applyNumberFormat="1" applyFont="1" applyFill="1" applyBorder="1" applyAlignment="1">
      <alignment vertical="top" wrapText="1"/>
    </xf>
    <xf numFmtId="49" fontId="18" fillId="11" borderId="2" xfId="0" applyNumberFormat="1" applyFont="1" applyFill="1" applyBorder="1" applyAlignment="1">
      <alignment vertical="top" wrapText="1"/>
    </xf>
    <xf numFmtId="49" fontId="8" fillId="0" borderId="0" xfId="6" applyNumberFormat="1" applyAlignment="1">
      <alignment wrapText="1"/>
    </xf>
    <xf numFmtId="49" fontId="6" fillId="11" borderId="2" xfId="0" applyNumberFormat="1" applyFont="1" applyFill="1" applyBorder="1" applyAlignment="1">
      <alignment wrapText="1"/>
    </xf>
    <xf numFmtId="49" fontId="32" fillId="11" borderId="2" xfId="0" applyNumberFormat="1" applyFont="1" applyFill="1" applyBorder="1" applyAlignment="1">
      <alignment wrapText="1"/>
    </xf>
    <xf numFmtId="49" fontId="6" fillId="11" borderId="2" xfId="0" applyNumberFormat="1" applyFont="1" applyFill="1" applyBorder="1" applyAlignment="1">
      <alignment vertical="top" wrapText="1"/>
    </xf>
    <xf numFmtId="49" fontId="33" fillId="11" borderId="2" xfId="0" applyNumberFormat="1" applyFont="1" applyFill="1" applyBorder="1" applyAlignment="1">
      <alignment wrapText="1"/>
      <extLst>
        <ext xmlns:xfpb="http://schemas.microsoft.com/office/spreadsheetml/2022/featurepropertybag" uri="{C7286773-470A-42A8-94C5-96B5CB345126}">
          <xfpb:xfComplement i="0"/>
        </ext>
      </extLst>
    </xf>
    <xf numFmtId="49" fontId="34" fillId="11" borderId="2" xfId="0" applyNumberFormat="1" applyFont="1" applyFill="1" applyBorder="1" applyAlignment="1">
      <alignment wrapText="1"/>
      <extLst>
        <ext xmlns:xfpb="http://schemas.microsoft.com/office/spreadsheetml/2022/featurepropertybag" uri="{C7286773-470A-42A8-94C5-96B5CB345126}">
          <xfpb:xfComplement i="0"/>
        </ext>
      </extLst>
    </xf>
    <xf numFmtId="49" fontId="8" fillId="0" borderId="2" xfId="6" applyNumberFormat="1" applyBorder="1" applyAlignment="1">
      <alignment wrapText="1"/>
    </xf>
    <xf numFmtId="49" fontId="24" fillId="11" borderId="2" xfId="0" applyNumberFormat="1" applyFont="1" applyFill="1" applyBorder="1" applyAlignment="1">
      <alignment wrapText="1"/>
    </xf>
    <xf numFmtId="49" fontId="8" fillId="0" borderId="0" xfId="6" applyNumberFormat="1" applyBorder="1" applyAlignment="1">
      <alignment wrapText="1"/>
    </xf>
    <xf numFmtId="49" fontId="29" fillId="11" borderId="7" xfId="6" applyNumberFormat="1" applyFont="1" applyFill="1" applyBorder="1" applyAlignment="1">
      <alignment wrapText="1"/>
      <extLst>
        <ext xmlns:xfpb="http://schemas.microsoft.com/office/spreadsheetml/2022/featurepropertybag" uri="{C7286773-470A-42A8-94C5-96B5CB345126}">
          <xfpb:xfComplement i="0"/>
        </ext>
      </extLst>
    </xf>
    <xf numFmtId="0" fontId="0" fillId="11" borderId="2" xfId="0" applyFill="1" applyBorder="1" applyAlignment="1">
      <alignment wrapText="1"/>
    </xf>
    <xf numFmtId="49" fontId="6" fillId="0" borderId="2" xfId="0" applyNumberFormat="1" applyFont="1" applyBorder="1" applyAlignment="1">
      <alignment wrapText="1"/>
    </xf>
    <xf numFmtId="22" fontId="6" fillId="0" borderId="2" xfId="0" applyNumberFormat="1" applyFont="1" applyBorder="1"/>
    <xf numFmtId="49" fontId="35" fillId="11" borderId="2" xfId="0" applyNumberFormat="1" applyFont="1" applyFill="1" applyBorder="1" applyAlignment="1">
      <alignment wrapText="1"/>
    </xf>
    <xf numFmtId="49" fontId="2" fillId="0" borderId="7" xfId="0" applyNumberFormat="1" applyFont="1" applyBorder="1" applyAlignment="1">
      <alignment wrapText="1"/>
    </xf>
    <xf numFmtId="22" fontId="2" fillId="0" borderId="7" xfId="0" applyNumberFormat="1" applyFont="1" applyBorder="1"/>
    <xf numFmtId="49" fontId="18" fillId="11" borderId="8" xfId="0" applyNumberFormat="1" applyFont="1" applyFill="1" applyBorder="1" applyAlignment="1">
      <alignment wrapText="1"/>
    </xf>
    <xf numFmtId="49" fontId="19" fillId="11" borderId="8" xfId="0" applyNumberFormat="1" applyFont="1" applyFill="1" applyBorder="1" applyAlignment="1">
      <alignment wrapText="1"/>
    </xf>
    <xf numFmtId="49" fontId="18" fillId="11" borderId="8" xfId="0" applyNumberFormat="1" applyFont="1" applyFill="1" applyBorder="1" applyAlignment="1">
      <alignment vertical="top" wrapText="1"/>
    </xf>
    <xf numFmtId="49" fontId="24" fillId="11" borderId="8" xfId="0" applyNumberFormat="1" applyFont="1" applyFill="1" applyBorder="1" applyAlignment="1">
      <alignment wrapText="1"/>
      <extLst>
        <ext xmlns:xfpb="http://schemas.microsoft.com/office/spreadsheetml/2022/featurepropertybag" uri="{C7286773-470A-42A8-94C5-96B5CB345126}">
          <xfpb:xfComplement i="0"/>
        </ext>
      </extLst>
    </xf>
    <xf numFmtId="49" fontId="27" fillId="11" borderId="8" xfId="0" applyNumberFormat="1" applyFont="1" applyFill="1" applyBorder="1" applyAlignment="1">
      <alignment wrapText="1"/>
      <extLst>
        <ext xmlns:xfpb="http://schemas.microsoft.com/office/spreadsheetml/2022/featurepropertybag" uri="{C7286773-470A-42A8-94C5-96B5CB345126}">
          <xfpb:xfComplement i="0"/>
        </ext>
      </extLst>
    </xf>
    <xf numFmtId="49" fontId="2" fillId="0" borderId="8" xfId="0" applyNumberFormat="1" applyFont="1" applyBorder="1" applyAlignment="1">
      <alignment wrapText="1"/>
    </xf>
    <xf numFmtId="22" fontId="2" fillId="0" borderId="8" xfId="0" applyNumberFormat="1" applyFont="1" applyBorder="1"/>
    <xf numFmtId="0" fontId="14" fillId="0" borderId="2" xfId="0" applyFont="1" applyBorder="1" applyAlignment="1">
      <alignment vertical="center" wrapText="1"/>
    </xf>
    <xf numFmtId="49" fontId="8" fillId="0" borderId="8" xfId="6" applyNumberFormat="1" applyBorder="1" applyAlignment="1">
      <alignment wrapText="1"/>
    </xf>
    <xf numFmtId="49" fontId="36" fillId="11" borderId="8" xfId="0" applyNumberFormat="1" applyFont="1" applyFill="1" applyBorder="1" applyAlignment="1">
      <alignment wrapText="1"/>
    </xf>
    <xf numFmtId="49" fontId="24" fillId="11" borderId="8" xfId="0" applyNumberFormat="1" applyFont="1" applyFill="1" applyBorder="1" applyAlignment="1">
      <alignment wrapText="1"/>
    </xf>
    <xf numFmtId="49" fontId="27" fillId="11" borderId="8" xfId="0" applyNumberFormat="1" applyFont="1" applyFill="1" applyBorder="1" applyAlignment="1">
      <alignment wrapText="1"/>
    </xf>
    <xf numFmtId="49" fontId="2" fillId="0" borderId="3" xfId="0" applyNumberFormat="1" applyFont="1" applyBorder="1" applyAlignment="1">
      <alignment wrapText="1"/>
    </xf>
    <xf numFmtId="22" fontId="2" fillId="0" borderId="3" xfId="0" applyNumberFormat="1" applyFont="1" applyBorder="1"/>
    <xf numFmtId="49" fontId="2" fillId="0" borderId="3" xfId="0" quotePrefix="1" applyNumberFormat="1" applyFont="1" applyBorder="1" applyAlignment="1">
      <alignment wrapText="1"/>
    </xf>
    <xf numFmtId="49" fontId="8" fillId="0" borderId="3" xfId="6" applyNumberFormat="1" applyBorder="1" applyAlignment="1">
      <alignment wrapText="1"/>
    </xf>
    <xf numFmtId="0" fontId="37" fillId="0" borderId="0" xfId="0" applyFont="1"/>
    <xf numFmtId="49" fontId="6" fillId="0" borderId="0" xfId="0" applyNumberFormat="1" applyFont="1" applyAlignment="1">
      <alignment wrapText="1"/>
    </xf>
    <xf numFmtId="49" fontId="19" fillId="11" borderId="9" xfId="0" applyNumberFormat="1" applyFont="1" applyFill="1" applyBorder="1" applyAlignment="1">
      <alignment wrapText="1"/>
    </xf>
    <xf numFmtId="49" fontId="18" fillId="11" borderId="10" xfId="0" applyNumberFormat="1" applyFont="1" applyFill="1" applyBorder="1" applyAlignment="1">
      <alignment wrapText="1"/>
    </xf>
    <xf numFmtId="49" fontId="24" fillId="13" borderId="2" xfId="0" applyNumberFormat="1" applyFont="1" applyFill="1" applyBorder="1" applyAlignment="1">
      <alignment wrapText="1"/>
    </xf>
    <xf numFmtId="49" fontId="27" fillId="13" borderId="2" xfId="0" applyNumberFormat="1" applyFont="1" applyFill="1" applyBorder="1" applyAlignment="1">
      <alignment wrapText="1"/>
    </xf>
    <xf numFmtId="49" fontId="19" fillId="11" borderId="11" xfId="0" applyNumberFormat="1" applyFont="1" applyFill="1" applyBorder="1" applyAlignment="1">
      <alignment wrapText="1"/>
    </xf>
    <xf numFmtId="49" fontId="18" fillId="11" borderId="12" xfId="0" applyNumberFormat="1" applyFont="1" applyFill="1" applyBorder="1" applyAlignment="1">
      <alignment wrapText="1"/>
    </xf>
    <xf numFmtId="0" fontId="8" fillId="0" borderId="0" xfId="6" applyFill="1" applyBorder="1" applyAlignment="1">
      <alignment wrapText="1"/>
    </xf>
    <xf numFmtId="0" fontId="37" fillId="0" borderId="0" xfId="0" applyFont="1" applyAlignment="1">
      <alignment wrapText="1"/>
    </xf>
    <xf numFmtId="49" fontId="2" fillId="7" borderId="2" xfId="0" applyNumberFormat="1" applyFont="1" applyFill="1" applyBorder="1" applyAlignment="1">
      <alignment wrapText="1"/>
    </xf>
    <xf numFmtId="49" fontId="2" fillId="7" borderId="8" xfId="0" applyNumberFormat="1" applyFont="1" applyFill="1" applyBorder="1" applyAlignment="1">
      <alignment wrapText="1"/>
    </xf>
    <xf numFmtId="49" fontId="2" fillId="0" borderId="4" xfId="0" applyNumberFormat="1" applyFont="1" applyBorder="1" applyAlignment="1">
      <alignment wrapText="1"/>
    </xf>
    <xf numFmtId="49" fontId="2" fillId="11" borderId="4" xfId="0" applyNumberFormat="1" applyFont="1" applyFill="1" applyBorder="1" applyAlignment="1">
      <alignment wrapText="1"/>
    </xf>
    <xf numFmtId="49" fontId="2" fillId="14" borderId="4" xfId="0" applyNumberFormat="1" applyFont="1" applyFill="1" applyBorder="1" applyAlignment="1">
      <alignment wrapText="1"/>
    </xf>
    <xf numFmtId="49" fontId="2" fillId="11" borderId="4" xfId="0" applyNumberFormat="1" applyFont="1" applyFill="1" applyBorder="1" applyAlignment="1">
      <alignment vertical="top" wrapText="1"/>
    </xf>
    <xf numFmtId="49" fontId="18" fillId="11" borderId="4" xfId="0" applyNumberFormat="1" applyFont="1" applyFill="1" applyBorder="1" applyAlignment="1">
      <alignment wrapText="1"/>
    </xf>
    <xf numFmtId="49" fontId="25" fillId="11" borderId="4" xfId="0" applyNumberFormat="1" applyFont="1" applyFill="1" applyBorder="1" applyAlignment="1">
      <alignment wrapText="1"/>
      <extLst>
        <ext xmlns:xfpb="http://schemas.microsoft.com/office/spreadsheetml/2022/featurepropertybag" uri="{C7286773-470A-42A8-94C5-96B5CB345126}">
          <xfpb:xfComplement i="0"/>
        </ext>
      </extLst>
    </xf>
    <xf numFmtId="49" fontId="28" fillId="11" borderId="4" xfId="0" applyNumberFormat="1" applyFont="1" applyFill="1" applyBorder="1" applyAlignment="1">
      <alignment wrapText="1"/>
      <extLst>
        <ext xmlns:xfpb="http://schemas.microsoft.com/office/spreadsheetml/2022/featurepropertybag" uri="{C7286773-470A-42A8-94C5-96B5CB345126}">
          <xfpb:xfComplement i="0"/>
        </ext>
      </extLst>
    </xf>
    <xf numFmtId="22" fontId="2" fillId="0" borderId="4" xfId="0" applyNumberFormat="1" applyFont="1" applyBorder="1"/>
    <xf numFmtId="49" fontId="8" fillId="0" borderId="4" xfId="6" applyNumberFormat="1" applyBorder="1" applyAlignment="1">
      <alignment wrapText="1"/>
    </xf>
    <xf numFmtId="49" fontId="36" fillId="14" borderId="4" xfId="0" applyNumberFormat="1" applyFont="1" applyFill="1" applyBorder="1" applyAlignment="1">
      <alignment wrapText="1"/>
    </xf>
    <xf numFmtId="49" fontId="24" fillId="11" borderId="4" xfId="0" applyNumberFormat="1" applyFont="1" applyFill="1" applyBorder="1" applyAlignment="1">
      <alignment wrapText="1"/>
    </xf>
    <xf numFmtId="49" fontId="27" fillId="11" borderId="4" xfId="0" applyNumberFormat="1" applyFont="1" applyFill="1" applyBorder="1" applyAlignment="1">
      <alignment wrapText="1"/>
    </xf>
    <xf numFmtId="49" fontId="18" fillId="14" borderId="4" xfId="0" applyNumberFormat="1" applyFont="1" applyFill="1" applyBorder="1" applyAlignment="1">
      <alignment wrapText="1"/>
    </xf>
    <xf numFmtId="49" fontId="24" fillId="11" borderId="4" xfId="0" applyNumberFormat="1" applyFont="1" applyFill="1" applyBorder="1" applyAlignment="1">
      <alignment wrapText="1"/>
      <extLst>
        <ext xmlns:xfpb="http://schemas.microsoft.com/office/spreadsheetml/2022/featurepropertybag" uri="{C7286773-470A-42A8-94C5-96B5CB345126}">
          <xfpb:xfComplement i="0"/>
        </ext>
      </extLst>
    </xf>
    <xf numFmtId="49" fontId="27" fillId="11" borderId="4" xfId="0" applyNumberFormat="1" applyFont="1" applyFill="1" applyBorder="1" applyAlignment="1">
      <alignment wrapText="1"/>
      <extLst>
        <ext xmlns:xfpb="http://schemas.microsoft.com/office/spreadsheetml/2022/featurepropertybag" uri="{C7286773-470A-42A8-94C5-96B5CB345126}">
          <xfpb:xfComplement i="0"/>
        </ext>
      </extLst>
    </xf>
    <xf numFmtId="49" fontId="20" fillId="11" borderId="4" xfId="6" applyNumberFormat="1" applyFont="1" applyFill="1" applyBorder="1" applyAlignment="1">
      <alignment wrapText="1"/>
    </xf>
    <xf numFmtId="49" fontId="26" fillId="11" borderId="4" xfId="6" applyNumberFormat="1" applyFont="1" applyFill="1" applyBorder="1" applyAlignment="1">
      <alignment wrapText="1"/>
      <extLst>
        <ext xmlns:xfpb="http://schemas.microsoft.com/office/spreadsheetml/2022/featurepropertybag" uri="{C7286773-470A-42A8-94C5-96B5CB345126}">
          <xfpb:xfComplement i="0"/>
        </ext>
      </extLst>
    </xf>
    <xf numFmtId="0" fontId="0" fillId="0" borderId="4" xfId="0" applyBorder="1"/>
    <xf numFmtId="49" fontId="18" fillId="11" borderId="4" xfId="0" applyNumberFormat="1" applyFont="1" applyFill="1" applyBorder="1" applyAlignment="1">
      <alignment vertical="top" wrapText="1"/>
    </xf>
    <xf numFmtId="49" fontId="29" fillId="11" borderId="4" xfId="6" applyNumberFormat="1" applyFont="1" applyFill="1" applyBorder="1" applyAlignment="1">
      <alignment wrapText="1"/>
      <extLst>
        <ext xmlns:xfpb="http://schemas.microsoft.com/office/spreadsheetml/2022/featurepropertybag" uri="{C7286773-470A-42A8-94C5-96B5CB345126}">
          <xfpb:xfComplement i="0"/>
        </ext>
      </extLst>
    </xf>
    <xf numFmtId="49" fontId="2" fillId="0" borderId="4" xfId="0" quotePrefix="1" applyNumberFormat="1" applyFont="1" applyBorder="1" applyAlignment="1">
      <alignment wrapText="1"/>
    </xf>
    <xf numFmtId="49" fontId="35" fillId="11" borderId="4" xfId="0" applyNumberFormat="1" applyFont="1" applyFill="1" applyBorder="1" applyAlignment="1">
      <alignment wrapText="1"/>
    </xf>
    <xf numFmtId="0" fontId="0" fillId="11" borderId="4" xfId="0" applyFill="1" applyBorder="1" applyAlignment="1">
      <alignment wrapText="1"/>
    </xf>
    <xf numFmtId="49" fontId="2" fillId="0" borderId="4" xfId="0" applyNumberFormat="1" applyFont="1" applyBorder="1" applyAlignment="1">
      <alignment vertical="top" wrapText="1"/>
    </xf>
    <xf numFmtId="49" fontId="18" fillId="12" borderId="4" xfId="0" applyNumberFormat="1" applyFont="1" applyFill="1" applyBorder="1" applyAlignment="1">
      <alignment vertical="top" wrapText="1"/>
    </xf>
    <xf numFmtId="49" fontId="8" fillId="0" borderId="4" xfId="6" applyNumberFormat="1" applyFill="1" applyBorder="1" applyAlignment="1">
      <alignment wrapText="1"/>
    </xf>
    <xf numFmtId="49" fontId="6" fillId="0" borderId="4" xfId="0" applyNumberFormat="1" applyFont="1" applyBorder="1" applyAlignment="1">
      <alignment wrapText="1"/>
    </xf>
    <xf numFmtId="0" fontId="8" fillId="0" borderId="4" xfId="6" applyFill="1" applyBorder="1" applyAlignment="1">
      <alignment wrapText="1"/>
    </xf>
    <xf numFmtId="0" fontId="37" fillId="0" borderId="4" xfId="0" applyFont="1" applyBorder="1" applyAlignment="1">
      <alignment wrapText="1"/>
    </xf>
    <xf numFmtId="49" fontId="24" fillId="13" borderId="4" xfId="0" applyNumberFormat="1" applyFont="1" applyFill="1" applyBorder="1" applyAlignment="1">
      <alignment wrapText="1"/>
    </xf>
    <xf numFmtId="49" fontId="27" fillId="13" borderId="4" xfId="0" applyNumberFormat="1" applyFont="1" applyFill="1" applyBorder="1" applyAlignment="1">
      <alignment wrapText="1"/>
    </xf>
    <xf numFmtId="0" fontId="22" fillId="0" borderId="4" xfId="0" applyFont="1" applyBorder="1"/>
    <xf numFmtId="0" fontId="14" fillId="0" borderId="13" xfId="0" applyFont="1" applyBorder="1" applyAlignment="1">
      <alignment vertical="center" wrapText="1"/>
    </xf>
    <xf numFmtId="0" fontId="17" fillId="11" borderId="13" xfId="0" applyFont="1" applyFill="1" applyBorder="1" applyAlignment="1">
      <alignment vertical="center" wrapText="1"/>
    </xf>
    <xf numFmtId="0" fontId="17" fillId="14" borderId="13" xfId="0" applyFont="1" applyFill="1" applyBorder="1" applyAlignment="1">
      <alignment vertical="center" wrapText="1"/>
    </xf>
    <xf numFmtId="49" fontId="2" fillId="0" borderId="6" xfId="0" applyNumberFormat="1" applyFont="1" applyBorder="1" applyAlignment="1">
      <alignment wrapText="1"/>
    </xf>
    <xf numFmtId="49" fontId="18" fillId="11" borderId="6" xfId="0" applyNumberFormat="1" applyFont="1" applyFill="1" applyBorder="1" applyAlignment="1">
      <alignment wrapText="1"/>
    </xf>
    <xf numFmtId="49" fontId="18" fillId="14" borderId="6" xfId="0" applyNumberFormat="1" applyFont="1" applyFill="1" applyBorder="1" applyAlignment="1">
      <alignment wrapText="1"/>
    </xf>
    <xf numFmtId="0" fontId="14" fillId="0" borderId="14" xfId="0" applyFont="1" applyBorder="1" applyAlignment="1">
      <alignment vertical="center" wrapText="1"/>
    </xf>
    <xf numFmtId="49" fontId="2" fillId="7" borderId="15" xfId="0" applyNumberFormat="1" applyFont="1" applyFill="1" applyBorder="1" applyAlignment="1">
      <alignment wrapText="1"/>
    </xf>
    <xf numFmtId="49" fontId="2" fillId="0" borderId="15" xfId="0" applyNumberFormat="1" applyFont="1" applyBorder="1" applyAlignment="1">
      <alignment wrapText="1"/>
    </xf>
    <xf numFmtId="0" fontId="37" fillId="0" borderId="15" xfId="0" applyFont="1" applyBorder="1"/>
    <xf numFmtId="0" fontId="14" fillId="0" borderId="17" xfId="0" applyFont="1" applyBorder="1" applyAlignment="1">
      <alignment vertical="center" wrapText="1"/>
    </xf>
    <xf numFmtId="49" fontId="2" fillId="0" borderId="5" xfId="0" applyNumberFormat="1" applyFont="1" applyBorder="1" applyAlignment="1">
      <alignment wrapText="1"/>
    </xf>
    <xf numFmtId="0" fontId="0" fillId="0" borderId="5" xfId="0" applyBorder="1"/>
    <xf numFmtId="49" fontId="16" fillId="14" borderId="4" xfId="0" applyNumberFormat="1" applyFont="1" applyFill="1" applyBorder="1" applyAlignment="1">
      <alignment wrapText="1"/>
    </xf>
    <xf numFmtId="49" fontId="19" fillId="14" borderId="4" xfId="0" applyNumberFormat="1" applyFont="1" applyFill="1" applyBorder="1" applyAlignment="1">
      <alignment wrapText="1"/>
    </xf>
    <xf numFmtId="49" fontId="19" fillId="14" borderId="6" xfId="0" applyNumberFormat="1" applyFont="1" applyFill="1" applyBorder="1" applyAlignment="1">
      <alignment wrapText="1"/>
    </xf>
    <xf numFmtId="49" fontId="38" fillId="14" borderId="4" xfId="0" applyNumberFormat="1" applyFont="1" applyFill="1" applyBorder="1" applyAlignment="1">
      <alignment wrapText="1"/>
    </xf>
    <xf numFmtId="0" fontId="37" fillId="0" borderId="2" xfId="0" applyFont="1" applyBorder="1"/>
    <xf numFmtId="49" fontId="8" fillId="0" borderId="2" xfId="6" applyNumberFormat="1" applyFill="1" applyBorder="1" applyAlignment="1">
      <alignment wrapText="1"/>
    </xf>
    <xf numFmtId="0" fontId="8" fillId="0" borderId="2" xfId="6" applyFill="1" applyBorder="1" applyAlignment="1">
      <alignment wrapText="1"/>
    </xf>
    <xf numFmtId="0" fontId="37" fillId="0" borderId="2" xfId="0" applyFont="1" applyBorder="1" applyAlignment="1">
      <alignment wrapText="1"/>
    </xf>
    <xf numFmtId="49" fontId="2" fillId="0" borderId="2" xfId="0" applyNumberFormat="1" applyFont="1" applyBorder="1" applyAlignment="1">
      <alignment vertical="top" wrapText="1"/>
    </xf>
    <xf numFmtId="0" fontId="0" fillId="11" borderId="8" xfId="0" applyFill="1" applyBorder="1" applyAlignment="1">
      <alignment wrapText="1"/>
    </xf>
    <xf numFmtId="49" fontId="18" fillId="11" borderId="7" xfId="0" applyNumberFormat="1" applyFont="1" applyFill="1" applyBorder="1" applyAlignment="1">
      <alignment vertical="top" wrapText="1"/>
    </xf>
    <xf numFmtId="49" fontId="18" fillId="11" borderId="0" xfId="0" applyNumberFormat="1" applyFont="1" applyFill="1" applyAlignment="1">
      <alignment wrapText="1"/>
    </xf>
    <xf numFmtId="49" fontId="18" fillId="11" borderId="3" xfId="0" applyNumberFormat="1" applyFont="1" applyFill="1" applyBorder="1" applyAlignment="1">
      <alignment vertical="top" wrapText="1"/>
    </xf>
    <xf numFmtId="49" fontId="18" fillId="12" borderId="3" xfId="0" applyNumberFormat="1" applyFont="1" applyFill="1" applyBorder="1" applyAlignment="1">
      <alignment vertical="top" wrapText="1"/>
    </xf>
    <xf numFmtId="49" fontId="24" fillId="11" borderId="7" xfId="0" applyNumberFormat="1" applyFont="1" applyFill="1" applyBorder="1" applyAlignment="1">
      <alignment wrapText="1"/>
    </xf>
    <xf numFmtId="49" fontId="24" fillId="13" borderId="8" xfId="0" applyNumberFormat="1" applyFont="1" applyFill="1" applyBorder="1" applyAlignment="1">
      <alignment wrapText="1"/>
    </xf>
    <xf numFmtId="49" fontId="27" fillId="13" borderId="8" xfId="0" applyNumberFormat="1" applyFont="1" applyFill="1" applyBorder="1" applyAlignment="1">
      <alignment wrapText="1"/>
    </xf>
    <xf numFmtId="0" fontId="22" fillId="0" borderId="2" xfId="0" applyFont="1" applyBorder="1"/>
    <xf numFmtId="49" fontId="2" fillId="6" borderId="15" xfId="0" applyNumberFormat="1" applyFont="1" applyFill="1" applyBorder="1" applyAlignment="1">
      <alignment wrapText="1"/>
    </xf>
    <xf numFmtId="0" fontId="0" fillId="0" borderId="18" xfId="0" applyBorder="1"/>
    <xf numFmtId="0" fontId="38" fillId="0" borderId="4" xfId="0" applyFont="1" applyBorder="1"/>
    <xf numFmtId="49" fontId="18" fillId="14" borderId="0" xfId="0" applyNumberFormat="1" applyFont="1" applyFill="1" applyAlignment="1">
      <alignment wrapText="1"/>
    </xf>
    <xf numFmtId="0" fontId="37" fillId="0" borderId="16" xfId="0" applyFont="1" applyBorder="1"/>
    <xf numFmtId="0" fontId="0" fillId="0" borderId="6" xfId="0" applyBorder="1"/>
    <xf numFmtId="0" fontId="8" fillId="0" borderId="6" xfId="6" applyFill="1" applyBorder="1" applyAlignment="1">
      <alignment wrapText="1"/>
    </xf>
    <xf numFmtId="0" fontId="37" fillId="0" borderId="6" xfId="0" applyFont="1" applyBorder="1" applyAlignment="1">
      <alignment wrapText="1"/>
    </xf>
    <xf numFmtId="49" fontId="6" fillId="0" borderId="6" xfId="0" applyNumberFormat="1" applyFont="1" applyBorder="1" applyAlignment="1">
      <alignment wrapText="1"/>
    </xf>
    <xf numFmtId="49" fontId="24" fillId="13" borderId="6" xfId="0" applyNumberFormat="1" applyFont="1" applyFill="1" applyBorder="1" applyAlignment="1">
      <alignment wrapText="1"/>
    </xf>
    <xf numFmtId="49" fontId="27" fillId="13" borderId="6" xfId="0" applyNumberFormat="1" applyFont="1" applyFill="1" applyBorder="1" applyAlignment="1">
      <alignment wrapText="1"/>
    </xf>
    <xf numFmtId="0" fontId="22" fillId="0" borderId="6" xfId="0" applyFont="1" applyBorder="1"/>
    <xf numFmtId="49" fontId="28" fillId="11" borderId="6" xfId="0" applyNumberFormat="1" applyFont="1" applyFill="1" applyBorder="1" applyAlignment="1">
      <alignment wrapText="1"/>
      <extLst>
        <ext xmlns:xfpb="http://schemas.microsoft.com/office/spreadsheetml/2022/featurepropertybag" uri="{C7286773-470A-42A8-94C5-96B5CB345126}">
          <xfpb:xfComplement i="0"/>
        </ext>
      </extLst>
    </xf>
    <xf numFmtId="0" fontId="0" fillId="0" borderId="16" xfId="0" applyBorder="1"/>
    <xf numFmtId="49" fontId="27" fillId="11" borderId="6" xfId="0" applyNumberFormat="1" applyFont="1" applyFill="1" applyBorder="1" applyAlignment="1">
      <alignment wrapText="1"/>
      <extLst>
        <ext xmlns:xfpb="http://schemas.microsoft.com/office/spreadsheetml/2022/featurepropertybag" uri="{C7286773-470A-42A8-94C5-96B5CB345126}">
          <xfpb:xfComplement i="0"/>
        </ext>
      </extLst>
    </xf>
    <xf numFmtId="0" fontId="7" fillId="0" borderId="6" xfId="0" applyFont="1" applyBorder="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builtinId="8"/>
    <cellStyle name="Normal" xfId="0" builtinId="0"/>
    <cellStyle name="Percent" xfId="1" xr:uid="{00000000-0005-0000-0000-000001000000}"/>
  </cellStyles>
  <dxfs count="82">
    <dxf>
      <font>
        <color rgb="FF006100"/>
      </font>
      <fill>
        <patternFill>
          <bgColor rgb="FFC6EFCE"/>
        </patternFill>
      </fill>
    </dxf>
    <dxf>
      <numFmt numFmtId="0" formatCode="General"/>
    </dxf>
    <dxf>
      <numFmt numFmtId="0" formatCode="General"/>
    </dxf>
    <dxf>
      <border>
        <bottom style="thin">
          <color indexed="64"/>
        </bottom>
      </border>
    </dxf>
    <dxf>
      <fill>
        <patternFill patternType="solid">
          <fgColor indexed="64"/>
          <bgColor theme="0" tint="-0.14999847407452621"/>
        </patternFill>
      </fill>
      <alignment wrapText="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26"/>
        <color auto="1"/>
        <name val="Calibri"/>
        <family val="2"/>
        <scheme val="none"/>
      </font>
      <numFmt numFmtId="30" formatCode="@"/>
      <fill>
        <patternFill patternType="solid">
          <fgColor theme="6" tint="0.79998168889431442"/>
          <bgColor indexed="64"/>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4"/>
        <color auto="1"/>
        <name val="Calibri"/>
        <family val="2"/>
        <scheme val="none"/>
      </font>
      <numFmt numFmtId="30" formatCode="@"/>
      <fill>
        <patternFill patternType="solid">
          <fgColor theme="6" tint="0.79998168889431442"/>
          <bgColor indexed="64"/>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FF0000"/>
        <name val="Calibri"/>
        <family val="2"/>
        <scheme val="none"/>
      </font>
      <numFmt numFmtId="30" formatCode="@"/>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bottom style="thin">
          <color indexed="64"/>
        </bottom>
      </border>
    </dxf>
    <dxf>
      <font>
        <strike val="0"/>
        <outline val="0"/>
        <shadow val="0"/>
        <u val="none"/>
        <vertAlign val="baseline"/>
        <sz val="16"/>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border>
        <left style="thin">
          <color rgb="FF000000"/>
        </left>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26"/>
        <color theme="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26"/>
        <color theme="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26"/>
        <color theme="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26"/>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26"/>
        <color auto="1"/>
        <name val="Calibri"/>
        <family val="2"/>
        <scheme val="none"/>
      </font>
      <numFmt numFmtId="30" formatCode="@"/>
      <fill>
        <patternFill patternType="solid">
          <fgColor theme="6" tint="0.79998168889431442"/>
          <bgColor indexed="64"/>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24"/>
        <color auto="1"/>
        <name val="Calibri"/>
        <family val="2"/>
        <scheme val="none"/>
      </font>
      <numFmt numFmtId="30" formatCode="@"/>
      <fill>
        <patternFill patternType="solid">
          <fgColor theme="6" tint="0.79998168889431442"/>
          <bgColor indexed="64"/>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rgb="FFFF0000"/>
        <name val="Calibri"/>
        <family val="2"/>
        <scheme val="none"/>
      </font>
      <numFmt numFmtId="30" formatCode="@"/>
      <fill>
        <patternFill patternType="none">
          <fgColor indexed="64"/>
          <bgColor auto="1"/>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20"/>
        <color auto="1"/>
        <name val="Calibri"/>
        <family val="2"/>
        <scheme val="none"/>
      </font>
      <numFmt numFmtId="30" formatCode="@"/>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4" tint="0.79998168889431442"/>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4" tint="0.79998168889431442"/>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4" tint="0.79998168889431442"/>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none"/>
      </font>
      <numFmt numFmtId="30" formatCode="@"/>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Calibri"/>
        <family val="2"/>
        <scheme val="none"/>
      </font>
      <numFmt numFmtId="30" formatCode="@"/>
      <fill>
        <patternFill patternType="none">
          <fgColor indexed="64"/>
          <bgColor indexed="65"/>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fill>
        <patternFill patternType="none">
          <fgColor indexed="64"/>
          <bgColor auto="1"/>
        </patternFill>
      </fill>
    </dxf>
    <dxf>
      <border>
        <bottom style="thin">
          <color rgb="FF000000"/>
        </bottom>
      </border>
    </dxf>
    <dxf>
      <font>
        <strike val="0"/>
        <outline val="0"/>
        <shadow val="0"/>
        <u val="none"/>
        <vertAlign val="baseline"/>
        <sz val="16"/>
      </font>
      <fill>
        <patternFill patternType="none">
          <fgColor indexed="64"/>
          <bgColor auto="1"/>
        </patternFill>
      </fill>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veryone High Priority" id="{20558880-8D25-447F-83F8-5EADA7D7E646}"/>
  <namedSheetView name="Mike only" id="{48E524B4-C4F4-466E-B1A8-9A46AF206E0D}"/>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veryone High Priority" id="{5B2C7E03-23AC-BE4E-9F4A-0B472D6CBA2F}">
    <nsvFilter filterId="{1DA676E1-AFC7-D14E-9A9D-4E4F66E7EF17}" ref="A1:AE143" tableId="3">
      <sortRules>
        <sortRule colId="10" id="{9CAF1F64-3805-8D49-B23A-966DDD59EB92}">
          <sortCondition descending="1" ref="K1:K143"/>
        </sortRule>
      </sortRules>
    </nsvFilter>
  </namedSheetView>
  <namedSheetView name="Mike only" id="{BC77E7C7-AA77-AE4B-A1D4-08E535ED5F4F}">
    <nsvFilter filterId="{1DA676E1-AFC7-D14E-9A9D-4E4F66E7EF17}" ref="A1:AE143" tableId="3">
      <sortRules>
        <sortRule colId="10" id="{9CAF1F64-3805-8D49-B23A-966DDD59EB92}">
          <sortCondition descending="1" ref="K1:K143"/>
        </sortRule>
      </sortRules>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5D3046-707F-41B8-A1AC-85866597A0A0}" name="Table145" displayName="Table145" ref="A1:AL140" totalsRowShown="0" headerRowDxfId="81" dataDxfId="79" headerRowBorderDxfId="80" tableBorderDxfId="78" totalsRowBorderDxfId="77">
  <autoFilter ref="A1:AL140" xr:uid="{BE5D3046-707F-41B8-A1AC-85866597A0A0}"/>
  <tableColumns count="38">
    <tableColumn id="2" xr3:uid="{460D51BF-60D1-4522-B761-D53C2F74F8B8}" name="First Name" dataDxfId="76"/>
    <tableColumn id="3" xr3:uid="{CCCE6AC8-B447-4184-8BBB-B2375562B9A0}" name="Last Name" dataDxfId="75"/>
    <tableColumn id="5" xr3:uid="{778EBF7C-EC8C-4A11-B68C-4CFA68B96B8D}" name="Email Address" dataDxfId="74"/>
    <tableColumn id="6" xr3:uid="{2CCDAE3A-3294-4A74-92B9-AFDDCFE87627}" name="Company Name" dataDxfId="73"/>
    <tableColumn id="7" xr3:uid="{5D4C53FB-590A-4A5F-B37A-D1C347FE4563}" name="Title" dataDxfId="72"/>
    <tableColumn id="8" xr3:uid="{2B81BA54-EBDD-458E-8E4D-FD1AE779D005}" name="Mobile Phone Number" dataDxfId="71"/>
    <tableColumn id="27" xr3:uid="{8AF6C7DB-9E7A-4517-843C-BB588D4E0FA8}" name="Device used to scan badge" dataDxfId="70"/>
    <tableColumn id="4" xr3:uid="{63465CCE-858F-4D3E-A473-112BD3B5C303}" name="Contact Owner " dataDxfId="69"/>
    <tableColumn id="11" xr3:uid="{DC95DD4D-36FB-4F0D-AA49-D2D956809149}" name="Email Sent (Y/N) Date?" dataDxfId="68"/>
    <tableColumn id="10" xr3:uid="{890A7C56-F737-49A7-BCC8-BED2D6254C3B}" name="LinkedIn Sent/Connected (Y/N) Date?" dataDxfId="67"/>
    <tableColumn id="12" xr3:uid="{B6BB87CE-4B75-4794-9C4A-B7B2A26AF2A0}" name="Called (Y/N) Date?" dataDxfId="66"/>
    <tableColumn id="50" xr3:uid="{00DB329A-86C3-452A-8426-54FED08FD6F9}" name="Lead Score" dataDxfId="65"/>
    <tableColumn id="53" xr3:uid="{A595F2E0-8A76-4959-A0E4-A834EA726A83}" name="Role of this person" dataDxfId="64"/>
    <tableColumn id="55" xr3:uid="{872A4B2F-B6E9-432E-96A3-F7AE70D5CF14}" name="DURING-Summit notes" dataDxfId="63"/>
    <tableColumn id="56" xr3:uid="{D7B908C8-FA9C-4C8A-A051-8D3B69BAB0A4}" name="DURING-summit follow-up notes" dataDxfId="62"/>
    <tableColumn id="13" xr3:uid="{67319EAE-3B0F-449B-AC84-ABD76EE79EA6}" name="POST-Summit Follow-up Notes" dataDxfId="61"/>
    <tableColumn id="15" xr3:uid="{57F4D50D-3F88-4230-9786-3BE469802C51}" name="POST-Summit Follow-up Jira tickets" dataDxfId="60"/>
    <tableColumn id="19" xr3:uid="{1141C759-E835-44FC-AF48-92D9DD3593FE}" name="POST-Summit lead qual &amp; follow-up planning done" dataDxfId="59"/>
    <tableColumn id="17" xr3:uid="{7CB37C36-C4B5-4BF9-B576-D6DD62FB58CC}" name="POST-Summit follow-ups done (week of Oct 21-25)" dataDxfId="58"/>
    <tableColumn id="1" xr3:uid="{A14229FB-79A7-E540-BECC-6702ACFB9671}" name="ZoomInfo follow-up Jan 2025" dataDxfId="57"/>
    <tableColumn id="20" xr3:uid="{4861BA7A-B868-604E-8B38-279BC7700A61}" name="Call target, Jan 2025" dataDxfId="56"/>
    <tableColumn id="16" xr3:uid="{F121ECE2-DB2E-5946-87AD-3820E9A8D100}" name="Called Jan 2025" dataDxfId="55"/>
    <tableColumn id="21" xr3:uid="{2A0BA064-7F6C-6C46-9296-31A2F7BEB43D}" name="Sent LinkedIN Invite 2025Apr" dataDxfId="54"/>
    <tableColumn id="9" xr3:uid="{A028ADD5-48D3-42BB-9218-0515943FDAD1}" name="Created date/time US/Eastern" dataDxfId="53"/>
    <tableColumn id="14" xr3:uid="{295DF1FC-0D72-4A83-8599-0610A9749910}" name="Qualified" dataDxfId="52"/>
    <tableColumn id="51" xr3:uid="{21F816D8-938B-4B74-B4D4-A00C1C13C0CD}" name="Is the person currently evaluating solutions related to [specific problem/industry]?" dataDxfId="51"/>
    <tableColumn id="52" xr3:uid="{CEFE346A-0397-4E83-8AEE-275F5C9A0218}" name="What is the timeframe for choosing a solution?" dataDxfId="50"/>
    <tableColumn id="54" xr3:uid="{B312AE6B-AD5C-4B93-BF05-5222B1317C21}" name="Is there a budget for this business need?" dataDxfId="49"/>
    <tableColumn id="18" xr3:uid="{1D45DBE7-BF3A-4DD2-88C7-01C0620A49FD}" name="Work Phone Number" dataDxfId="48"/>
    <tableColumn id="23" xr3:uid="{896F8FA2-E63C-4CDF-8FDF-A972FA85C2E3}" name="Work City" dataDxfId="47"/>
    <tableColumn id="24" xr3:uid="{13A68AF9-38A4-4551-A937-9F3626814045}" name="Work State" dataDxfId="46"/>
    <tableColumn id="28" xr3:uid="{99C7A343-0075-491E-A095-84EED0EF6AE0}" name="Lead Transcription Status " dataDxfId="45"/>
    <tableColumn id="30" xr3:uid="{D86624CE-1CDF-43AB-807D-43E93081C5CD}" name="Lead Source" dataDxfId="44"/>
    <tableColumn id="32" xr3:uid="{6C0802A4-6D91-4FAE-9B59-79D78B80776A}" name="Last Update US/Eastern" dataDxfId="43"/>
    <tableColumn id="48" xr3:uid="{745AD378-66ED-4811-92BE-1FA8E8959551}" name="What State do you reside in:" dataDxfId="42"/>
    <tableColumn id="49" xr3:uid="{7533D2DF-7952-4A16-B7E9-F11113B3A515}" name="Country you reside in:" dataDxfId="41"/>
    <tableColumn id="57" xr3:uid="{DA8B36E8-FC91-40BB-ADFE-8F38A0B5CBE0}" name="Sponsorship Level" dataDxfId="40"/>
    <tableColumn id="58" xr3:uid="{1D98EC9C-4251-4DE3-89F2-71D13F517A69}" name="Event Sponsor"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A676E1-AFC7-D14E-9A9D-4E4F66E7EF17}" name="Table14" displayName="Table14" ref="A1:AE143" totalsRowShown="0" headerRowDxfId="38" dataDxfId="36" headerRowBorderDxfId="37">
  <autoFilter ref="A1:AE143" xr:uid="{1DA676E1-AFC7-D14E-9A9D-4E4F66E7EF17}"/>
  <sortState xmlns:xlrd2="http://schemas.microsoft.com/office/spreadsheetml/2017/richdata2" ref="A2:AE143">
    <sortCondition descending="1" ref="K1:K143"/>
  </sortState>
  <tableColumns count="31">
    <tableColumn id="2" xr3:uid="{F01F63F5-B674-704A-B495-552A2FD896A0}" name="First Name" dataDxfId="35"/>
    <tableColumn id="3" xr3:uid="{9C2719B8-D12C-6C44-894D-5779D7F5C3D8}" name="Last Name" dataDxfId="34"/>
    <tableColumn id="5" xr3:uid="{514F1286-3D0C-AC41-9C3D-1E76532C4975}" name="Email Address" dataDxfId="33"/>
    <tableColumn id="6" xr3:uid="{1C2B167A-32C7-7647-8B0B-84AAB884E0E4}" name="Company Name" dataDxfId="32"/>
    <tableColumn id="7" xr3:uid="{DE508315-BFBA-3249-BD92-CBB2B2EC3472}" name="Title" dataDxfId="31"/>
    <tableColumn id="8" xr3:uid="{86879CC8-7DBE-AC4C-AD0B-3F87C29C7212}" name="Mobile Phone Number" dataDxfId="30"/>
    <tableColumn id="27" xr3:uid="{2C81A2FF-02CD-A14E-A60F-5DF04CBB3630}" name="Device used to scan badge" dataDxfId="29"/>
    <tableColumn id="4" xr3:uid="{32177B77-EEE7-AF4F-9BA5-CD247D3959D1}" name="Contact Owner " dataDxfId="28"/>
    <tableColumn id="53" xr3:uid="{D0395AE9-BF74-A946-8324-2584384B359A}" name="Role of this person" dataDxfId="27"/>
    <tableColumn id="55" xr3:uid="{3E2707E2-D947-D14F-AA86-B811B32DF48E}" name="DURING-Summit notes" dataDxfId="26"/>
    <tableColumn id="50" xr3:uid="{9CAF1F64-3805-8D49-B23A-966DDD59EB92}" name="Lead Score" dataDxfId="25"/>
    <tableColumn id="56" xr3:uid="{2F22A37C-3A41-CE4C-81D5-5AF4EA2B7A5D}" name="DURING-summit follow-up notes" dataDxfId="24"/>
    <tableColumn id="13" xr3:uid="{572965B6-2809-B44F-AF4F-4509D0A12D44}" name="POST-Summit Follow-up Notes" dataDxfId="23"/>
    <tableColumn id="15" xr3:uid="{BCDF2B07-899F-E748-B6DC-22FC69E34CC5}" name="POST-Summit Follow-up Jira tickets" dataDxfId="22"/>
    <tableColumn id="19" xr3:uid="{65C35321-3C6C-A243-9BB6-5BA194B12A25}" name="POST-Summit lead qual &amp; follow-up planning done" dataDxfId="21"/>
    <tableColumn id="17" xr3:uid="{62CC0231-28B6-0F4F-8591-58CFB08E4CF0}" name="POST-Summit follow-ups done (week of Oct 21-25)" dataDxfId="20"/>
    <tableColumn id="9" xr3:uid="{06968504-7642-6F43-AC71-1997639CD5A3}" name="Created date/time US/Eastern" dataDxfId="19"/>
    <tableColumn id="14" xr3:uid="{778E61F1-2A5D-1D43-8288-BD3D4CC1B45F}" name="Qualified" dataDxfId="18"/>
    <tableColumn id="51" xr3:uid="{2BA69930-D78A-924E-B42F-97CD5A6C7221}" name="Is the person currently evaluating solutions related to [specific problem/industry]?" dataDxfId="17"/>
    <tableColumn id="52" xr3:uid="{77E2C277-1A9E-AF4E-AA19-19E3C4068800}" name="What is the timeframe for choosing a solution?" dataDxfId="16"/>
    <tableColumn id="54" xr3:uid="{7533559C-F3DD-A94D-91CE-F9740630F607}" name="Is there a budget for this business need?" dataDxfId="15"/>
    <tableColumn id="18" xr3:uid="{96ACCE66-25A3-0E4C-852A-CEAEE375AFB8}" name="Work Phone Number" dataDxfId="14"/>
    <tableColumn id="23" xr3:uid="{F437788A-6AA3-6648-9891-EB18EFA246EF}" name="Work City" dataDxfId="13"/>
    <tableColumn id="24" xr3:uid="{CFD6EB2A-9E37-F442-8D42-C9FA1B17C055}" name="Work State" dataDxfId="12"/>
    <tableColumn id="28" xr3:uid="{151C9AB2-2CC9-C04C-87AB-F007B0DBF543}" name="Lead Transcription Status " dataDxfId="11"/>
    <tableColumn id="30" xr3:uid="{789A8A09-5B65-8145-9EB3-EFB92B8BB370}" name="Lead Source" dataDxfId="10"/>
    <tableColumn id="32" xr3:uid="{16BA9835-707D-1148-B056-D388F04C36C1}" name="Last Update US/Eastern" dataDxfId="9"/>
    <tableColumn id="48" xr3:uid="{8F022E1D-D67B-A24D-B3C8-0852E3E36940}" name="What State do you reside in:" dataDxfId="8"/>
    <tableColumn id="49" xr3:uid="{82494990-E5AD-5F43-84F8-8EF77B6D4E8B}" name="Country you reside in:" dataDxfId="7"/>
    <tableColumn id="57" xr3:uid="{D9439234-1224-444B-A2D0-9B3266637CBB}" name="Sponsorship Level" dataDxfId="6"/>
    <tableColumn id="58" xr3:uid="{0106A798-29E9-A949-BAE5-9BA830356D25}" name="Event Sponsor"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D2D4E8-7B2B-EE43-85A4-50C3FBBCC086}" name="Table13" displayName="Table13" ref="A1:L503" totalsRowShown="0" headerRowDxfId="4" headerRowBorderDxfId="3">
  <autoFilter ref="A1:L503" xr:uid="{67D2D4E8-7B2B-EE43-85A4-50C3FBBCC086}">
    <filterColumn colId="9">
      <filters>
        <filter val="Connected / Sent"/>
        <filter val="N/A"/>
        <filter val="Sent"/>
        <filter val="Sent message on app"/>
      </filters>
    </filterColumn>
  </autoFilter>
  <tableColumns count="12">
    <tableColumn id="1" xr3:uid="{1921A34A-2E30-1741-B659-B81718354825}" name="Company Name"/>
    <tableColumn id="2" xr3:uid="{8C0E190C-52EB-7345-B20E-552420DB9406}" name="Title"/>
    <tableColumn id="12" xr3:uid="{CBED9EFD-C20D-FB44-AD33-EFF9CDEA9669}" name="Name"/>
    <tableColumn id="4" xr3:uid="{D9B151A1-9141-CF48-9255-BAEB1EEAF536}" name="Scaled Agile Partner"/>
    <tableColumn id="7" xr3:uid="{5B0A93CE-861B-3447-9E7E-40DAE882C40E}" name="Summit Sponsor?"/>
    <tableColumn id="5" xr3:uid="{9609FD30-2689-7B4E-8DCE-07D91FCB139E}" name="Met Before?"/>
    <tableColumn id="6" xr3:uid="{55E55FD3-3B22-2046-B79A-C08A172B019F}" name="In Hubspot" dataDxfId="2">
      <calculatedColumnFormula>VLOOKUP(Table13[[#This Row],[Company Name]],Sheet1!B:B,1,FALSE)</calculatedColumnFormula>
    </tableColumn>
    <tableColumn id="8" xr3:uid="{01E57864-4E6D-F849-B2D7-49DAE0DD36BD}" name="LSA Assigned POC"/>
    <tableColumn id="9" xr3:uid="{28CB5143-FEBC-E446-8B81-E6C00F5F624D}" name="Status on OutReach - Kurt email"/>
    <tableColumn id="3" xr3:uid="{360C972F-5B75-804D-9DBC-0BD50D1A37EE}" name="Status on OutReach -  app"/>
    <tableColumn id="10" xr3:uid="{DE7E2D56-7689-1749-B8B0-29EA05BF743C}" name="Intro text"/>
    <tableColumn id="11" xr3:uid="{4CA1D8E3-DAC5-1642-A922-6D24E54A75E2}"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137" totalsRowShown="0">
  <autoFilter ref="A1:F1137" xr:uid="{00000000-0009-0000-0100-000001000000}"/>
  <sortState xmlns:xlrd2="http://schemas.microsoft.com/office/spreadsheetml/2017/richdata2" ref="A2:C1137">
    <sortCondition ref="A1:A1137"/>
  </sortState>
  <tableColumns count="6">
    <tableColumn id="1" xr3:uid="{00000000-0010-0000-0000-000001000000}" name="Company Name"/>
    <tableColumn id="2" xr3:uid="{00000000-0010-0000-0000-000002000000}" name="Title"/>
    <tableColumn id="3" xr3:uid="{00000000-0010-0000-0000-000003000000}" name="Last Registration Date (GMT-07:00) Mountain [US &amp; Canada]"/>
    <tableColumn id="4" xr3:uid="{7EC832F8-8CDE-1A46-ACF0-15BF22D203E0}" name="Scaled Agile Partner"/>
    <tableColumn id="5" xr3:uid="{A685BA96-B1F2-7147-B9F4-3431249B3CB0}" name="Met Before?"/>
    <tableColumn id="6" xr3:uid="{F7650D57-E0CE-554C-8CF0-223FBC3A44AD}" name="In Hubspot" dataDxfId="1">
      <calculatedColumnFormula>VLOOKUP(Table1[[#This Row],[Company Name]],Sheet1!B:B,1,FALSE)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hasnain.rizvi@americannational.com" TargetMode="External"/><Relationship Id="rId21" Type="http://schemas.openxmlformats.org/officeDocument/2006/relationships/hyperlink" Target="mailto:tworley@twilio.com" TargetMode="External"/><Relationship Id="rId34" Type="http://schemas.openxmlformats.org/officeDocument/2006/relationships/hyperlink" Target="mailto:raymond.gandioneo@gmail.com" TargetMode="External"/><Relationship Id="rId42" Type="http://schemas.openxmlformats.org/officeDocument/2006/relationships/hyperlink" Target="mailto:christinahandley@gmail.com" TargetMode="External"/><Relationship Id="rId47" Type="http://schemas.openxmlformats.org/officeDocument/2006/relationships/hyperlink" Target="mailto:pusingh@americorps.gov" TargetMode="External"/><Relationship Id="rId50" Type="http://schemas.openxmlformats.org/officeDocument/2006/relationships/hyperlink" Target="mailto:jennifer.castro@broadcom.com" TargetMode="External"/><Relationship Id="rId55" Type="http://schemas.openxmlformats.org/officeDocument/2006/relationships/hyperlink" Target="mailto:michael.gerke@l3harris.com" TargetMode="External"/><Relationship Id="rId63" Type="http://schemas.openxmlformats.org/officeDocument/2006/relationships/hyperlink" Target="mailto:matt@egagedagility.com" TargetMode="External"/><Relationship Id="rId68" Type="http://schemas.microsoft.com/office/2019/04/relationships/namedSheetView" Target="../namedSheetViews/namedSheetView1.xml"/><Relationship Id="rId7" Type="http://schemas.openxmlformats.org/officeDocument/2006/relationships/hyperlink" Target="mailto:bfriedman@peraton.com" TargetMode="External"/><Relationship Id="rId2" Type="http://schemas.openxmlformats.org/officeDocument/2006/relationships/hyperlink" Target="https://leanscaledarchitects.atlassian.net/browse/PIPE-396" TargetMode="External"/><Relationship Id="rId16" Type="http://schemas.openxmlformats.org/officeDocument/2006/relationships/hyperlink" Target="mailto:jorge.garcia1@usaa.com" TargetMode="External"/><Relationship Id="rId29" Type="http://schemas.openxmlformats.org/officeDocument/2006/relationships/hyperlink" Target="mailto:mfromowitz@websterbank.com" TargetMode="External"/><Relationship Id="rId11" Type="http://schemas.openxmlformats.org/officeDocument/2006/relationships/hyperlink" Target="mailto:abdulrasheed.shaik@fepoc.com" TargetMode="External"/><Relationship Id="rId24" Type="http://schemas.openxmlformats.org/officeDocument/2006/relationships/hyperlink" Target="mailto:elonia.taylor@bep.gov" TargetMode="External"/><Relationship Id="rId32" Type="http://schemas.openxmlformats.org/officeDocument/2006/relationships/hyperlink" Target="mailto:bmthomas2@fbi.gov" TargetMode="External"/><Relationship Id="rId37" Type="http://schemas.openxmlformats.org/officeDocument/2006/relationships/hyperlink" Target="mailto:jed.hadley@ibm.com" TargetMode="External"/><Relationship Id="rId40" Type="http://schemas.openxmlformats.org/officeDocument/2006/relationships/hyperlink" Target="mailto:murillo_jennifer@bah.com" TargetMode="External"/><Relationship Id="rId45" Type="http://schemas.openxmlformats.org/officeDocument/2006/relationships/hyperlink" Target="mailto:cathy.toth@acatoim.com" TargetMode="External"/><Relationship Id="rId53" Type="http://schemas.openxmlformats.org/officeDocument/2006/relationships/hyperlink" Target="mailto:barbour_paula@bah.com" TargetMode="External"/><Relationship Id="rId58" Type="http://schemas.openxmlformats.org/officeDocument/2006/relationships/hyperlink" Target="mailto:elizabeth.bush@etf.wi.gov" TargetMode="External"/><Relationship Id="rId66" Type="http://schemas.openxmlformats.org/officeDocument/2006/relationships/hyperlink" Target="mailto:harold.wagner@cprime.com" TargetMode="External"/><Relationship Id="rId5" Type="http://schemas.openxmlformats.org/officeDocument/2006/relationships/hyperlink" Target="mailto:evan.champagne@gd-ms.com" TargetMode="External"/><Relationship Id="rId61" Type="http://schemas.openxmlformats.org/officeDocument/2006/relationships/hyperlink" Target="mailto:gwallace@inteprosfed.com" TargetMode="External"/><Relationship Id="rId19" Type="http://schemas.openxmlformats.org/officeDocument/2006/relationships/hyperlink" Target="mailto:bspatt04@gmail.com" TargetMode="External"/><Relationship Id="rId14" Type="http://schemas.openxmlformats.org/officeDocument/2006/relationships/hyperlink" Target="mailto:melody.gil@prudential.com" TargetMode="External"/><Relationship Id="rId22" Type="http://schemas.openxmlformats.org/officeDocument/2006/relationships/hyperlink" Target="mailto:jimmy.hogan@gmail.com" TargetMode="External"/><Relationship Id="rId27" Type="http://schemas.openxmlformats.org/officeDocument/2006/relationships/hyperlink" Target="mailto:jdroushoudt@pccwglobal.com" TargetMode="External"/><Relationship Id="rId30" Type="http://schemas.openxmlformats.org/officeDocument/2006/relationships/hyperlink" Target="mailto:ngupta@websterbank.com" TargetMode="External"/><Relationship Id="rId35" Type="http://schemas.openxmlformats.org/officeDocument/2006/relationships/hyperlink" Target="mailto:ajvohra0!@gmail.com" TargetMode="External"/><Relationship Id="rId43" Type="http://schemas.openxmlformats.org/officeDocument/2006/relationships/hyperlink" Target="mailto:amber.ogrady.3@us.af.mil" TargetMode="External"/><Relationship Id="rId48" Type="http://schemas.openxmlformats.org/officeDocument/2006/relationships/hyperlink" Target="mailto:bbaghdadi@cns.gov" TargetMode="External"/><Relationship Id="rId56" Type="http://schemas.openxmlformats.org/officeDocument/2006/relationships/hyperlink" Target="mailto:mbryan@theagiletrust.com" TargetMode="External"/><Relationship Id="rId64" Type="http://schemas.openxmlformats.org/officeDocument/2006/relationships/hyperlink" Target="mailto:d.parente@itegratedintelsolutions.com" TargetMode="External"/><Relationship Id="rId8" Type="http://schemas.openxmlformats.org/officeDocument/2006/relationships/hyperlink" Target="mailto:todd.sheridan@pnc.com" TargetMode="External"/><Relationship Id="rId51" Type="http://schemas.openxmlformats.org/officeDocument/2006/relationships/hyperlink" Target="mailto:sarah.hubert.l@us.af.mil" TargetMode="External"/><Relationship Id="rId3" Type="http://schemas.openxmlformats.org/officeDocument/2006/relationships/hyperlink" Target="mailto:janeen.osselborn@servicenow.com" TargetMode="External"/><Relationship Id="rId12" Type="http://schemas.openxmlformats.org/officeDocument/2006/relationships/hyperlink" Target="mailto:cgraver@graveragileinnovations.com" TargetMode="External"/><Relationship Id="rId17" Type="http://schemas.openxmlformats.org/officeDocument/2006/relationships/hyperlink" Target="mailto:gerd.wessling@scagilize.de" TargetMode="External"/><Relationship Id="rId25" Type="http://schemas.openxmlformats.org/officeDocument/2006/relationships/hyperlink" Target="mailto:lesa_kennedy@glic.com" TargetMode="External"/><Relationship Id="rId33" Type="http://schemas.openxmlformats.org/officeDocument/2006/relationships/hyperlink" Target="mailto:cohen_lisa@bah.com" TargetMode="External"/><Relationship Id="rId38" Type="http://schemas.openxmlformats.org/officeDocument/2006/relationships/hyperlink" Target="mailto:blake.helander@dodiis.mil" TargetMode="External"/><Relationship Id="rId46" Type="http://schemas.openxmlformats.org/officeDocument/2006/relationships/hyperlink" Target="mailto:bill.toth@acatoim.com" TargetMode="External"/><Relationship Id="rId59" Type="http://schemas.openxmlformats.org/officeDocument/2006/relationships/hyperlink" Target="mailto:cmlemahien@gmail.com" TargetMode="External"/><Relationship Id="rId67" Type="http://schemas.openxmlformats.org/officeDocument/2006/relationships/table" Target="../tables/table1.xml"/><Relationship Id="rId20" Type="http://schemas.openxmlformats.org/officeDocument/2006/relationships/hyperlink" Target="mailto:angela.campbell@progress.com" TargetMode="External"/><Relationship Id="rId41" Type="http://schemas.openxmlformats.org/officeDocument/2006/relationships/hyperlink" Target="mailto:stevens_lynn@bah.com" TargetMode="External"/><Relationship Id="rId54" Type="http://schemas.openxmlformats.org/officeDocument/2006/relationships/hyperlink" Target="mailto:justin.brogden.l@us.af.mil" TargetMode="External"/><Relationship Id="rId62" Type="http://schemas.openxmlformats.org/officeDocument/2006/relationships/hyperlink" Target="mailto:mshauer@mt.gov" TargetMode="External"/><Relationship Id="rId1" Type="http://schemas.openxmlformats.org/officeDocument/2006/relationships/hyperlink" Target="https://leanscaledarchitects.atlassian.net/browse/PIPE-396" TargetMode="External"/><Relationship Id="rId6" Type="http://schemas.openxmlformats.org/officeDocument/2006/relationships/hyperlink" Target="mailto:kenneth.presutti@pnc.com" TargetMode="External"/><Relationship Id="rId15" Type="http://schemas.openxmlformats.org/officeDocument/2006/relationships/hyperlink" Target="mailto:donald.brown@prudential.com" TargetMode="External"/><Relationship Id="rId23" Type="http://schemas.openxmlformats.org/officeDocument/2006/relationships/hyperlink" Target="mailto:jamie.shopland@amtrak.com" TargetMode="External"/><Relationship Id="rId28" Type="http://schemas.openxmlformats.org/officeDocument/2006/relationships/hyperlink" Target="mailto:alan.hammond@chase.com" TargetMode="External"/><Relationship Id="rId36" Type="http://schemas.openxmlformats.org/officeDocument/2006/relationships/hyperlink" Target="mailto:alexander.r.miner@frb.gov" TargetMode="External"/><Relationship Id="rId49" Type="http://schemas.openxmlformats.org/officeDocument/2006/relationships/hyperlink" Target="mailto:dan.palmer@paradyme.us" TargetMode="External"/><Relationship Id="rId57" Type="http://schemas.openxmlformats.org/officeDocument/2006/relationships/hyperlink" Target="mailto:sonya.garcia@gdit.com" TargetMode="External"/><Relationship Id="rId10" Type="http://schemas.openxmlformats.org/officeDocument/2006/relationships/hyperlink" Target="mailto:chris.ham@caci.com" TargetMode="External"/><Relationship Id="rId31" Type="http://schemas.openxmlformats.org/officeDocument/2006/relationships/hyperlink" Target="mailto:mjenkins@versagilitytechnologies.com" TargetMode="External"/><Relationship Id="rId44" Type="http://schemas.openxmlformats.org/officeDocument/2006/relationships/hyperlink" Target="mailto:shenandoah.speers@nasa.gov" TargetMode="External"/><Relationship Id="rId52" Type="http://schemas.openxmlformats.org/officeDocument/2006/relationships/hyperlink" Target="mailto:yiran105@gmail.com" TargetMode="External"/><Relationship Id="rId60" Type="http://schemas.openxmlformats.org/officeDocument/2006/relationships/hyperlink" Target="mailto:lynn.johnson@mag.us" TargetMode="External"/><Relationship Id="rId65" Type="http://schemas.openxmlformats.org/officeDocument/2006/relationships/hyperlink" Target="mailto:bsmith3@atlassian.com" TargetMode="External"/><Relationship Id="rId4" Type="http://schemas.openxmlformats.org/officeDocument/2006/relationships/hyperlink" Target="mailto:peter.pendergast@gd-ms.com" TargetMode="External"/><Relationship Id="rId9" Type="http://schemas.openxmlformats.org/officeDocument/2006/relationships/hyperlink" Target="mailto:steve.brylski@caci.com" TargetMode="External"/><Relationship Id="rId13" Type="http://schemas.openxmlformats.org/officeDocument/2006/relationships/hyperlink" Target="mailto:alyssa.catalano@panasonic.aero" TargetMode="External"/><Relationship Id="rId18" Type="http://schemas.openxmlformats.org/officeDocument/2006/relationships/hyperlink" Target="mailto:skasturi@worldbank.org" TargetMode="External"/><Relationship Id="rId39" Type="http://schemas.openxmlformats.org/officeDocument/2006/relationships/hyperlink" Target="mailto:bernadette.wile@us.af.mil"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hasnain.rizvi@americannational.com" TargetMode="External"/><Relationship Id="rId21" Type="http://schemas.openxmlformats.org/officeDocument/2006/relationships/hyperlink" Target="mailto:tworley@twilio.com" TargetMode="External"/><Relationship Id="rId34" Type="http://schemas.openxmlformats.org/officeDocument/2006/relationships/hyperlink" Target="mailto:raymond.gandioneo@gmail.com" TargetMode="External"/><Relationship Id="rId42" Type="http://schemas.openxmlformats.org/officeDocument/2006/relationships/hyperlink" Target="mailto:christinahandley@gmail.com" TargetMode="External"/><Relationship Id="rId47" Type="http://schemas.openxmlformats.org/officeDocument/2006/relationships/hyperlink" Target="mailto:pusingh@americorps.gov" TargetMode="External"/><Relationship Id="rId50" Type="http://schemas.openxmlformats.org/officeDocument/2006/relationships/hyperlink" Target="mailto:jennifer.castro@broadcom.com" TargetMode="External"/><Relationship Id="rId55" Type="http://schemas.openxmlformats.org/officeDocument/2006/relationships/hyperlink" Target="mailto:michael.gerke@l3harris.com" TargetMode="External"/><Relationship Id="rId63" Type="http://schemas.openxmlformats.org/officeDocument/2006/relationships/hyperlink" Target="mailto:mshauer@mt.gov" TargetMode="External"/><Relationship Id="rId7" Type="http://schemas.openxmlformats.org/officeDocument/2006/relationships/hyperlink" Target="mailto:bfriedman@peraton.com" TargetMode="External"/><Relationship Id="rId2" Type="http://schemas.openxmlformats.org/officeDocument/2006/relationships/hyperlink" Target="https://leanscaledarchitects.atlassian.net/browse/PIPE-396" TargetMode="External"/><Relationship Id="rId16" Type="http://schemas.openxmlformats.org/officeDocument/2006/relationships/hyperlink" Target="mailto:jorge.garcia1@usaa.com" TargetMode="External"/><Relationship Id="rId29" Type="http://schemas.openxmlformats.org/officeDocument/2006/relationships/hyperlink" Target="mailto:mfromowitz@websterbank.com" TargetMode="External"/><Relationship Id="rId11" Type="http://schemas.openxmlformats.org/officeDocument/2006/relationships/hyperlink" Target="mailto:abdulrasheed.shaik@fepoc.com" TargetMode="External"/><Relationship Id="rId24" Type="http://schemas.openxmlformats.org/officeDocument/2006/relationships/hyperlink" Target="mailto:elonia.taylor@bep.gov" TargetMode="External"/><Relationship Id="rId32" Type="http://schemas.openxmlformats.org/officeDocument/2006/relationships/hyperlink" Target="mailto:bmthomas2@fbi.gov" TargetMode="External"/><Relationship Id="rId37" Type="http://schemas.openxmlformats.org/officeDocument/2006/relationships/hyperlink" Target="mailto:jed.hadley@ibm.com" TargetMode="External"/><Relationship Id="rId40" Type="http://schemas.openxmlformats.org/officeDocument/2006/relationships/hyperlink" Target="mailto:murillo_jennifer@bah.com" TargetMode="External"/><Relationship Id="rId45" Type="http://schemas.openxmlformats.org/officeDocument/2006/relationships/hyperlink" Target="mailto:cathy.toth@acatoim.com" TargetMode="External"/><Relationship Id="rId53" Type="http://schemas.openxmlformats.org/officeDocument/2006/relationships/hyperlink" Target="mailto:barbour_paula@bah.com" TargetMode="External"/><Relationship Id="rId58" Type="http://schemas.openxmlformats.org/officeDocument/2006/relationships/hyperlink" Target="mailto:sonya.garcia@gdit.com" TargetMode="External"/><Relationship Id="rId66" Type="http://schemas.openxmlformats.org/officeDocument/2006/relationships/table" Target="../tables/table2.xml"/><Relationship Id="rId5" Type="http://schemas.openxmlformats.org/officeDocument/2006/relationships/hyperlink" Target="mailto:evan.champagne@gd-ms.com" TargetMode="External"/><Relationship Id="rId61" Type="http://schemas.openxmlformats.org/officeDocument/2006/relationships/hyperlink" Target="mailto:lynn.johnson@mag.us" TargetMode="External"/><Relationship Id="rId19" Type="http://schemas.openxmlformats.org/officeDocument/2006/relationships/hyperlink" Target="mailto:bspatt04@gmail.com" TargetMode="External"/><Relationship Id="rId14" Type="http://schemas.openxmlformats.org/officeDocument/2006/relationships/hyperlink" Target="mailto:melody.gil@prudential.com" TargetMode="External"/><Relationship Id="rId22" Type="http://schemas.openxmlformats.org/officeDocument/2006/relationships/hyperlink" Target="mailto:jimmy.hogan@gmail.com" TargetMode="External"/><Relationship Id="rId27" Type="http://schemas.openxmlformats.org/officeDocument/2006/relationships/hyperlink" Target="mailto:jdroushoudt@pccwglobal.com" TargetMode="External"/><Relationship Id="rId30" Type="http://schemas.openxmlformats.org/officeDocument/2006/relationships/hyperlink" Target="mailto:ngupta@websterbank.com" TargetMode="External"/><Relationship Id="rId35" Type="http://schemas.openxmlformats.org/officeDocument/2006/relationships/hyperlink" Target="mailto:ajvohra0!@gmail.com" TargetMode="External"/><Relationship Id="rId43" Type="http://schemas.openxmlformats.org/officeDocument/2006/relationships/hyperlink" Target="mailto:amber.ogrady.3@us.af.mil" TargetMode="External"/><Relationship Id="rId48" Type="http://schemas.openxmlformats.org/officeDocument/2006/relationships/hyperlink" Target="mailto:bbaghdadi@cns.gov" TargetMode="External"/><Relationship Id="rId56" Type="http://schemas.openxmlformats.org/officeDocument/2006/relationships/hyperlink" Target="mailto:lauren.e.chambers@lmco.com" TargetMode="External"/><Relationship Id="rId64" Type="http://schemas.openxmlformats.org/officeDocument/2006/relationships/hyperlink" Target="mailto:matt@egagedagility.com" TargetMode="External"/><Relationship Id="rId8" Type="http://schemas.openxmlformats.org/officeDocument/2006/relationships/hyperlink" Target="mailto:todd.sheridan@pnc.com" TargetMode="External"/><Relationship Id="rId51" Type="http://schemas.openxmlformats.org/officeDocument/2006/relationships/hyperlink" Target="mailto:sarah.hubert.l@us.af.mil" TargetMode="External"/><Relationship Id="rId3" Type="http://schemas.openxmlformats.org/officeDocument/2006/relationships/hyperlink" Target="mailto:janeen.osselborn@servicenow.com" TargetMode="External"/><Relationship Id="rId12" Type="http://schemas.openxmlformats.org/officeDocument/2006/relationships/hyperlink" Target="mailto:cgraver@graveragileinnovations.com" TargetMode="External"/><Relationship Id="rId17" Type="http://schemas.openxmlformats.org/officeDocument/2006/relationships/hyperlink" Target="mailto:gerd.wessling@scagilize.de" TargetMode="External"/><Relationship Id="rId25" Type="http://schemas.openxmlformats.org/officeDocument/2006/relationships/hyperlink" Target="mailto:lesa_kennedy@glic.com" TargetMode="External"/><Relationship Id="rId33" Type="http://schemas.openxmlformats.org/officeDocument/2006/relationships/hyperlink" Target="mailto:cohen_lisa@bah.com" TargetMode="External"/><Relationship Id="rId38" Type="http://schemas.openxmlformats.org/officeDocument/2006/relationships/hyperlink" Target="mailto:blake.helander@dodiis.mil" TargetMode="External"/><Relationship Id="rId46" Type="http://schemas.openxmlformats.org/officeDocument/2006/relationships/hyperlink" Target="mailto:bill.toth@acatoim.com" TargetMode="External"/><Relationship Id="rId59" Type="http://schemas.openxmlformats.org/officeDocument/2006/relationships/hyperlink" Target="mailto:elizabeth.bush@etf.wi.gov" TargetMode="External"/><Relationship Id="rId67" Type="http://schemas.microsoft.com/office/2019/04/relationships/namedSheetView" Target="../namedSheetViews/namedSheetView2.xml"/><Relationship Id="rId20" Type="http://schemas.openxmlformats.org/officeDocument/2006/relationships/hyperlink" Target="mailto:angela.campbell@progress.com" TargetMode="External"/><Relationship Id="rId41" Type="http://schemas.openxmlformats.org/officeDocument/2006/relationships/hyperlink" Target="mailto:stevens_lynn@bah.com" TargetMode="External"/><Relationship Id="rId54" Type="http://schemas.openxmlformats.org/officeDocument/2006/relationships/hyperlink" Target="mailto:justin.brogden.l@us.af.mil" TargetMode="External"/><Relationship Id="rId62" Type="http://schemas.openxmlformats.org/officeDocument/2006/relationships/hyperlink" Target="mailto:gwallace@inteprosfed.com" TargetMode="External"/><Relationship Id="rId1" Type="http://schemas.openxmlformats.org/officeDocument/2006/relationships/hyperlink" Target="https://leanscaledarchitects.atlassian.net/browse/PIPE-396" TargetMode="External"/><Relationship Id="rId6" Type="http://schemas.openxmlformats.org/officeDocument/2006/relationships/hyperlink" Target="mailto:kenneth.presutti@pnc.com" TargetMode="External"/><Relationship Id="rId15" Type="http://schemas.openxmlformats.org/officeDocument/2006/relationships/hyperlink" Target="mailto:donald.brown@prudential.com" TargetMode="External"/><Relationship Id="rId23" Type="http://schemas.openxmlformats.org/officeDocument/2006/relationships/hyperlink" Target="mailto:jamie.shopland@amtrak.com" TargetMode="External"/><Relationship Id="rId28" Type="http://schemas.openxmlformats.org/officeDocument/2006/relationships/hyperlink" Target="mailto:alan.hammond@chase.com" TargetMode="External"/><Relationship Id="rId36" Type="http://schemas.openxmlformats.org/officeDocument/2006/relationships/hyperlink" Target="mailto:alexander.r.miner@frb.gov" TargetMode="External"/><Relationship Id="rId49" Type="http://schemas.openxmlformats.org/officeDocument/2006/relationships/hyperlink" Target="mailto:dan.palmer@paradyme.us" TargetMode="External"/><Relationship Id="rId57" Type="http://schemas.openxmlformats.org/officeDocument/2006/relationships/hyperlink" Target="mailto:mbryan@theagiletrust.com" TargetMode="External"/><Relationship Id="rId10" Type="http://schemas.openxmlformats.org/officeDocument/2006/relationships/hyperlink" Target="mailto:chris.ham@caci.com" TargetMode="External"/><Relationship Id="rId31" Type="http://schemas.openxmlformats.org/officeDocument/2006/relationships/hyperlink" Target="mailto:mjenkins@versagilitytechnologies.com" TargetMode="External"/><Relationship Id="rId44" Type="http://schemas.openxmlformats.org/officeDocument/2006/relationships/hyperlink" Target="mailto:shenandoah.speers@nasa.gov" TargetMode="External"/><Relationship Id="rId52" Type="http://schemas.openxmlformats.org/officeDocument/2006/relationships/hyperlink" Target="mailto:yiran105@gmail.com" TargetMode="External"/><Relationship Id="rId60" Type="http://schemas.openxmlformats.org/officeDocument/2006/relationships/hyperlink" Target="mailto:cmlemahien@gmail.com" TargetMode="External"/><Relationship Id="rId65" Type="http://schemas.openxmlformats.org/officeDocument/2006/relationships/hyperlink" Target="mailto:d.parente@itegratedintelsolutions.com" TargetMode="External"/><Relationship Id="rId4" Type="http://schemas.openxmlformats.org/officeDocument/2006/relationships/hyperlink" Target="mailto:peter.pendergast@gd-ms.com" TargetMode="External"/><Relationship Id="rId9" Type="http://schemas.openxmlformats.org/officeDocument/2006/relationships/hyperlink" Target="mailto:steve.brylski@caci.com" TargetMode="External"/><Relationship Id="rId13" Type="http://schemas.openxmlformats.org/officeDocument/2006/relationships/hyperlink" Target="mailto:alyssa.catalano@panasonic.aero" TargetMode="External"/><Relationship Id="rId18" Type="http://schemas.openxmlformats.org/officeDocument/2006/relationships/hyperlink" Target="mailto:skasturi@worldbank.org" TargetMode="External"/><Relationship Id="rId39" Type="http://schemas.openxmlformats.org/officeDocument/2006/relationships/hyperlink" Target="mailto:bernadette.wile@us.af.mil"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34E8-1713-4485-869E-E1399A14DA4E}">
  <sheetPr>
    <tabColor theme="3" tint="0.79998168889431442"/>
  </sheetPr>
  <dimension ref="A1:AL140"/>
  <sheetViews>
    <sheetView tabSelected="1" zoomScale="75" zoomScaleNormal="50" workbookViewId="0">
      <selection sqref="A1:XFD1048576"/>
    </sheetView>
  </sheetViews>
  <sheetFormatPr baseColWidth="10" defaultColWidth="10.83203125" defaultRowHeight="77.25" customHeight="1"/>
  <cols>
    <col min="1" max="1" width="16.5" customWidth="1"/>
    <col min="2" max="2" width="15.83203125" customWidth="1"/>
    <col min="3" max="3" width="14.1640625" customWidth="1"/>
    <col min="4" max="4" width="14.33203125" customWidth="1"/>
    <col min="5" max="5" width="12.5" customWidth="1"/>
    <col min="6" max="6" width="13.1640625" customWidth="1"/>
    <col min="7" max="7" width="15.1640625" style="76" customWidth="1"/>
    <col min="8" max="8" width="20.5" customWidth="1"/>
    <col min="9" max="9" width="18" hidden="1" customWidth="1"/>
    <col min="10" max="10" width="27.6640625" hidden="1" customWidth="1"/>
    <col min="11" max="11" width="16.6640625" style="76" hidden="1" customWidth="1"/>
    <col min="12" max="12" width="24" style="77" customWidth="1"/>
    <col min="13" max="13" width="22.1640625" style="77" customWidth="1"/>
    <col min="14" max="14" width="64.83203125" style="78" customWidth="1"/>
    <col min="15" max="15" width="28" style="77" hidden="1" customWidth="1"/>
    <col min="16" max="16" width="89.5" style="87" hidden="1" customWidth="1"/>
    <col min="17" max="17" width="19.5" style="77" hidden="1" customWidth="1"/>
    <col min="18" max="18" width="20.33203125" hidden="1" customWidth="1"/>
    <col min="19" max="19" width="39.5" hidden="1" customWidth="1"/>
    <col min="20" max="21" width="26" customWidth="1"/>
    <col min="22" max="23" width="26.83203125" customWidth="1"/>
    <col min="24" max="24" width="26.5" style="33" customWidth="1"/>
    <col min="25" max="25" width="24.33203125" customWidth="1"/>
    <col min="26" max="26" width="17" customWidth="1"/>
    <col min="27" max="27" width="9.1640625" customWidth="1"/>
    <col min="28" max="28" width="9.1640625"/>
    <col min="29" max="29" width="31.1640625" customWidth="1"/>
    <col min="30" max="30" width="9.1640625"/>
    <col min="31" max="31" width="32.33203125" bestFit="1" customWidth="1"/>
    <col min="32" max="32" width="22" bestFit="1" customWidth="1"/>
    <col min="33" max="33" width="21.5" customWidth="1"/>
    <col min="34" max="34" width="9.1640625"/>
    <col min="35" max="35" width="21.6640625" customWidth="1"/>
    <col min="36" max="36" width="15.1640625" customWidth="1"/>
    <col min="37" max="38" width="9.1640625"/>
    <col min="39" max="39" width="15.6640625" customWidth="1"/>
    <col min="40" max="40" width="13.83203125" bestFit="1" customWidth="1"/>
    <col min="41" max="41" width="16.6640625" customWidth="1"/>
  </cols>
  <sheetData>
    <row r="1" spans="1:38" s="68" customFormat="1" ht="77.25" customHeight="1">
      <c r="A1" s="176" t="s">
        <v>0</v>
      </c>
      <c r="B1" s="170" t="s">
        <v>1</v>
      </c>
      <c r="C1" s="170" t="s">
        <v>2</v>
      </c>
      <c r="D1" s="170" t="s">
        <v>3</v>
      </c>
      <c r="E1" s="170" t="s">
        <v>4</v>
      </c>
      <c r="F1" s="170" t="s">
        <v>5</v>
      </c>
      <c r="G1" s="170" t="s">
        <v>6</v>
      </c>
      <c r="H1" s="172" t="s">
        <v>7</v>
      </c>
      <c r="I1" s="172" t="s">
        <v>8</v>
      </c>
      <c r="J1" s="172" t="s">
        <v>9</v>
      </c>
      <c r="K1" s="172" t="s">
        <v>10</v>
      </c>
      <c r="L1" s="172" t="s">
        <v>11</v>
      </c>
      <c r="M1" s="170" t="s">
        <v>12</v>
      </c>
      <c r="N1" s="171" t="s">
        <v>13</v>
      </c>
      <c r="O1" s="170" t="s">
        <v>14</v>
      </c>
      <c r="P1" s="171" t="s">
        <v>15</v>
      </c>
      <c r="Q1" s="171" t="s">
        <v>16</v>
      </c>
      <c r="R1" s="171" t="s">
        <v>17</v>
      </c>
      <c r="S1" s="171" t="s">
        <v>18</v>
      </c>
      <c r="T1" s="171" t="s">
        <v>19</v>
      </c>
      <c r="U1" s="171" t="s">
        <v>20</v>
      </c>
      <c r="V1" s="171" t="s">
        <v>21</v>
      </c>
      <c r="W1" s="171" t="s">
        <v>6984</v>
      </c>
      <c r="X1" s="170" t="s">
        <v>22</v>
      </c>
      <c r="Y1" s="170" t="s">
        <v>23</v>
      </c>
      <c r="Z1" s="170" t="s">
        <v>24</v>
      </c>
      <c r="AA1" s="170" t="s">
        <v>25</v>
      </c>
      <c r="AB1" s="170" t="s">
        <v>26</v>
      </c>
      <c r="AC1" s="170" t="s">
        <v>27</v>
      </c>
      <c r="AD1" s="170" t="s">
        <v>28</v>
      </c>
      <c r="AE1" s="170" t="s">
        <v>29</v>
      </c>
      <c r="AF1" s="170" t="s">
        <v>30</v>
      </c>
      <c r="AG1" s="170" t="s">
        <v>31</v>
      </c>
      <c r="AH1" s="170" t="s">
        <v>32</v>
      </c>
      <c r="AI1" s="170" t="s">
        <v>33</v>
      </c>
      <c r="AJ1" s="170" t="s">
        <v>34</v>
      </c>
      <c r="AK1" s="170" t="s">
        <v>35</v>
      </c>
      <c r="AL1" s="180" t="s">
        <v>36</v>
      </c>
    </row>
    <row r="2" spans="1:38" s="33" customFormat="1" ht="177" customHeight="1">
      <c r="A2" s="179" t="s">
        <v>37</v>
      </c>
      <c r="B2" s="155"/>
      <c r="C2" s="165" t="s">
        <v>38</v>
      </c>
      <c r="D2" s="166" t="s">
        <v>39</v>
      </c>
      <c r="E2" s="155"/>
      <c r="F2" s="155"/>
      <c r="G2" s="138"/>
      <c r="H2" s="150" t="s">
        <v>40</v>
      </c>
      <c r="I2" s="150"/>
      <c r="J2" s="150"/>
      <c r="K2" s="150"/>
      <c r="L2" s="184" t="s">
        <v>41</v>
      </c>
      <c r="M2" s="164"/>
      <c r="N2" s="142" t="s">
        <v>42</v>
      </c>
      <c r="O2" s="138"/>
      <c r="P2" s="142"/>
      <c r="Q2" s="142"/>
      <c r="R2" s="167"/>
      <c r="S2" s="168"/>
      <c r="T2" s="144" t="b">
        <v>1</v>
      </c>
      <c r="U2" s="144" t="b">
        <v>0</v>
      </c>
      <c r="V2" s="144" t="b">
        <v>0</v>
      </c>
      <c r="W2" s="144" t="b">
        <v>0</v>
      </c>
      <c r="X2" s="169"/>
      <c r="Y2" s="155"/>
      <c r="Z2" s="138"/>
      <c r="AA2" s="138"/>
      <c r="AB2" s="138"/>
      <c r="AC2" s="155"/>
      <c r="AD2" s="155"/>
      <c r="AE2" s="155"/>
      <c r="AF2" s="155"/>
      <c r="AG2" s="155"/>
      <c r="AH2" s="155"/>
      <c r="AI2" s="155"/>
      <c r="AJ2" s="155"/>
      <c r="AK2" s="155"/>
      <c r="AL2" s="182"/>
    </row>
    <row r="3" spans="1:38" s="33" customFormat="1" ht="77.25" customHeight="1">
      <c r="A3" s="179" t="s">
        <v>43</v>
      </c>
      <c r="B3" s="155"/>
      <c r="C3" s="165" t="s">
        <v>44</v>
      </c>
      <c r="D3" s="166" t="s">
        <v>39</v>
      </c>
      <c r="E3" s="155"/>
      <c r="F3" s="155"/>
      <c r="G3" s="138"/>
      <c r="H3" s="150" t="s">
        <v>40</v>
      </c>
      <c r="I3" s="150"/>
      <c r="J3" s="150"/>
      <c r="K3" s="150"/>
      <c r="L3" s="184" t="s">
        <v>41</v>
      </c>
      <c r="M3" s="164"/>
      <c r="N3" s="142" t="s">
        <v>42</v>
      </c>
      <c r="O3" s="138"/>
      <c r="P3" s="142"/>
      <c r="Q3" s="142"/>
      <c r="R3" s="167"/>
      <c r="S3" s="168"/>
      <c r="T3" s="144" t="b">
        <v>1</v>
      </c>
      <c r="U3" s="144" t="b">
        <v>0</v>
      </c>
      <c r="V3" s="144" t="b">
        <v>0</v>
      </c>
      <c r="W3" s="144"/>
      <c r="X3" s="169"/>
      <c r="Y3" s="155"/>
      <c r="Z3" s="138"/>
      <c r="AA3" s="138"/>
      <c r="AB3" s="138"/>
      <c r="AC3" s="155"/>
      <c r="AD3" s="155"/>
      <c r="AE3" s="155"/>
      <c r="AF3" s="155"/>
      <c r="AG3" s="155"/>
      <c r="AH3" s="155"/>
      <c r="AI3" s="155"/>
      <c r="AJ3" s="155"/>
      <c r="AK3" s="155"/>
      <c r="AL3" s="182"/>
    </row>
    <row r="4" spans="1:38" ht="77.25" customHeight="1">
      <c r="A4" s="179" t="s">
        <v>45</v>
      </c>
      <c r="B4" s="155"/>
      <c r="C4" s="165" t="s">
        <v>46</v>
      </c>
      <c r="D4" s="166" t="s">
        <v>47</v>
      </c>
      <c r="E4" s="155"/>
      <c r="F4" s="155"/>
      <c r="G4" s="138"/>
      <c r="H4" s="150" t="s">
        <v>40</v>
      </c>
      <c r="I4" s="150"/>
      <c r="J4" s="150"/>
      <c r="K4" s="150"/>
      <c r="L4" s="184" t="s">
        <v>41</v>
      </c>
      <c r="M4" s="164"/>
      <c r="N4" s="142" t="s">
        <v>42</v>
      </c>
      <c r="O4" s="138"/>
      <c r="P4" s="142"/>
      <c r="Q4" s="142"/>
      <c r="R4" s="167"/>
      <c r="S4" s="168"/>
      <c r="T4" s="144" t="b">
        <v>1</v>
      </c>
      <c r="U4" s="144" t="b">
        <v>0</v>
      </c>
      <c r="V4" s="144" t="b">
        <v>0</v>
      </c>
      <c r="W4" s="144"/>
      <c r="X4" s="169"/>
      <c r="Y4" s="155"/>
      <c r="Z4" s="138"/>
      <c r="AA4" s="138"/>
      <c r="AB4" s="138"/>
      <c r="AC4" s="155"/>
      <c r="AD4" s="155"/>
      <c r="AE4" s="155"/>
      <c r="AF4" s="155"/>
      <c r="AG4" s="155"/>
      <c r="AH4" s="155"/>
      <c r="AI4" s="155"/>
      <c r="AJ4" s="155"/>
      <c r="AK4" s="155"/>
      <c r="AL4" s="182"/>
    </row>
    <row r="5" spans="1:38" ht="77.25" customHeight="1">
      <c r="A5" s="178" t="s">
        <v>48</v>
      </c>
      <c r="B5" s="138" t="s">
        <v>49</v>
      </c>
      <c r="C5" s="138" t="s">
        <v>50</v>
      </c>
      <c r="D5" s="138" t="s">
        <v>51</v>
      </c>
      <c r="E5" s="138" t="s">
        <v>52</v>
      </c>
      <c r="F5" s="138" t="s">
        <v>53</v>
      </c>
      <c r="G5" s="138" t="s">
        <v>54</v>
      </c>
      <c r="H5" s="140" t="s">
        <v>55</v>
      </c>
      <c r="I5" s="140"/>
      <c r="J5" s="140"/>
      <c r="K5" s="140"/>
      <c r="L5" s="183" t="s">
        <v>56</v>
      </c>
      <c r="M5" s="138" t="s">
        <v>57</v>
      </c>
      <c r="N5" s="139" t="s">
        <v>58</v>
      </c>
      <c r="O5" s="138" t="s">
        <v>59</v>
      </c>
      <c r="P5" s="156" t="s">
        <v>60</v>
      </c>
      <c r="Q5" s="139"/>
      <c r="R5" s="143" t="b">
        <v>1</v>
      </c>
      <c r="S5" s="144" t="b">
        <v>1</v>
      </c>
      <c r="T5" s="144" t="b">
        <v>1</v>
      </c>
      <c r="U5" s="144" t="b">
        <v>0</v>
      </c>
      <c r="V5" s="144" t="b">
        <v>0</v>
      </c>
      <c r="W5" s="144"/>
      <c r="X5" s="145">
        <f>DATE(2024,10,15)+TIME(10,49,18)</f>
        <v>45580.450902777775</v>
      </c>
      <c r="Y5" s="138" t="s">
        <v>61</v>
      </c>
      <c r="Z5" s="138"/>
      <c r="AA5" s="138"/>
      <c r="AB5" s="138"/>
      <c r="AC5" s="138"/>
      <c r="AD5" s="138"/>
      <c r="AE5" s="138"/>
      <c r="AF5" s="138"/>
      <c r="AG5" s="138" t="s">
        <v>62</v>
      </c>
      <c r="AH5" s="145">
        <f>DATE(2024,10,15)+TIME(11,2,31)</f>
        <v>45580.460081018522</v>
      </c>
      <c r="AI5" s="138" t="s">
        <v>63</v>
      </c>
      <c r="AJ5" s="138" t="s">
        <v>64</v>
      </c>
      <c r="AK5" s="138" t="s">
        <v>65</v>
      </c>
      <c r="AL5" s="181" t="s">
        <v>61</v>
      </c>
    </row>
    <row r="6" spans="1:38" ht="77.25" customHeight="1">
      <c r="A6" s="178" t="s">
        <v>66</v>
      </c>
      <c r="B6" s="138" t="s">
        <v>67</v>
      </c>
      <c r="C6" s="138" t="s">
        <v>68</v>
      </c>
      <c r="D6" s="138" t="s">
        <v>69</v>
      </c>
      <c r="E6" s="138" t="s">
        <v>70</v>
      </c>
      <c r="F6" s="138"/>
      <c r="G6" s="138" t="s">
        <v>71</v>
      </c>
      <c r="H6" s="150" t="s">
        <v>6982</v>
      </c>
      <c r="I6" s="150" t="s">
        <v>72</v>
      </c>
      <c r="J6" s="150" t="s">
        <v>73</v>
      </c>
      <c r="K6" s="150"/>
      <c r="L6" s="184" t="s">
        <v>56</v>
      </c>
      <c r="M6" s="138" t="s">
        <v>74</v>
      </c>
      <c r="N6" s="142" t="s">
        <v>75</v>
      </c>
      <c r="O6" s="138" t="s">
        <v>76</v>
      </c>
      <c r="P6" s="156" t="s">
        <v>77</v>
      </c>
      <c r="Q6" s="142"/>
      <c r="R6" s="151" t="b">
        <v>1</v>
      </c>
      <c r="S6" s="152" t="b">
        <v>1</v>
      </c>
      <c r="T6" s="144" t="b">
        <v>1</v>
      </c>
      <c r="U6" s="144" t="b">
        <v>0</v>
      </c>
      <c r="V6" s="144" t="b">
        <v>0</v>
      </c>
      <c r="W6" s="144"/>
      <c r="X6" s="145">
        <f>DATE(2024,10,15)+TIME(13,0,54)</f>
        <v>45580.542291666665</v>
      </c>
      <c r="Y6" s="138" t="s">
        <v>61</v>
      </c>
      <c r="Z6" s="138" t="s">
        <v>61</v>
      </c>
      <c r="AA6" s="138" t="s">
        <v>78</v>
      </c>
      <c r="AB6" s="138" t="s">
        <v>78</v>
      </c>
      <c r="AC6" s="138"/>
      <c r="AD6" s="138"/>
      <c r="AE6" s="138"/>
      <c r="AF6" s="138" t="s">
        <v>79</v>
      </c>
      <c r="AG6" s="138" t="s">
        <v>80</v>
      </c>
      <c r="AH6" s="145">
        <f>DATE(2024,10,15)+TIME(19,37,10)</f>
        <v>45580.817476851851</v>
      </c>
      <c r="AI6" s="138"/>
      <c r="AJ6" s="138"/>
      <c r="AK6" s="138" t="s">
        <v>65</v>
      </c>
      <c r="AL6" s="181" t="s">
        <v>61</v>
      </c>
    </row>
    <row r="7" spans="1:38" ht="77.25" customHeight="1">
      <c r="A7" s="178" t="s">
        <v>81</v>
      </c>
      <c r="B7" s="138" t="s">
        <v>82</v>
      </c>
      <c r="C7" s="138" t="s">
        <v>83</v>
      </c>
      <c r="D7" s="138" t="s">
        <v>84</v>
      </c>
      <c r="E7" s="138" t="s">
        <v>85</v>
      </c>
      <c r="F7" s="138" t="s">
        <v>86</v>
      </c>
      <c r="G7" s="138" t="s">
        <v>87</v>
      </c>
      <c r="H7" s="150" t="s">
        <v>88</v>
      </c>
      <c r="I7" s="150"/>
      <c r="J7" s="150"/>
      <c r="K7" s="150"/>
      <c r="L7" s="184" t="s">
        <v>89</v>
      </c>
      <c r="M7" s="138" t="s">
        <v>90</v>
      </c>
      <c r="N7" s="142" t="s">
        <v>91</v>
      </c>
      <c r="O7" s="138" t="s">
        <v>92</v>
      </c>
      <c r="P7" s="142" t="s">
        <v>93</v>
      </c>
      <c r="Q7" s="142"/>
      <c r="R7" s="151" t="s">
        <v>94</v>
      </c>
      <c r="S7" s="148" t="s">
        <v>94</v>
      </c>
      <c r="T7" s="144" t="b">
        <v>1</v>
      </c>
      <c r="U7" s="144" t="b">
        <v>0</v>
      </c>
      <c r="V7" s="144" t="b">
        <v>0</v>
      </c>
      <c r="W7" s="144"/>
      <c r="X7" s="145">
        <f>DATE(2024,10,15)+TIME(10,39,50)</f>
        <v>45580.444328703707</v>
      </c>
      <c r="Y7" s="138" t="s">
        <v>61</v>
      </c>
      <c r="Z7" s="138" t="s">
        <v>95</v>
      </c>
      <c r="AA7" s="138"/>
      <c r="AB7" s="138"/>
      <c r="AC7" s="138"/>
      <c r="AD7" s="138"/>
      <c r="AE7" s="138"/>
      <c r="AF7" s="138"/>
      <c r="AG7" s="138" t="s">
        <v>62</v>
      </c>
      <c r="AH7" s="145">
        <f>DATE(2024,10,15)+TIME(10,56,0)</f>
        <v>45580.455555555556</v>
      </c>
      <c r="AI7" s="138" t="s">
        <v>96</v>
      </c>
      <c r="AJ7" s="138" t="s">
        <v>64</v>
      </c>
      <c r="AK7" s="138" t="s">
        <v>65</v>
      </c>
      <c r="AL7" s="181" t="s">
        <v>61</v>
      </c>
    </row>
    <row r="8" spans="1:38" ht="77.25" customHeight="1">
      <c r="A8" s="178" t="s">
        <v>97</v>
      </c>
      <c r="B8" s="138" t="s">
        <v>98</v>
      </c>
      <c r="C8" s="146" t="s">
        <v>99</v>
      </c>
      <c r="D8" s="138" t="s">
        <v>100</v>
      </c>
      <c r="E8" s="138" t="s">
        <v>101</v>
      </c>
      <c r="F8" s="138" t="s">
        <v>102</v>
      </c>
      <c r="G8" s="138" t="s">
        <v>103</v>
      </c>
      <c r="H8" s="150" t="s">
        <v>104</v>
      </c>
      <c r="I8" s="150"/>
      <c r="J8" s="150"/>
      <c r="K8" s="150"/>
      <c r="L8" s="184" t="s">
        <v>56</v>
      </c>
      <c r="M8" s="138" t="s">
        <v>105</v>
      </c>
      <c r="N8" s="142" t="s">
        <v>106</v>
      </c>
      <c r="O8" s="138" t="s">
        <v>107</v>
      </c>
      <c r="P8" s="142"/>
      <c r="Q8" s="142"/>
      <c r="R8" s="151" t="b">
        <v>0</v>
      </c>
      <c r="S8" s="152" t="b">
        <v>0</v>
      </c>
      <c r="T8" s="152" t="b">
        <v>1</v>
      </c>
      <c r="U8" s="152" t="b">
        <v>1</v>
      </c>
      <c r="V8" s="152" t="b">
        <v>1</v>
      </c>
      <c r="W8" s="152"/>
      <c r="X8" s="145">
        <f>DATE(2024,10,15)+TIME(13,31,54)</f>
        <v>45580.563819444447</v>
      </c>
      <c r="Y8" s="138" t="s">
        <v>61</v>
      </c>
      <c r="Z8" s="138" t="s">
        <v>61</v>
      </c>
      <c r="AA8" s="138" t="s">
        <v>108</v>
      </c>
      <c r="AB8" s="138"/>
      <c r="AC8" s="138"/>
      <c r="AD8" s="138"/>
      <c r="AE8" s="138"/>
      <c r="AF8" s="138"/>
      <c r="AG8" s="138" t="s">
        <v>62</v>
      </c>
      <c r="AH8" s="145">
        <f>DATE(2024,10,15)+TIME(13,33,37)</f>
        <v>45580.565011574072</v>
      </c>
      <c r="AI8" s="138" t="s">
        <v>96</v>
      </c>
      <c r="AJ8" s="138" t="s">
        <v>64</v>
      </c>
      <c r="AK8" s="138" t="s">
        <v>65</v>
      </c>
      <c r="AL8" s="181" t="s">
        <v>61</v>
      </c>
    </row>
    <row r="9" spans="1:38" ht="77.25" customHeight="1">
      <c r="A9" s="178" t="s">
        <v>109</v>
      </c>
      <c r="B9" s="138" t="s">
        <v>110</v>
      </c>
      <c r="C9" s="138" t="s">
        <v>111</v>
      </c>
      <c r="D9" s="138" t="s">
        <v>112</v>
      </c>
      <c r="E9" s="138" t="s">
        <v>113</v>
      </c>
      <c r="F9" s="138" t="s">
        <v>114</v>
      </c>
      <c r="G9" s="138" t="s">
        <v>103</v>
      </c>
      <c r="H9" s="150" t="s">
        <v>88</v>
      </c>
      <c r="I9" s="150"/>
      <c r="J9" s="150"/>
      <c r="K9" s="150"/>
      <c r="L9" s="184" t="s">
        <v>41</v>
      </c>
      <c r="M9" s="138"/>
      <c r="N9" s="142"/>
      <c r="O9" s="138"/>
      <c r="P9" s="142" t="s">
        <v>93</v>
      </c>
      <c r="Q9" s="142"/>
      <c r="R9" s="148" t="s">
        <v>94</v>
      </c>
      <c r="S9" s="148" t="s">
        <v>94</v>
      </c>
      <c r="T9" s="144" t="b">
        <v>1</v>
      </c>
      <c r="U9" s="144" t="b">
        <v>0</v>
      </c>
      <c r="V9" s="144" t="b">
        <v>0</v>
      </c>
      <c r="W9" s="144"/>
      <c r="X9" s="145">
        <f>DATE(2024,10,16)+TIME(14,44,40)</f>
        <v>45581.614351851851</v>
      </c>
      <c r="Y9" s="138" t="s">
        <v>95</v>
      </c>
      <c r="Z9" s="138"/>
      <c r="AA9" s="138"/>
      <c r="AB9" s="138"/>
      <c r="AC9" s="138"/>
      <c r="AD9" s="138"/>
      <c r="AE9" s="138"/>
      <c r="AF9" s="138"/>
      <c r="AG9" s="138" t="s">
        <v>62</v>
      </c>
      <c r="AH9" s="145">
        <f>DATE(2024,10,16)+TIME(14,44,46)</f>
        <v>45581.614421296297</v>
      </c>
      <c r="AI9" s="138" t="s">
        <v>63</v>
      </c>
      <c r="AJ9" s="138" t="s">
        <v>64</v>
      </c>
      <c r="AK9" s="138" t="s">
        <v>65</v>
      </c>
      <c r="AL9" s="181" t="s">
        <v>61</v>
      </c>
    </row>
    <row r="10" spans="1:38" ht="77.25" customHeight="1">
      <c r="A10" s="179" t="s">
        <v>115</v>
      </c>
      <c r="B10" s="155"/>
      <c r="C10" s="165" t="s">
        <v>111</v>
      </c>
      <c r="D10" s="166" t="s">
        <v>116</v>
      </c>
      <c r="E10" s="155"/>
      <c r="F10" s="155"/>
      <c r="G10" s="138"/>
      <c r="H10" s="150" t="s">
        <v>40</v>
      </c>
      <c r="I10" s="150"/>
      <c r="J10" s="150"/>
      <c r="K10" s="150"/>
      <c r="L10" s="184" t="s">
        <v>41</v>
      </c>
      <c r="M10" s="164"/>
      <c r="N10" s="142" t="s">
        <v>42</v>
      </c>
      <c r="O10" s="138"/>
      <c r="P10" s="142"/>
      <c r="Q10" s="142"/>
      <c r="R10" s="167"/>
      <c r="S10" s="168"/>
      <c r="T10" s="144" t="b">
        <v>1</v>
      </c>
      <c r="U10" s="144" t="b">
        <v>0</v>
      </c>
      <c r="V10" s="144" t="b">
        <v>0</v>
      </c>
      <c r="W10" s="144"/>
      <c r="X10" s="169"/>
      <c r="Y10" s="155"/>
      <c r="Z10" s="138"/>
      <c r="AA10" s="138"/>
      <c r="AB10" s="138"/>
      <c r="AC10" s="155"/>
      <c r="AD10" s="155"/>
      <c r="AE10" s="155"/>
      <c r="AF10" s="155"/>
      <c r="AG10" s="155"/>
      <c r="AH10" s="155"/>
      <c r="AI10" s="155"/>
      <c r="AJ10" s="155"/>
      <c r="AK10" s="155"/>
      <c r="AL10" s="182"/>
    </row>
    <row r="11" spans="1:38" ht="77.25" customHeight="1">
      <c r="A11" s="178" t="s">
        <v>117</v>
      </c>
      <c r="B11" s="138" t="s">
        <v>118</v>
      </c>
      <c r="C11" s="146" t="s">
        <v>119</v>
      </c>
      <c r="D11" s="138" t="s">
        <v>120</v>
      </c>
      <c r="E11" s="138" t="s">
        <v>121</v>
      </c>
      <c r="F11" s="138" t="s">
        <v>122</v>
      </c>
      <c r="G11" s="138" t="s">
        <v>103</v>
      </c>
      <c r="H11" s="150" t="s">
        <v>123</v>
      </c>
      <c r="I11" s="150"/>
      <c r="J11" s="150"/>
      <c r="K11" s="150"/>
      <c r="L11" s="184" t="s">
        <v>56</v>
      </c>
      <c r="M11" s="138" t="s">
        <v>124</v>
      </c>
      <c r="N11" s="142" t="s">
        <v>125</v>
      </c>
      <c r="O11" s="138" t="s">
        <v>107</v>
      </c>
      <c r="P11" s="142" t="s">
        <v>126</v>
      </c>
      <c r="Q11" s="142"/>
      <c r="R11" s="151" t="b">
        <v>0</v>
      </c>
      <c r="S11" s="152" t="b">
        <v>0</v>
      </c>
      <c r="T11" s="152" t="b">
        <v>1</v>
      </c>
      <c r="U11" s="152" t="b">
        <v>1</v>
      </c>
      <c r="V11" s="152" t="b">
        <v>1</v>
      </c>
      <c r="W11" s="152"/>
      <c r="X11" s="145">
        <f>DATE(2024,10,15)+TIME(7,58,41)</f>
        <v>45580.332418981481</v>
      </c>
      <c r="Y11" s="138" t="s">
        <v>61</v>
      </c>
      <c r="Z11" s="138" t="s">
        <v>95</v>
      </c>
      <c r="AA11" s="138"/>
      <c r="AB11" s="138"/>
      <c r="AC11" s="138"/>
      <c r="AD11" s="138"/>
      <c r="AE11" s="138"/>
      <c r="AF11" s="138"/>
      <c r="AG11" s="138" t="s">
        <v>62</v>
      </c>
      <c r="AH11" s="145">
        <f>DATE(2024,10,15)+TIME(8,0,21)</f>
        <v>45580.33357638889</v>
      </c>
      <c r="AI11" s="138" t="s">
        <v>127</v>
      </c>
      <c r="AJ11" s="138" t="s">
        <v>64</v>
      </c>
      <c r="AK11" s="138" t="s">
        <v>65</v>
      </c>
      <c r="AL11" s="181" t="s">
        <v>61</v>
      </c>
    </row>
    <row r="12" spans="1:38" ht="77.25" customHeight="1">
      <c r="A12" s="178" t="s">
        <v>128</v>
      </c>
      <c r="B12" s="138" t="s">
        <v>129</v>
      </c>
      <c r="C12" s="138" t="s">
        <v>130</v>
      </c>
      <c r="D12" s="138" t="s">
        <v>131</v>
      </c>
      <c r="E12" s="138" t="s">
        <v>132</v>
      </c>
      <c r="F12" s="138" t="s">
        <v>133</v>
      </c>
      <c r="G12" s="138" t="s">
        <v>134</v>
      </c>
      <c r="H12" s="150" t="s">
        <v>40</v>
      </c>
      <c r="I12" s="150"/>
      <c r="J12" s="150"/>
      <c r="K12" s="150"/>
      <c r="L12" s="184" t="s">
        <v>41</v>
      </c>
      <c r="M12" s="138"/>
      <c r="N12" s="142"/>
      <c r="O12" s="138"/>
      <c r="P12" s="142"/>
      <c r="Q12" s="142"/>
      <c r="R12" s="151" t="b">
        <v>0</v>
      </c>
      <c r="S12" s="152" t="b">
        <v>0</v>
      </c>
      <c r="T12" s="144" t="b">
        <v>1</v>
      </c>
      <c r="U12" s="144" t="b">
        <v>0</v>
      </c>
      <c r="V12" s="144" t="b">
        <v>0</v>
      </c>
      <c r="W12" s="144"/>
      <c r="X12" s="145">
        <f>DATE(2024,10,16)+TIME(10,1,25)</f>
        <v>45581.417650462965</v>
      </c>
      <c r="Y12" s="138" t="s">
        <v>95</v>
      </c>
      <c r="Z12" s="138"/>
      <c r="AA12" s="138"/>
      <c r="AB12" s="138"/>
      <c r="AC12" s="138"/>
      <c r="AD12" s="138"/>
      <c r="AE12" s="138"/>
      <c r="AF12" s="138"/>
      <c r="AG12" s="138" t="s">
        <v>62</v>
      </c>
      <c r="AH12" s="145">
        <f>DATE(2024,10,16)+TIME(10,14,3)</f>
        <v>45581.426423611112</v>
      </c>
      <c r="AI12" s="138" t="s">
        <v>135</v>
      </c>
      <c r="AJ12" s="138" t="s">
        <v>64</v>
      </c>
      <c r="AK12" s="138" t="s">
        <v>65</v>
      </c>
      <c r="AL12" s="181" t="s">
        <v>61</v>
      </c>
    </row>
    <row r="13" spans="1:38" ht="77.25" customHeight="1">
      <c r="A13" s="201" t="s">
        <v>136</v>
      </c>
      <c r="B13" s="138" t="s">
        <v>137</v>
      </c>
      <c r="C13" s="146" t="s">
        <v>138</v>
      </c>
      <c r="D13" s="138" t="s">
        <v>139</v>
      </c>
      <c r="E13" s="138" t="s">
        <v>140</v>
      </c>
      <c r="F13" s="138" t="s">
        <v>141</v>
      </c>
      <c r="G13" s="138" t="s">
        <v>87</v>
      </c>
      <c r="H13" s="150" t="s">
        <v>88</v>
      </c>
      <c r="I13" s="150"/>
      <c r="J13" s="150"/>
      <c r="K13" s="150"/>
      <c r="L13" s="184" t="s">
        <v>142</v>
      </c>
      <c r="M13" s="138" t="s">
        <v>143</v>
      </c>
      <c r="N13" s="142" t="s">
        <v>144</v>
      </c>
      <c r="O13" s="138" t="s">
        <v>92</v>
      </c>
      <c r="P13" s="142" t="s">
        <v>145</v>
      </c>
      <c r="Q13" s="142"/>
      <c r="R13" s="148" t="s">
        <v>94</v>
      </c>
      <c r="S13" s="148" t="s">
        <v>94</v>
      </c>
      <c r="T13" s="152" t="b">
        <v>1</v>
      </c>
      <c r="U13" s="152" t="b">
        <v>0</v>
      </c>
      <c r="V13" s="152" t="b">
        <v>0</v>
      </c>
      <c r="W13" s="152"/>
      <c r="X13" s="145">
        <f>DATE(2024,10,14)+TIME(11,15,57)</f>
        <v>45579.469409722224</v>
      </c>
      <c r="Y13" s="138" t="s">
        <v>61</v>
      </c>
      <c r="Z13" s="138" t="s">
        <v>95</v>
      </c>
      <c r="AA13" s="138"/>
      <c r="AB13" s="138"/>
      <c r="AC13" s="138"/>
      <c r="AD13" s="138"/>
      <c r="AE13" s="138"/>
      <c r="AF13" s="138"/>
      <c r="AG13" s="138" t="s">
        <v>62</v>
      </c>
      <c r="AH13" s="145">
        <f>DATE(2024,10,14)+TIME(11,16,53)</f>
        <v>45579.470057870371</v>
      </c>
      <c r="AI13" s="138" t="s">
        <v>146</v>
      </c>
      <c r="AJ13" s="138" t="s">
        <v>64</v>
      </c>
      <c r="AK13" s="138" t="s">
        <v>65</v>
      </c>
      <c r="AL13" s="181" t="s">
        <v>61</v>
      </c>
    </row>
    <row r="14" spans="1:38" ht="110" customHeight="1">
      <c r="A14" s="178" t="s">
        <v>147</v>
      </c>
      <c r="B14" s="138" t="s">
        <v>148</v>
      </c>
      <c r="C14" s="138" t="s">
        <v>149</v>
      </c>
      <c r="D14" s="138" t="s">
        <v>150</v>
      </c>
      <c r="E14" s="138" t="s">
        <v>151</v>
      </c>
      <c r="F14" s="138" t="s">
        <v>152</v>
      </c>
      <c r="G14" s="138" t="s">
        <v>103</v>
      </c>
      <c r="H14" s="150" t="s">
        <v>40</v>
      </c>
      <c r="I14" s="150"/>
      <c r="J14" s="150"/>
      <c r="K14" s="150"/>
      <c r="L14" s="184" t="s">
        <v>41</v>
      </c>
      <c r="M14" s="138"/>
      <c r="N14" s="142"/>
      <c r="O14" s="138"/>
      <c r="P14" s="142"/>
      <c r="Q14" s="142"/>
      <c r="R14" s="151" t="b">
        <v>0</v>
      </c>
      <c r="S14" s="152" t="b">
        <v>0</v>
      </c>
      <c r="T14" s="144" t="b">
        <v>1</v>
      </c>
      <c r="U14" s="144" t="b">
        <v>0</v>
      </c>
      <c r="V14" s="144" t="b">
        <v>0</v>
      </c>
      <c r="W14" s="144"/>
      <c r="X14" s="145">
        <f>DATE(2024,10,16)+TIME(10,28,34)</f>
        <v>45581.43650462963</v>
      </c>
      <c r="Y14" s="138" t="s">
        <v>95</v>
      </c>
      <c r="Z14" s="138"/>
      <c r="AA14" s="138"/>
      <c r="AB14" s="138"/>
      <c r="AC14" s="138"/>
      <c r="AD14" s="138"/>
      <c r="AE14" s="138"/>
      <c r="AF14" s="138"/>
      <c r="AG14" s="138" t="s">
        <v>62</v>
      </c>
      <c r="AH14" s="145">
        <f>DATE(2024,10,16)+TIME(10,28,41)</f>
        <v>45581.436585648145</v>
      </c>
      <c r="AI14" s="138" t="s">
        <v>63</v>
      </c>
      <c r="AJ14" s="138" t="s">
        <v>64</v>
      </c>
      <c r="AK14" s="138" t="s">
        <v>65</v>
      </c>
      <c r="AL14" s="181" t="s">
        <v>61</v>
      </c>
    </row>
    <row r="15" spans="1:38" ht="77.25" customHeight="1">
      <c r="A15" s="179" t="s">
        <v>153</v>
      </c>
      <c r="B15" s="155"/>
      <c r="C15" s="165" t="s">
        <v>154</v>
      </c>
      <c r="D15" s="166" t="s">
        <v>155</v>
      </c>
      <c r="E15" s="155"/>
      <c r="F15" s="155"/>
      <c r="G15" s="138"/>
      <c r="H15" s="150" t="s">
        <v>40</v>
      </c>
      <c r="I15" s="150"/>
      <c r="J15" s="150"/>
      <c r="K15" s="150"/>
      <c r="L15" s="184" t="s">
        <v>41</v>
      </c>
      <c r="M15" s="164"/>
      <c r="N15" s="142" t="s">
        <v>42</v>
      </c>
      <c r="O15" s="138"/>
      <c r="P15" s="142"/>
      <c r="Q15" s="142"/>
      <c r="R15" s="167"/>
      <c r="S15" s="168"/>
      <c r="T15" s="144" t="b">
        <v>1</v>
      </c>
      <c r="U15" s="144" t="b">
        <v>0</v>
      </c>
      <c r="V15" s="144" t="b">
        <v>0</v>
      </c>
      <c r="W15" s="144"/>
      <c r="X15" s="169"/>
      <c r="Y15" s="155"/>
      <c r="Z15" s="138"/>
      <c r="AA15" s="138"/>
      <c r="AB15" s="138"/>
      <c r="AC15" s="155"/>
      <c r="AD15" s="155"/>
      <c r="AE15" s="155"/>
      <c r="AF15" s="155"/>
      <c r="AG15" s="155"/>
      <c r="AH15" s="155"/>
      <c r="AI15" s="155"/>
      <c r="AJ15" s="155"/>
      <c r="AK15" s="155"/>
      <c r="AL15" s="182"/>
    </row>
    <row r="16" spans="1:38" ht="77.25" customHeight="1">
      <c r="A16" s="179" t="s">
        <v>156</v>
      </c>
      <c r="B16" s="155"/>
      <c r="C16" s="165" t="s">
        <v>157</v>
      </c>
      <c r="D16" s="166" t="s">
        <v>155</v>
      </c>
      <c r="E16" s="155"/>
      <c r="F16" s="155"/>
      <c r="G16" s="138"/>
      <c r="H16" s="150" t="s">
        <v>40</v>
      </c>
      <c r="I16" s="150"/>
      <c r="J16" s="150"/>
      <c r="K16" s="150"/>
      <c r="L16" s="184" t="s">
        <v>41</v>
      </c>
      <c r="M16" s="164"/>
      <c r="N16" s="142" t="s">
        <v>42</v>
      </c>
      <c r="O16" s="138"/>
      <c r="P16" s="142"/>
      <c r="Q16" s="142"/>
      <c r="R16" s="167"/>
      <c r="S16" s="168"/>
      <c r="T16" s="144" t="b">
        <v>1</v>
      </c>
      <c r="U16" s="144" t="b">
        <v>0</v>
      </c>
      <c r="V16" s="144" t="b">
        <v>0</v>
      </c>
      <c r="W16" s="144"/>
      <c r="X16" s="169"/>
      <c r="Y16" s="155"/>
      <c r="Z16" s="138"/>
      <c r="AA16" s="138"/>
      <c r="AB16" s="138"/>
      <c r="AC16" s="155"/>
      <c r="AD16" s="155"/>
      <c r="AE16" s="155"/>
      <c r="AF16" s="155"/>
      <c r="AG16" s="155"/>
      <c r="AH16" s="155"/>
      <c r="AI16" s="155"/>
      <c r="AJ16" s="155"/>
      <c r="AK16" s="155"/>
      <c r="AL16" s="182"/>
    </row>
    <row r="17" spans="1:38" ht="77.25" customHeight="1">
      <c r="A17" s="179" t="s">
        <v>158</v>
      </c>
      <c r="B17" s="155"/>
      <c r="C17" s="165" t="s">
        <v>159</v>
      </c>
      <c r="D17" s="166" t="s">
        <v>155</v>
      </c>
      <c r="E17" s="155"/>
      <c r="F17" s="155"/>
      <c r="G17" s="138"/>
      <c r="H17" s="150" t="s">
        <v>40</v>
      </c>
      <c r="I17" s="150"/>
      <c r="J17" s="150"/>
      <c r="K17" s="150"/>
      <c r="L17" s="184" t="s">
        <v>41</v>
      </c>
      <c r="M17" s="164"/>
      <c r="N17" s="142" t="s">
        <v>42</v>
      </c>
      <c r="O17" s="138"/>
      <c r="P17" s="142"/>
      <c r="Q17" s="142"/>
      <c r="R17" s="167"/>
      <c r="S17" s="168"/>
      <c r="T17" s="144" t="b">
        <v>1</v>
      </c>
      <c r="U17" s="144" t="b">
        <v>0</v>
      </c>
      <c r="V17" s="144" t="b">
        <v>0</v>
      </c>
      <c r="W17" s="144"/>
      <c r="X17" s="169"/>
      <c r="Y17" s="155"/>
      <c r="Z17" s="138"/>
      <c r="AA17" s="138"/>
      <c r="AB17" s="138"/>
      <c r="AC17" s="155"/>
      <c r="AD17" s="155"/>
      <c r="AE17" s="155"/>
      <c r="AF17" s="155"/>
      <c r="AG17" s="155"/>
      <c r="AH17" s="155"/>
      <c r="AI17" s="155"/>
      <c r="AJ17" s="155"/>
      <c r="AK17" s="155"/>
      <c r="AL17" s="182"/>
    </row>
    <row r="18" spans="1:38" ht="77.25" customHeight="1">
      <c r="A18" s="179" t="s">
        <v>160</v>
      </c>
      <c r="B18" s="155"/>
      <c r="C18" s="165" t="s">
        <v>161</v>
      </c>
      <c r="D18" s="166" t="s">
        <v>155</v>
      </c>
      <c r="E18" s="155"/>
      <c r="F18" s="155"/>
      <c r="G18" s="138"/>
      <c r="H18" s="150" t="s">
        <v>40</v>
      </c>
      <c r="I18" s="150"/>
      <c r="J18" s="150"/>
      <c r="K18" s="150"/>
      <c r="L18" s="184" t="s">
        <v>41</v>
      </c>
      <c r="M18" s="164"/>
      <c r="N18" s="142" t="s">
        <v>42</v>
      </c>
      <c r="O18" s="138"/>
      <c r="P18" s="142"/>
      <c r="Q18" s="142"/>
      <c r="R18" s="167"/>
      <c r="S18" s="168"/>
      <c r="T18" s="144" t="b">
        <v>1</v>
      </c>
      <c r="U18" s="144" t="b">
        <v>0</v>
      </c>
      <c r="V18" s="144" t="b">
        <v>0</v>
      </c>
      <c r="W18" s="144"/>
      <c r="X18" s="169"/>
      <c r="Y18" s="155"/>
      <c r="Z18" s="138"/>
      <c r="AA18" s="138"/>
      <c r="AB18" s="138"/>
      <c r="AC18" s="155"/>
      <c r="AD18" s="155"/>
      <c r="AE18" s="155"/>
      <c r="AF18" s="155"/>
      <c r="AG18" s="155"/>
      <c r="AH18" s="155"/>
      <c r="AI18" s="155"/>
      <c r="AJ18" s="155"/>
      <c r="AK18" s="155"/>
      <c r="AL18" s="182"/>
    </row>
    <row r="19" spans="1:38" ht="77.25" customHeight="1">
      <c r="A19" s="178" t="s">
        <v>162</v>
      </c>
      <c r="B19" s="138" t="s">
        <v>163</v>
      </c>
      <c r="C19" s="138" t="s">
        <v>164</v>
      </c>
      <c r="D19" s="138" t="s">
        <v>155</v>
      </c>
      <c r="E19" s="138" t="s">
        <v>165</v>
      </c>
      <c r="F19" s="138" t="s">
        <v>166</v>
      </c>
      <c r="G19" s="138" t="s">
        <v>167</v>
      </c>
      <c r="H19" s="150"/>
      <c r="I19" s="150"/>
      <c r="J19" s="150"/>
      <c r="K19" s="150"/>
      <c r="L19" s="184" t="s">
        <v>41</v>
      </c>
      <c r="M19" s="138"/>
      <c r="N19" s="142"/>
      <c r="O19" s="138"/>
      <c r="P19" s="142"/>
      <c r="Q19" s="142"/>
      <c r="R19" s="151" t="b">
        <v>0</v>
      </c>
      <c r="S19" s="152" t="b">
        <v>0</v>
      </c>
      <c r="T19" s="144" t="b">
        <v>1</v>
      </c>
      <c r="U19" s="144" t="b">
        <v>0</v>
      </c>
      <c r="V19" s="144" t="b">
        <v>0</v>
      </c>
      <c r="W19" s="144"/>
      <c r="X19" s="145">
        <f>DATE(2024,10,15)+TIME(13,24,0)</f>
        <v>45580.558333333334</v>
      </c>
      <c r="Y19" s="138" t="s">
        <v>95</v>
      </c>
      <c r="Z19" s="138"/>
      <c r="AA19" s="138"/>
      <c r="AB19" s="138"/>
      <c r="AC19" s="138"/>
      <c r="AD19" s="138"/>
      <c r="AE19" s="138"/>
      <c r="AF19" s="138"/>
      <c r="AG19" s="138" t="s">
        <v>62</v>
      </c>
      <c r="AH19" s="145">
        <f>DATE(2024,10,15)+TIME(13,56,0)</f>
        <v>45580.580555555556</v>
      </c>
      <c r="AI19" s="138" t="s">
        <v>96</v>
      </c>
      <c r="AJ19" s="138" t="s">
        <v>64</v>
      </c>
      <c r="AK19" s="138" t="s">
        <v>65</v>
      </c>
      <c r="AL19" s="181" t="s">
        <v>61</v>
      </c>
    </row>
    <row r="20" spans="1:38" ht="77.25" customHeight="1">
      <c r="A20" s="179" t="s">
        <v>168</v>
      </c>
      <c r="B20" s="155"/>
      <c r="C20" s="165" t="s">
        <v>169</v>
      </c>
      <c r="D20" s="166" t="s">
        <v>170</v>
      </c>
      <c r="E20" s="155"/>
      <c r="F20" s="155"/>
      <c r="G20" s="138"/>
      <c r="H20" s="150" t="s">
        <v>40</v>
      </c>
      <c r="I20" s="150"/>
      <c r="J20" s="150"/>
      <c r="K20" s="150"/>
      <c r="L20" s="184" t="s">
        <v>41</v>
      </c>
      <c r="M20" s="164"/>
      <c r="N20" s="142" t="s">
        <v>42</v>
      </c>
      <c r="O20" s="138"/>
      <c r="P20" s="142"/>
      <c r="Q20" s="142"/>
      <c r="R20" s="167"/>
      <c r="S20" s="168"/>
      <c r="T20" s="144" t="b">
        <v>1</v>
      </c>
      <c r="U20" s="144" t="b">
        <v>0</v>
      </c>
      <c r="V20" s="144" t="b">
        <v>0</v>
      </c>
      <c r="W20" s="144"/>
      <c r="X20" s="169"/>
      <c r="Y20" s="155"/>
      <c r="Z20" s="138"/>
      <c r="AA20" s="138"/>
      <c r="AB20" s="138"/>
      <c r="AC20" s="155"/>
      <c r="AD20" s="155"/>
      <c r="AE20" s="155"/>
      <c r="AF20" s="155"/>
      <c r="AG20" s="155"/>
      <c r="AH20" s="155"/>
      <c r="AI20" s="155"/>
      <c r="AJ20" s="155"/>
      <c r="AK20" s="155"/>
      <c r="AL20" s="182"/>
    </row>
    <row r="21" spans="1:38" ht="77.25" customHeight="1">
      <c r="A21" s="177" t="s">
        <v>171</v>
      </c>
      <c r="B21" s="138" t="s">
        <v>172</v>
      </c>
      <c r="C21" s="146" t="s">
        <v>173</v>
      </c>
      <c r="D21" s="138" t="s">
        <v>174</v>
      </c>
      <c r="E21" s="138" t="s">
        <v>175</v>
      </c>
      <c r="F21" s="138" t="s">
        <v>176</v>
      </c>
      <c r="G21" s="138" t="s">
        <v>103</v>
      </c>
      <c r="H21" s="150" t="s">
        <v>104</v>
      </c>
      <c r="I21" s="150"/>
      <c r="J21" s="150"/>
      <c r="K21" s="150"/>
      <c r="L21" s="184" t="s">
        <v>177</v>
      </c>
      <c r="M21" s="138"/>
      <c r="N21" s="142" t="s">
        <v>178</v>
      </c>
      <c r="O21" s="138"/>
      <c r="P21" s="142"/>
      <c r="Q21" s="142"/>
      <c r="R21" s="151" t="b">
        <v>0</v>
      </c>
      <c r="S21" s="152" t="b">
        <v>0</v>
      </c>
      <c r="T21" s="152" t="b">
        <v>1</v>
      </c>
      <c r="U21" s="152" t="b">
        <v>1</v>
      </c>
      <c r="V21" s="152" t="b">
        <v>1</v>
      </c>
      <c r="W21" s="152"/>
      <c r="X21" s="145">
        <f>DATE(2024,10,16)+TIME(13,58,44)</f>
        <v>45581.582453703704</v>
      </c>
      <c r="Y21" s="138" t="s">
        <v>95</v>
      </c>
      <c r="Z21" s="138"/>
      <c r="AA21" s="138"/>
      <c r="AB21" s="138"/>
      <c r="AC21" s="138"/>
      <c r="AD21" s="138"/>
      <c r="AE21" s="138"/>
      <c r="AF21" s="138"/>
      <c r="AG21" s="138" t="s">
        <v>62</v>
      </c>
      <c r="AH21" s="145">
        <f>DATE(2024,10,16)+TIME(13,58,57)</f>
        <v>45581.582604166666</v>
      </c>
      <c r="AI21" s="138" t="s">
        <v>96</v>
      </c>
      <c r="AJ21" s="138" t="s">
        <v>64</v>
      </c>
      <c r="AK21" s="138" t="s">
        <v>65</v>
      </c>
      <c r="AL21" s="181" t="s">
        <v>61</v>
      </c>
    </row>
    <row r="22" spans="1:38" ht="77.25" customHeight="1">
      <c r="A22" s="178" t="s">
        <v>179</v>
      </c>
      <c r="B22" s="138" t="s">
        <v>180</v>
      </c>
      <c r="C22" s="146" t="s">
        <v>181</v>
      </c>
      <c r="D22" s="138" t="s">
        <v>182</v>
      </c>
      <c r="E22" s="138" t="s">
        <v>183</v>
      </c>
      <c r="F22" s="138" t="s">
        <v>184</v>
      </c>
      <c r="G22" s="138" t="s">
        <v>185</v>
      </c>
      <c r="H22" s="150" t="s">
        <v>123</v>
      </c>
      <c r="I22" s="150"/>
      <c r="J22" s="150"/>
      <c r="K22" s="150"/>
      <c r="L22" s="184" t="s">
        <v>56</v>
      </c>
      <c r="M22" s="138" t="s">
        <v>90</v>
      </c>
      <c r="N22" s="142" t="s">
        <v>186</v>
      </c>
      <c r="O22" s="138" t="s">
        <v>92</v>
      </c>
      <c r="P22" s="142"/>
      <c r="Q22" s="142" t="s">
        <v>187</v>
      </c>
      <c r="R22" s="151" t="b">
        <v>1</v>
      </c>
      <c r="S22" s="152" t="b">
        <v>1</v>
      </c>
      <c r="T22" s="152" t="b">
        <v>1</v>
      </c>
      <c r="U22" s="152" t="b">
        <v>1</v>
      </c>
      <c r="V22" s="152" t="b">
        <v>1</v>
      </c>
      <c r="W22" s="152"/>
      <c r="X22" s="145">
        <f>DATE(2024,10,16)+TIME(13,21,24)</f>
        <v>45581.556527777779</v>
      </c>
      <c r="Y22" s="138" t="s">
        <v>61</v>
      </c>
      <c r="Z22" s="138" t="s">
        <v>95</v>
      </c>
      <c r="AA22" s="138"/>
      <c r="AB22" s="138"/>
      <c r="AC22" s="138"/>
      <c r="AD22" s="138"/>
      <c r="AE22" s="138"/>
      <c r="AF22" s="138"/>
      <c r="AG22" s="138" t="s">
        <v>62</v>
      </c>
      <c r="AH22" s="145">
        <f>DATE(2024,10,17)+TIME(13,12,29)</f>
        <v>45582.550335648149</v>
      </c>
      <c r="AI22" s="138" t="s">
        <v>63</v>
      </c>
      <c r="AJ22" s="138" t="s">
        <v>64</v>
      </c>
      <c r="AK22" s="138" t="s">
        <v>65</v>
      </c>
      <c r="AL22" s="181" t="s">
        <v>61</v>
      </c>
    </row>
    <row r="23" spans="1:38" ht="77.25" customHeight="1">
      <c r="A23" s="178" t="s">
        <v>188</v>
      </c>
      <c r="B23" s="138" t="s">
        <v>189</v>
      </c>
      <c r="C23" s="146" t="s">
        <v>190</v>
      </c>
      <c r="D23" s="138" t="s">
        <v>191</v>
      </c>
      <c r="E23" s="138" t="s">
        <v>192</v>
      </c>
      <c r="F23" s="138" t="s">
        <v>193</v>
      </c>
      <c r="G23" s="138" t="s">
        <v>185</v>
      </c>
      <c r="H23" s="150" t="s">
        <v>123</v>
      </c>
      <c r="I23" s="150"/>
      <c r="J23" s="150"/>
      <c r="K23" s="150"/>
      <c r="L23" s="184" t="s">
        <v>56</v>
      </c>
      <c r="M23" s="138" t="s">
        <v>90</v>
      </c>
      <c r="N23" s="142" t="s">
        <v>194</v>
      </c>
      <c r="O23" s="138" t="s">
        <v>92</v>
      </c>
      <c r="P23" s="142" t="s">
        <v>195</v>
      </c>
      <c r="Q23" s="142" t="s">
        <v>187</v>
      </c>
      <c r="R23" s="151" t="b">
        <v>1</v>
      </c>
      <c r="S23" s="157" t="b">
        <v>1</v>
      </c>
      <c r="T23" s="157" t="b">
        <v>1</v>
      </c>
      <c r="U23" s="157" t="b">
        <v>1</v>
      </c>
      <c r="V23" s="157" t="b">
        <v>1</v>
      </c>
      <c r="W23" s="157"/>
      <c r="X23" s="145">
        <f>DATE(2024,10,16)+TIME(13,21,29)</f>
        <v>45581.556585648148</v>
      </c>
      <c r="Y23" s="138" t="s">
        <v>61</v>
      </c>
      <c r="Z23" s="138" t="s">
        <v>95</v>
      </c>
      <c r="AA23" s="138"/>
      <c r="AB23" s="138"/>
      <c r="AC23" s="138"/>
      <c r="AD23" s="138"/>
      <c r="AE23" s="138"/>
      <c r="AF23" s="138"/>
      <c r="AG23" s="138" t="s">
        <v>62</v>
      </c>
      <c r="AH23" s="145">
        <f>DATE(2024,10,17)+TIME(13,12,2)</f>
        <v>45582.550023148149</v>
      </c>
      <c r="AI23" s="138" t="s">
        <v>63</v>
      </c>
      <c r="AJ23" s="138" t="s">
        <v>64</v>
      </c>
      <c r="AK23" s="138" t="s">
        <v>65</v>
      </c>
      <c r="AL23" s="181" t="s">
        <v>61</v>
      </c>
    </row>
    <row r="24" spans="1:38" ht="77.25" customHeight="1">
      <c r="A24" s="178" t="s">
        <v>196</v>
      </c>
      <c r="B24" s="138" t="s">
        <v>197</v>
      </c>
      <c r="C24" s="146" t="s">
        <v>198</v>
      </c>
      <c r="D24" s="138" t="s">
        <v>199</v>
      </c>
      <c r="E24" s="138" t="s">
        <v>85</v>
      </c>
      <c r="F24" s="138" t="s">
        <v>200</v>
      </c>
      <c r="G24" s="138" t="s">
        <v>185</v>
      </c>
      <c r="H24" s="150" t="s">
        <v>123</v>
      </c>
      <c r="I24" s="150"/>
      <c r="J24" s="150"/>
      <c r="K24" s="150"/>
      <c r="L24" s="184" t="s">
        <v>56</v>
      </c>
      <c r="M24" s="138" t="s">
        <v>90</v>
      </c>
      <c r="N24" s="142" t="s">
        <v>201</v>
      </c>
      <c r="O24" s="138" t="s">
        <v>92</v>
      </c>
      <c r="P24" s="142" t="s">
        <v>202</v>
      </c>
      <c r="Q24" s="142" t="s">
        <v>187</v>
      </c>
      <c r="R24" s="151" t="b">
        <v>1</v>
      </c>
      <c r="S24" s="157" t="b">
        <v>1</v>
      </c>
      <c r="T24" s="157" t="b">
        <v>1</v>
      </c>
      <c r="U24" s="157" t="b">
        <v>1</v>
      </c>
      <c r="V24" s="157" t="b">
        <v>0</v>
      </c>
      <c r="W24" s="157"/>
      <c r="X24" s="145">
        <f>DATE(2024,10,15)+TIME(15,47,8)</f>
        <v>45580.657731481479</v>
      </c>
      <c r="Y24" s="138" t="s">
        <v>61</v>
      </c>
      <c r="Z24" s="138" t="s">
        <v>95</v>
      </c>
      <c r="AA24" s="138"/>
      <c r="AB24" s="138"/>
      <c r="AC24" s="138"/>
      <c r="AD24" s="138"/>
      <c r="AE24" s="138"/>
      <c r="AF24" s="138"/>
      <c r="AG24" s="138" t="s">
        <v>62</v>
      </c>
      <c r="AH24" s="145">
        <f>DATE(2024,10,15)+TIME(17,38,59)</f>
        <v>45580.735405092593</v>
      </c>
      <c r="AI24" s="138" t="s">
        <v>63</v>
      </c>
      <c r="AJ24" s="138" t="s">
        <v>64</v>
      </c>
      <c r="AK24" s="138" t="s">
        <v>65</v>
      </c>
      <c r="AL24" s="181" t="s">
        <v>61</v>
      </c>
    </row>
    <row r="25" spans="1:38" ht="77.25" customHeight="1">
      <c r="A25" s="178" t="s">
        <v>203</v>
      </c>
      <c r="B25" s="138" t="s">
        <v>204</v>
      </c>
      <c r="C25" s="138" t="s">
        <v>205</v>
      </c>
      <c r="D25" s="138" t="s">
        <v>206</v>
      </c>
      <c r="E25" s="138" t="s">
        <v>207</v>
      </c>
      <c r="F25" s="138" t="s">
        <v>208</v>
      </c>
      <c r="G25" s="138" t="s">
        <v>209</v>
      </c>
      <c r="H25" s="150" t="s">
        <v>210</v>
      </c>
      <c r="I25" s="203" t="s">
        <v>211</v>
      </c>
      <c r="J25" s="150"/>
      <c r="K25" s="150"/>
      <c r="L25" s="184" t="s">
        <v>142</v>
      </c>
      <c r="M25" s="138" t="s">
        <v>90</v>
      </c>
      <c r="N25" s="142" t="s">
        <v>212</v>
      </c>
      <c r="O25" s="138" t="s">
        <v>92</v>
      </c>
      <c r="P25" s="142"/>
      <c r="Q25" s="142"/>
      <c r="R25" s="151" t="b">
        <v>0</v>
      </c>
      <c r="S25" s="152" t="s">
        <v>94</v>
      </c>
      <c r="T25" s="152" t="b">
        <v>1</v>
      </c>
      <c r="U25" s="152" t="b">
        <v>1</v>
      </c>
      <c r="V25" s="152" t="b">
        <v>1</v>
      </c>
      <c r="W25" s="152"/>
      <c r="X25" s="145">
        <f>DATE(2024,10,16)+TIME(10,21,17)</f>
        <v>45581.431446759256</v>
      </c>
      <c r="Y25" s="138" t="s">
        <v>61</v>
      </c>
      <c r="Z25" s="138" t="s">
        <v>95</v>
      </c>
      <c r="AA25" s="138"/>
      <c r="AB25" s="138"/>
      <c r="AC25" s="138"/>
      <c r="AD25" s="138"/>
      <c r="AE25" s="138"/>
      <c r="AF25" s="138"/>
      <c r="AG25" s="138" t="s">
        <v>62</v>
      </c>
      <c r="AH25" s="145">
        <f>DATE(2024,10,16)+TIME(10,30,39)</f>
        <v>45581.437951388885</v>
      </c>
      <c r="AI25" s="138" t="s">
        <v>63</v>
      </c>
      <c r="AJ25" s="138" t="s">
        <v>64</v>
      </c>
      <c r="AK25" s="138" t="s">
        <v>65</v>
      </c>
      <c r="AL25" s="181" t="s">
        <v>61</v>
      </c>
    </row>
    <row r="26" spans="1:38" ht="77.25" customHeight="1">
      <c r="A26" s="178" t="s">
        <v>213</v>
      </c>
      <c r="B26" s="138" t="s">
        <v>214</v>
      </c>
      <c r="C26" s="138" t="s">
        <v>107</v>
      </c>
      <c r="D26" s="138" t="s">
        <v>215</v>
      </c>
      <c r="E26" s="138" t="s">
        <v>216</v>
      </c>
      <c r="F26" s="138"/>
      <c r="G26" s="138" t="s">
        <v>71</v>
      </c>
      <c r="H26" s="150" t="s">
        <v>55</v>
      </c>
      <c r="I26" s="150" t="s">
        <v>217</v>
      </c>
      <c r="J26" s="150" t="s">
        <v>218</v>
      </c>
      <c r="K26" s="150"/>
      <c r="L26" s="184" t="s">
        <v>56</v>
      </c>
      <c r="M26" s="138" t="s">
        <v>90</v>
      </c>
      <c r="N26" s="142" t="s">
        <v>219</v>
      </c>
      <c r="O26" s="138" t="s">
        <v>220</v>
      </c>
      <c r="P26" s="156" t="s">
        <v>221</v>
      </c>
      <c r="Q26" s="142"/>
      <c r="R26" s="151" t="b">
        <v>1</v>
      </c>
      <c r="S26" s="152" t="b">
        <v>1</v>
      </c>
      <c r="T26" s="152" t="b">
        <v>1</v>
      </c>
      <c r="U26" s="152" t="b">
        <v>1</v>
      </c>
      <c r="V26" s="152" t="b">
        <v>0</v>
      </c>
      <c r="W26" s="152"/>
      <c r="X26" s="145">
        <f>DATE(2024,10,14)+TIME(15,4,39)</f>
        <v>45579.628229166665</v>
      </c>
      <c r="Y26" s="138" t="s">
        <v>61</v>
      </c>
      <c r="Z26" s="138" t="s">
        <v>61</v>
      </c>
      <c r="AA26" s="138" t="s">
        <v>222</v>
      </c>
      <c r="AB26" s="138" t="s">
        <v>61</v>
      </c>
      <c r="AC26" s="138"/>
      <c r="AD26" s="138"/>
      <c r="AE26" s="138"/>
      <c r="AF26" s="138" t="s">
        <v>79</v>
      </c>
      <c r="AG26" s="138" t="s">
        <v>80</v>
      </c>
      <c r="AH26" s="145">
        <f>DATE(2024,10,14)+TIME(16,49,32)</f>
        <v>45579.701064814813</v>
      </c>
      <c r="AI26" s="138"/>
      <c r="AJ26" s="138"/>
      <c r="AK26" s="138" t="s">
        <v>65</v>
      </c>
      <c r="AL26" s="181" t="s">
        <v>61</v>
      </c>
    </row>
    <row r="27" spans="1:38" ht="77.25" customHeight="1">
      <c r="A27" s="178" t="s">
        <v>223</v>
      </c>
      <c r="B27" s="138" t="s">
        <v>224</v>
      </c>
      <c r="C27" s="138" t="s">
        <v>225</v>
      </c>
      <c r="D27" s="138" t="s">
        <v>226</v>
      </c>
      <c r="E27" s="138" t="s">
        <v>227</v>
      </c>
      <c r="F27" s="138" t="s">
        <v>228</v>
      </c>
      <c r="G27" s="138" t="s">
        <v>209</v>
      </c>
      <c r="H27" s="150" t="s">
        <v>210</v>
      </c>
      <c r="I27" s="150" t="s">
        <v>229</v>
      </c>
      <c r="J27" s="150"/>
      <c r="K27" s="150"/>
      <c r="L27" s="184" t="s">
        <v>56</v>
      </c>
      <c r="M27" s="138" t="s">
        <v>105</v>
      </c>
      <c r="N27" s="142" t="s">
        <v>230</v>
      </c>
      <c r="O27" s="138" t="s">
        <v>231</v>
      </c>
      <c r="P27" s="142"/>
      <c r="Q27" s="142"/>
      <c r="R27" s="151" t="b">
        <v>0</v>
      </c>
      <c r="S27" s="152" t="s">
        <v>94</v>
      </c>
      <c r="T27" s="152" t="b">
        <v>1</v>
      </c>
      <c r="U27" s="152" t="b">
        <v>1</v>
      </c>
      <c r="V27" s="152" t="b">
        <v>1</v>
      </c>
      <c r="W27" s="152"/>
      <c r="X27" s="145">
        <f>DATE(2024,10,16)+TIME(11,29,8)</f>
        <v>45581.478564814817</v>
      </c>
      <c r="Y27" s="138" t="s">
        <v>61</v>
      </c>
      <c r="Z27" s="138" t="s">
        <v>95</v>
      </c>
      <c r="AA27" s="138"/>
      <c r="AB27" s="138"/>
      <c r="AC27" s="138"/>
      <c r="AD27" s="138"/>
      <c r="AE27" s="138"/>
      <c r="AF27" s="138"/>
      <c r="AG27" s="138" t="s">
        <v>62</v>
      </c>
      <c r="AH27" s="145">
        <f>DATE(2024,10,16)+TIME(11,56,20)</f>
        <v>45581.497453703705</v>
      </c>
      <c r="AI27" s="138"/>
      <c r="AJ27" s="138" t="s">
        <v>232</v>
      </c>
      <c r="AK27" s="138" t="s">
        <v>65</v>
      </c>
      <c r="AL27" s="181" t="s">
        <v>61</v>
      </c>
    </row>
    <row r="28" spans="1:38" ht="77.25" customHeight="1">
      <c r="A28" s="179" t="s">
        <v>233</v>
      </c>
      <c r="B28" s="155"/>
      <c r="C28" s="165" t="s">
        <v>234</v>
      </c>
      <c r="D28" s="166" t="s">
        <v>235</v>
      </c>
      <c r="E28" s="155"/>
      <c r="F28" s="155"/>
      <c r="G28" s="138"/>
      <c r="H28" s="150" t="s">
        <v>40</v>
      </c>
      <c r="I28" s="150"/>
      <c r="J28" s="150"/>
      <c r="K28" s="150"/>
      <c r="L28" s="184" t="s">
        <v>41</v>
      </c>
      <c r="M28" s="164"/>
      <c r="N28" s="142" t="s">
        <v>42</v>
      </c>
      <c r="O28" s="138"/>
      <c r="P28" s="142"/>
      <c r="Q28" s="142"/>
      <c r="R28" s="167"/>
      <c r="S28" s="168"/>
      <c r="T28" s="144" t="b">
        <v>1</v>
      </c>
      <c r="U28" s="144" t="b">
        <v>0</v>
      </c>
      <c r="V28" s="144" t="b">
        <v>0</v>
      </c>
      <c r="W28" s="144"/>
      <c r="X28" s="169"/>
      <c r="Y28" s="155"/>
      <c r="Z28" s="138"/>
      <c r="AA28" s="138"/>
      <c r="AB28" s="138"/>
      <c r="AC28" s="155"/>
      <c r="AD28" s="155"/>
      <c r="AE28" s="155"/>
      <c r="AF28" s="155"/>
      <c r="AG28" s="155"/>
      <c r="AH28" s="155"/>
      <c r="AI28" s="155"/>
      <c r="AJ28" s="155"/>
      <c r="AK28" s="155"/>
      <c r="AL28" s="182"/>
    </row>
    <row r="29" spans="1:38" ht="77.25" customHeight="1">
      <c r="A29" s="178" t="s">
        <v>236</v>
      </c>
      <c r="B29" s="138" t="s">
        <v>237</v>
      </c>
      <c r="C29" s="146" t="s">
        <v>238</v>
      </c>
      <c r="D29" s="138" t="s">
        <v>239</v>
      </c>
      <c r="E29" s="138" t="s">
        <v>240</v>
      </c>
      <c r="F29" s="158" t="s">
        <v>241</v>
      </c>
      <c r="G29" s="138" t="s">
        <v>87</v>
      </c>
      <c r="H29" s="150" t="s">
        <v>104</v>
      </c>
      <c r="I29" s="150"/>
      <c r="J29" s="150"/>
      <c r="K29" s="150"/>
      <c r="L29" s="184" t="s">
        <v>56</v>
      </c>
      <c r="M29" s="138" t="s">
        <v>105</v>
      </c>
      <c r="N29" s="142" t="s">
        <v>242</v>
      </c>
      <c r="O29" s="138" t="s">
        <v>92</v>
      </c>
      <c r="P29" s="142"/>
      <c r="Q29" s="142"/>
      <c r="R29" s="151" t="s">
        <v>94</v>
      </c>
      <c r="S29" s="152" t="b">
        <v>0</v>
      </c>
      <c r="T29" s="152" t="b">
        <v>1</v>
      </c>
      <c r="U29" s="152" t="b">
        <v>1</v>
      </c>
      <c r="V29" s="152" t="b">
        <v>1</v>
      </c>
      <c r="W29" s="152"/>
      <c r="X29" s="145">
        <f>DATE(2024,10,14)+TIME(11,1,54)</f>
        <v>45579.459652777776</v>
      </c>
      <c r="Y29" s="138" t="s">
        <v>61</v>
      </c>
      <c r="Z29" s="138" t="s">
        <v>95</v>
      </c>
      <c r="AA29" s="138"/>
      <c r="AB29" s="138"/>
      <c r="AC29" s="138"/>
      <c r="AD29" s="138"/>
      <c r="AE29" s="138"/>
      <c r="AF29" s="138"/>
      <c r="AG29" s="138" t="s">
        <v>62</v>
      </c>
      <c r="AH29" s="145">
        <f>DATE(2024,10,14)+TIME(11,2,28)</f>
        <v>45579.460046296299</v>
      </c>
      <c r="AI29" s="138"/>
      <c r="AJ29" s="138" t="s">
        <v>243</v>
      </c>
      <c r="AK29" s="138" t="s">
        <v>65</v>
      </c>
      <c r="AL29" s="181" t="s">
        <v>61</v>
      </c>
    </row>
    <row r="30" spans="1:38" ht="77.25" customHeight="1">
      <c r="A30" s="178" t="s">
        <v>244</v>
      </c>
      <c r="B30" s="138" t="s">
        <v>245</v>
      </c>
      <c r="C30" s="138" t="s">
        <v>246</v>
      </c>
      <c r="D30" s="138" t="s">
        <v>247</v>
      </c>
      <c r="E30" s="138" t="s">
        <v>248</v>
      </c>
      <c r="F30" s="138" t="s">
        <v>249</v>
      </c>
      <c r="G30" s="138" t="s">
        <v>185</v>
      </c>
      <c r="H30" s="150" t="s">
        <v>123</v>
      </c>
      <c r="I30" s="150"/>
      <c r="J30" s="150"/>
      <c r="K30" s="150"/>
      <c r="L30" s="184" t="s">
        <v>89</v>
      </c>
      <c r="M30" s="138" t="s">
        <v>250</v>
      </c>
      <c r="N30" s="142" t="s">
        <v>251</v>
      </c>
      <c r="O30" s="138" t="s">
        <v>92</v>
      </c>
      <c r="P30" s="142" t="s">
        <v>252</v>
      </c>
      <c r="Q30" s="142" t="s">
        <v>187</v>
      </c>
      <c r="R30" s="151" t="b">
        <v>1</v>
      </c>
      <c r="S30" s="157" t="b">
        <v>1</v>
      </c>
      <c r="T30" s="157" t="b">
        <v>1</v>
      </c>
      <c r="U30" s="157" t="b">
        <v>0</v>
      </c>
      <c r="V30" s="157" t="b">
        <v>0</v>
      </c>
      <c r="W30" s="157"/>
      <c r="X30" s="145">
        <f>DATE(2024,10,15)+TIME(11,22,33)</f>
        <v>45580.473993055559</v>
      </c>
      <c r="Y30" s="138" t="s">
        <v>61</v>
      </c>
      <c r="Z30" s="138" t="s">
        <v>95</v>
      </c>
      <c r="AA30" s="138"/>
      <c r="AB30" s="138"/>
      <c r="AC30" s="138"/>
      <c r="AD30" s="138"/>
      <c r="AE30" s="138"/>
      <c r="AF30" s="138"/>
      <c r="AG30" s="138" t="s">
        <v>62</v>
      </c>
      <c r="AH30" s="145">
        <f>DATE(2024,10,15)+TIME(11,23,24)</f>
        <v>45580.474583333336</v>
      </c>
      <c r="AI30" s="138" t="s">
        <v>253</v>
      </c>
      <c r="AJ30" s="138" t="s">
        <v>64</v>
      </c>
      <c r="AK30" s="138" t="s">
        <v>65</v>
      </c>
      <c r="AL30" s="181" t="s">
        <v>61</v>
      </c>
    </row>
    <row r="31" spans="1:38" ht="77.25" customHeight="1">
      <c r="A31" s="178" t="s">
        <v>254</v>
      </c>
      <c r="B31" s="138" t="s">
        <v>255</v>
      </c>
      <c r="C31" s="138" t="s">
        <v>256</v>
      </c>
      <c r="D31" s="138" t="s">
        <v>257</v>
      </c>
      <c r="E31" s="138"/>
      <c r="F31" s="138"/>
      <c r="G31" s="138" t="s">
        <v>103</v>
      </c>
      <c r="H31" s="150" t="s">
        <v>210</v>
      </c>
      <c r="I31" s="150"/>
      <c r="J31" s="150"/>
      <c r="K31" s="150"/>
      <c r="L31" s="184"/>
      <c r="M31" s="138"/>
      <c r="N31" s="142" t="s">
        <v>258</v>
      </c>
      <c r="O31" s="138"/>
      <c r="P31" s="142"/>
      <c r="Q31" s="142"/>
      <c r="R31" s="151" t="b">
        <v>0</v>
      </c>
      <c r="S31" s="152" t="s">
        <v>94</v>
      </c>
      <c r="T31" s="144" t="b">
        <v>1</v>
      </c>
      <c r="U31" s="144" t="b">
        <v>0</v>
      </c>
      <c r="V31" s="144" t="b">
        <v>0</v>
      </c>
      <c r="W31" s="144"/>
      <c r="X31" s="145">
        <f>DATE(2024,10,16)+TIME(15,35,32)</f>
        <v>45581.649675925924</v>
      </c>
      <c r="Y31" s="138" t="s">
        <v>95</v>
      </c>
      <c r="Z31" s="138"/>
      <c r="AA31" s="138"/>
      <c r="AB31" s="138"/>
      <c r="AC31" s="138"/>
      <c r="AD31" s="138"/>
      <c r="AE31" s="138"/>
      <c r="AF31" s="138"/>
      <c r="AG31" s="138" t="s">
        <v>62</v>
      </c>
      <c r="AH31" s="145">
        <f>DATE(2024,10,16)+TIME(15,35,43)</f>
        <v>45581.64980324074</v>
      </c>
      <c r="AI31" s="138" t="s">
        <v>259</v>
      </c>
      <c r="AJ31" s="138" t="s">
        <v>64</v>
      </c>
      <c r="AK31" s="138" t="s">
        <v>65</v>
      </c>
      <c r="AL31" s="181" t="s">
        <v>61</v>
      </c>
    </row>
    <row r="32" spans="1:38" ht="77.25" customHeight="1">
      <c r="A32" s="178" t="s">
        <v>260</v>
      </c>
      <c r="B32" s="138" t="s">
        <v>261</v>
      </c>
      <c r="C32" s="138" t="s">
        <v>262</v>
      </c>
      <c r="D32" s="138" t="s">
        <v>263</v>
      </c>
      <c r="E32" s="138" t="s">
        <v>264</v>
      </c>
      <c r="F32" s="138" t="s">
        <v>265</v>
      </c>
      <c r="G32" s="138" t="s">
        <v>103</v>
      </c>
      <c r="H32" s="150" t="s">
        <v>88</v>
      </c>
      <c r="I32" s="150"/>
      <c r="J32" s="150"/>
      <c r="K32" s="150"/>
      <c r="L32" s="184" t="s">
        <v>142</v>
      </c>
      <c r="M32" s="138"/>
      <c r="N32" s="142"/>
      <c r="O32" s="138"/>
      <c r="P32" s="142" t="s">
        <v>266</v>
      </c>
      <c r="Q32" s="142"/>
      <c r="R32" s="151" t="b">
        <v>1</v>
      </c>
      <c r="S32" s="152" t="b">
        <v>1</v>
      </c>
      <c r="T32" s="152" t="b">
        <v>1</v>
      </c>
      <c r="U32" s="152" t="b">
        <v>0</v>
      </c>
      <c r="V32" s="152" t="b">
        <v>0</v>
      </c>
      <c r="W32" s="152"/>
      <c r="X32" s="145">
        <f>DATE(2024,10,15)+TIME(17,47,39)</f>
        <v>45580.741423611114</v>
      </c>
      <c r="Y32" s="138" t="s">
        <v>95</v>
      </c>
      <c r="Z32" s="138"/>
      <c r="AA32" s="138"/>
      <c r="AB32" s="138"/>
      <c r="AC32" s="138"/>
      <c r="AD32" s="138"/>
      <c r="AE32" s="138"/>
      <c r="AF32" s="138"/>
      <c r="AG32" s="138" t="s">
        <v>62</v>
      </c>
      <c r="AH32" s="145">
        <f>DATE(2024,10,15)+TIME(17,47,51)</f>
        <v>45580.741562499999</v>
      </c>
      <c r="AI32" s="138" t="s">
        <v>96</v>
      </c>
      <c r="AJ32" s="138" t="s">
        <v>64</v>
      </c>
      <c r="AK32" s="138" t="s">
        <v>65</v>
      </c>
      <c r="AL32" s="181" t="s">
        <v>61</v>
      </c>
    </row>
    <row r="33" spans="1:38" ht="77.25" customHeight="1">
      <c r="A33" s="178" t="s">
        <v>267</v>
      </c>
      <c r="B33" s="138" t="s">
        <v>268</v>
      </c>
      <c r="C33" s="138" t="s">
        <v>269</v>
      </c>
      <c r="D33" s="138" t="s">
        <v>270</v>
      </c>
      <c r="E33" s="138" t="s">
        <v>271</v>
      </c>
      <c r="F33" s="158" t="s">
        <v>272</v>
      </c>
      <c r="G33" s="138" t="s">
        <v>209</v>
      </c>
      <c r="H33" s="150" t="s">
        <v>210</v>
      </c>
      <c r="I33" s="203" t="s">
        <v>211</v>
      </c>
      <c r="J33" s="150"/>
      <c r="K33" s="150"/>
      <c r="L33" s="184" t="s">
        <v>142</v>
      </c>
      <c r="M33" s="138" t="s">
        <v>273</v>
      </c>
      <c r="N33" s="142" t="s">
        <v>274</v>
      </c>
      <c r="O33" s="138" t="s">
        <v>275</v>
      </c>
      <c r="P33" s="142"/>
      <c r="Q33" s="142"/>
      <c r="R33" s="151" t="b">
        <v>0</v>
      </c>
      <c r="S33" s="152" t="s">
        <v>94</v>
      </c>
      <c r="T33" s="152" t="b">
        <v>1</v>
      </c>
      <c r="U33" s="152" t="b">
        <v>0</v>
      </c>
      <c r="V33" s="152" t="b">
        <v>0</v>
      </c>
      <c r="W33" s="152"/>
      <c r="X33" s="145">
        <f>DATE(2024,10,15)+TIME(9,35,48)</f>
        <v>45580.399861111109</v>
      </c>
      <c r="Y33" s="138" t="s">
        <v>61</v>
      </c>
      <c r="Z33" s="138" t="s">
        <v>95</v>
      </c>
      <c r="AA33" s="138"/>
      <c r="AB33" s="138"/>
      <c r="AC33" s="138" t="s">
        <v>276</v>
      </c>
      <c r="AD33" s="138"/>
      <c r="AE33" s="138"/>
      <c r="AF33" s="138"/>
      <c r="AG33" s="138" t="s">
        <v>62</v>
      </c>
      <c r="AH33" s="145">
        <f>DATE(2024,10,15)+TIME(17,43,48)</f>
        <v>45580.738749999997</v>
      </c>
      <c r="AI33" s="138"/>
      <c r="AJ33" s="138" t="s">
        <v>277</v>
      </c>
      <c r="AK33" s="138" t="s">
        <v>65</v>
      </c>
      <c r="AL33" s="181" t="s">
        <v>61</v>
      </c>
    </row>
    <row r="34" spans="1:38" ht="77.25" customHeight="1">
      <c r="A34" s="178" t="s">
        <v>278</v>
      </c>
      <c r="B34" s="138" t="s">
        <v>279</v>
      </c>
      <c r="C34" s="138" t="s">
        <v>280</v>
      </c>
      <c r="D34" s="138" t="s">
        <v>281</v>
      </c>
      <c r="E34" s="138" t="s">
        <v>264</v>
      </c>
      <c r="F34" s="138" t="s">
        <v>282</v>
      </c>
      <c r="G34" s="138" t="s">
        <v>167</v>
      </c>
      <c r="H34" s="150"/>
      <c r="I34" s="150"/>
      <c r="J34" s="150"/>
      <c r="K34" s="150"/>
      <c r="L34" s="184" t="s">
        <v>89</v>
      </c>
      <c r="M34" s="138" t="s">
        <v>90</v>
      </c>
      <c r="N34" s="142" t="s">
        <v>283</v>
      </c>
      <c r="O34" s="138" t="s">
        <v>284</v>
      </c>
      <c r="P34" s="142"/>
      <c r="Q34" s="142"/>
      <c r="R34" s="151" t="b">
        <v>0</v>
      </c>
      <c r="S34" s="152" t="b">
        <v>0</v>
      </c>
      <c r="T34" s="144" t="b">
        <v>1</v>
      </c>
      <c r="U34" s="144" t="b">
        <v>0</v>
      </c>
      <c r="V34" s="144" t="b">
        <v>0</v>
      </c>
      <c r="W34" s="144"/>
      <c r="X34" s="145">
        <f>DATE(2024,10,15)+TIME(10,48,25)</f>
        <v>45580.450289351851</v>
      </c>
      <c r="Y34" s="138" t="s">
        <v>61</v>
      </c>
      <c r="Z34" s="138" t="s">
        <v>61</v>
      </c>
      <c r="AA34" s="138" t="s">
        <v>222</v>
      </c>
      <c r="AB34" s="138" t="s">
        <v>61</v>
      </c>
      <c r="AC34" s="138"/>
      <c r="AD34" s="138"/>
      <c r="AE34" s="138"/>
      <c r="AF34" s="138"/>
      <c r="AG34" s="138" t="s">
        <v>62</v>
      </c>
      <c r="AH34" s="145">
        <f>DATE(2024,10,15)+TIME(10,58,54)</f>
        <v>45580.457569444443</v>
      </c>
      <c r="AI34" s="138" t="s">
        <v>285</v>
      </c>
      <c r="AJ34" s="138" t="s">
        <v>64</v>
      </c>
      <c r="AK34" s="138" t="s">
        <v>65</v>
      </c>
      <c r="AL34" s="181" t="s">
        <v>61</v>
      </c>
    </row>
    <row r="35" spans="1:38" ht="77.25" customHeight="1">
      <c r="A35" s="179" t="s">
        <v>286</v>
      </c>
      <c r="B35" s="155"/>
      <c r="C35" s="165" t="s">
        <v>287</v>
      </c>
      <c r="D35" s="166" t="s">
        <v>288</v>
      </c>
      <c r="E35" s="155"/>
      <c r="F35" s="155"/>
      <c r="G35" s="138"/>
      <c r="H35" s="150" t="s">
        <v>40</v>
      </c>
      <c r="I35" s="150"/>
      <c r="J35" s="150"/>
      <c r="K35" s="150"/>
      <c r="L35" s="184" t="s">
        <v>41</v>
      </c>
      <c r="M35" s="164"/>
      <c r="N35" s="142" t="s">
        <v>42</v>
      </c>
      <c r="O35" s="138"/>
      <c r="P35" s="142"/>
      <c r="Q35" s="142"/>
      <c r="R35" s="167"/>
      <c r="S35" s="168"/>
      <c r="T35" s="144" t="b">
        <v>1</v>
      </c>
      <c r="U35" s="144" t="b">
        <v>0</v>
      </c>
      <c r="V35" s="144" t="b">
        <v>0</v>
      </c>
      <c r="W35" s="144"/>
      <c r="X35" s="169"/>
      <c r="Y35" s="155"/>
      <c r="Z35" s="138"/>
      <c r="AA35" s="138"/>
      <c r="AB35" s="138"/>
      <c r="AC35" s="155"/>
      <c r="AD35" s="155"/>
      <c r="AE35" s="155"/>
      <c r="AF35" s="155"/>
      <c r="AG35" s="155"/>
      <c r="AH35" s="155"/>
      <c r="AI35" s="155"/>
      <c r="AJ35" s="155"/>
      <c r="AK35" s="155"/>
      <c r="AL35" s="182"/>
    </row>
    <row r="36" spans="1:38" ht="77.25" customHeight="1">
      <c r="A36" s="179" t="s">
        <v>289</v>
      </c>
      <c r="B36" s="155"/>
      <c r="C36" s="165" t="s">
        <v>290</v>
      </c>
      <c r="D36" s="166" t="s">
        <v>291</v>
      </c>
      <c r="E36" s="155"/>
      <c r="F36" s="155"/>
      <c r="G36" s="138"/>
      <c r="H36" s="150" t="s">
        <v>40</v>
      </c>
      <c r="I36" s="150"/>
      <c r="J36" s="150"/>
      <c r="K36" s="150"/>
      <c r="L36" s="184" t="s">
        <v>41</v>
      </c>
      <c r="M36" s="164"/>
      <c r="N36" s="142" t="s">
        <v>42</v>
      </c>
      <c r="O36" s="138"/>
      <c r="P36" s="142"/>
      <c r="Q36" s="142"/>
      <c r="R36" s="167"/>
      <c r="S36" s="168"/>
      <c r="T36" s="144" t="b">
        <v>1</v>
      </c>
      <c r="U36" s="144" t="b">
        <v>0</v>
      </c>
      <c r="V36" s="144" t="b">
        <v>0</v>
      </c>
      <c r="W36" s="144"/>
      <c r="X36" s="169"/>
      <c r="Y36" s="155"/>
      <c r="Z36" s="138"/>
      <c r="AA36" s="138"/>
      <c r="AB36" s="138"/>
      <c r="AC36" s="155"/>
      <c r="AD36" s="155"/>
      <c r="AE36" s="155"/>
      <c r="AF36" s="155"/>
      <c r="AG36" s="155"/>
      <c r="AH36" s="155"/>
      <c r="AI36" s="155"/>
      <c r="AJ36" s="155"/>
      <c r="AK36" s="155"/>
      <c r="AL36" s="182"/>
    </row>
    <row r="37" spans="1:38" ht="77.25" customHeight="1">
      <c r="A37" s="178" t="s">
        <v>292</v>
      </c>
      <c r="B37" s="138" t="s">
        <v>293</v>
      </c>
      <c r="C37" s="138" t="s">
        <v>294</v>
      </c>
      <c r="D37" s="138" t="s">
        <v>295</v>
      </c>
      <c r="E37" s="138" t="s">
        <v>296</v>
      </c>
      <c r="F37" s="138"/>
      <c r="G37" s="138" t="s">
        <v>71</v>
      </c>
      <c r="H37" s="150" t="s">
        <v>104</v>
      </c>
      <c r="I37" s="150"/>
      <c r="J37" s="150"/>
      <c r="K37" s="150"/>
      <c r="L37" s="184" t="s">
        <v>142</v>
      </c>
      <c r="M37" s="138" t="s">
        <v>90</v>
      </c>
      <c r="N37" s="142" t="s">
        <v>297</v>
      </c>
      <c r="O37" s="138" t="s">
        <v>231</v>
      </c>
      <c r="P37" s="156" t="s">
        <v>298</v>
      </c>
      <c r="Q37" s="142"/>
      <c r="R37" s="151" t="b">
        <v>1</v>
      </c>
      <c r="S37" s="152" t="b">
        <v>1</v>
      </c>
      <c r="T37" s="152" t="b">
        <v>1</v>
      </c>
      <c r="U37" s="152" t="b">
        <v>0</v>
      </c>
      <c r="V37" s="152" t="b">
        <v>0</v>
      </c>
      <c r="W37" s="152"/>
      <c r="X37" s="145">
        <f>DATE(2024,10,14)+TIME(22,20,18)</f>
        <v>45579.930763888886</v>
      </c>
      <c r="Y37" s="138" t="s">
        <v>61</v>
      </c>
      <c r="Z37" s="138" t="s">
        <v>95</v>
      </c>
      <c r="AA37" s="138"/>
      <c r="AB37" s="138"/>
      <c r="AC37" s="138"/>
      <c r="AD37" s="138" t="s">
        <v>299</v>
      </c>
      <c r="AE37" s="138" t="s">
        <v>300</v>
      </c>
      <c r="AF37" s="138" t="s">
        <v>79</v>
      </c>
      <c r="AG37" s="138" t="s">
        <v>80</v>
      </c>
      <c r="AH37" s="145">
        <f>DATE(2024,10,15)+TIME(2,39,18)</f>
        <v>45580.110625000001</v>
      </c>
      <c r="AI37" s="138"/>
      <c r="AJ37" s="138"/>
      <c r="AK37" s="138" t="s">
        <v>65</v>
      </c>
      <c r="AL37" s="181" t="s">
        <v>61</v>
      </c>
    </row>
    <row r="38" spans="1:38" ht="77.25" customHeight="1">
      <c r="A38" s="178" t="s">
        <v>301</v>
      </c>
      <c r="B38" s="138" t="s">
        <v>302</v>
      </c>
      <c r="C38" s="138" t="s">
        <v>303</v>
      </c>
      <c r="D38" s="138" t="s">
        <v>304</v>
      </c>
      <c r="E38" s="138" t="s">
        <v>305</v>
      </c>
      <c r="F38" s="138" t="s">
        <v>306</v>
      </c>
      <c r="G38" s="138" t="s">
        <v>209</v>
      </c>
      <c r="H38" s="150" t="s">
        <v>210</v>
      </c>
      <c r="I38" s="150" t="s">
        <v>211</v>
      </c>
      <c r="J38" s="150"/>
      <c r="K38" s="150"/>
      <c r="L38" s="184" t="s">
        <v>56</v>
      </c>
      <c r="M38" s="138" t="s">
        <v>307</v>
      </c>
      <c r="N38" s="142" t="s">
        <v>308</v>
      </c>
      <c r="O38" s="138" t="s">
        <v>309</v>
      </c>
      <c r="P38" s="142"/>
      <c r="Q38" s="142"/>
      <c r="R38" s="151" t="b">
        <v>0</v>
      </c>
      <c r="S38" s="152" t="s">
        <v>94</v>
      </c>
      <c r="T38" s="152" t="b">
        <v>1</v>
      </c>
      <c r="U38" s="152" t="b">
        <v>1</v>
      </c>
      <c r="V38" s="152" t="b">
        <v>1</v>
      </c>
      <c r="W38" s="152"/>
      <c r="X38" s="145">
        <f>DATE(2024,10,16)+TIME(10,12,31)</f>
        <v>45581.425358796296</v>
      </c>
      <c r="Y38" s="138" t="s">
        <v>61</v>
      </c>
      <c r="Z38" s="138" t="s">
        <v>95</v>
      </c>
      <c r="AA38" s="138"/>
      <c r="AB38" s="138"/>
      <c r="AC38" s="138"/>
      <c r="AD38" s="138"/>
      <c r="AE38" s="138"/>
      <c r="AF38" s="138"/>
      <c r="AG38" s="138" t="s">
        <v>62</v>
      </c>
      <c r="AH38" s="145">
        <f>DATE(2024,10,16)+TIME(10,15,53)</f>
        <v>45581.42769675926</v>
      </c>
      <c r="AI38" s="138" t="s">
        <v>63</v>
      </c>
      <c r="AJ38" s="138" t="s">
        <v>64</v>
      </c>
      <c r="AK38" s="138" t="s">
        <v>65</v>
      </c>
      <c r="AL38" s="181" t="s">
        <v>61</v>
      </c>
    </row>
    <row r="39" spans="1:38" ht="77.25" customHeight="1">
      <c r="A39" s="179" t="s">
        <v>310</v>
      </c>
      <c r="B39" s="155"/>
      <c r="C39" s="165" t="s">
        <v>311</v>
      </c>
      <c r="D39" s="166" t="s">
        <v>312</v>
      </c>
      <c r="E39" s="155"/>
      <c r="F39" s="155"/>
      <c r="G39" s="138"/>
      <c r="H39" s="150" t="s">
        <v>40</v>
      </c>
      <c r="I39" s="150"/>
      <c r="J39" s="150"/>
      <c r="K39" s="150"/>
      <c r="L39" s="184" t="s">
        <v>41</v>
      </c>
      <c r="M39" s="164"/>
      <c r="N39" s="142" t="s">
        <v>42</v>
      </c>
      <c r="O39" s="138"/>
      <c r="P39" s="142"/>
      <c r="Q39" s="142"/>
      <c r="R39" s="167"/>
      <c r="S39" s="168"/>
      <c r="T39" s="144" t="b">
        <v>1</v>
      </c>
      <c r="U39" s="144" t="b">
        <v>0</v>
      </c>
      <c r="V39" s="144" t="b">
        <v>0</v>
      </c>
      <c r="W39" s="144"/>
      <c r="X39" s="169"/>
      <c r="Y39" s="155"/>
      <c r="Z39" s="138"/>
      <c r="AA39" s="138"/>
      <c r="AB39" s="138"/>
      <c r="AC39" s="155"/>
      <c r="AD39" s="155"/>
      <c r="AE39" s="155"/>
      <c r="AF39" s="155"/>
      <c r="AG39" s="155"/>
      <c r="AH39" s="155"/>
      <c r="AI39" s="155"/>
      <c r="AJ39" s="155"/>
      <c r="AK39" s="155"/>
      <c r="AL39" s="182"/>
    </row>
    <row r="40" spans="1:38" ht="77.25" customHeight="1">
      <c r="A40" s="178" t="s">
        <v>313</v>
      </c>
      <c r="B40" s="138" t="s">
        <v>314</v>
      </c>
      <c r="C40" s="138" t="s">
        <v>315</v>
      </c>
      <c r="D40" s="138" t="s">
        <v>316</v>
      </c>
      <c r="E40" s="138" t="s">
        <v>317</v>
      </c>
      <c r="F40" s="138" t="s">
        <v>318</v>
      </c>
      <c r="G40" s="138" t="s">
        <v>209</v>
      </c>
      <c r="H40" s="150" t="s">
        <v>40</v>
      </c>
      <c r="I40" s="150"/>
      <c r="J40" s="150"/>
      <c r="K40" s="150"/>
      <c r="L40" s="184" t="s">
        <v>142</v>
      </c>
      <c r="M40" s="138" t="s">
        <v>124</v>
      </c>
      <c r="N40" s="142" t="s">
        <v>319</v>
      </c>
      <c r="O40" s="138" t="s">
        <v>92</v>
      </c>
      <c r="P40" s="142"/>
      <c r="Q40" s="142"/>
      <c r="R40" s="151" t="b">
        <v>0</v>
      </c>
      <c r="S40" s="152" t="b">
        <v>0</v>
      </c>
      <c r="T40" s="152" t="b">
        <v>1</v>
      </c>
      <c r="U40" s="152" t="b">
        <v>0</v>
      </c>
      <c r="V40" s="152" t="b">
        <v>0</v>
      </c>
      <c r="W40" s="152"/>
      <c r="X40" s="145">
        <f>DATE(2024,10,16)+TIME(12,3,2)</f>
        <v>45581.502106481479</v>
      </c>
      <c r="Y40" s="138" t="s">
        <v>61</v>
      </c>
      <c r="Z40" s="138" t="s">
        <v>95</v>
      </c>
      <c r="AA40" s="138"/>
      <c r="AB40" s="138"/>
      <c r="AC40" s="138"/>
      <c r="AD40" s="138"/>
      <c r="AE40" s="138"/>
      <c r="AF40" s="138"/>
      <c r="AG40" s="138" t="s">
        <v>62</v>
      </c>
      <c r="AH40" s="145">
        <f>DATE(2024,10,16)+TIME(13,42,33)</f>
        <v>45581.571215277778</v>
      </c>
      <c r="AI40" s="138" t="s">
        <v>135</v>
      </c>
      <c r="AJ40" s="138" t="s">
        <v>64</v>
      </c>
      <c r="AK40" s="138" t="s">
        <v>65</v>
      </c>
      <c r="AL40" s="181" t="s">
        <v>61</v>
      </c>
    </row>
    <row r="41" spans="1:38" ht="77.25" customHeight="1">
      <c r="A41" s="178" t="s">
        <v>320</v>
      </c>
      <c r="B41" s="138" t="s">
        <v>321</v>
      </c>
      <c r="C41" s="146" t="s">
        <v>322</v>
      </c>
      <c r="D41" s="138" t="s">
        <v>323</v>
      </c>
      <c r="E41" s="138"/>
      <c r="F41" s="138"/>
      <c r="G41" s="138" t="s">
        <v>71</v>
      </c>
      <c r="H41" s="150" t="s">
        <v>55</v>
      </c>
      <c r="I41" s="150"/>
      <c r="J41" s="150"/>
      <c r="K41" s="150"/>
      <c r="L41" s="184" t="s">
        <v>142</v>
      </c>
      <c r="M41" s="138" t="s">
        <v>90</v>
      </c>
      <c r="N41" s="142" t="s">
        <v>324</v>
      </c>
      <c r="O41" s="138" t="s">
        <v>325</v>
      </c>
      <c r="P41" s="156" t="s">
        <v>326</v>
      </c>
      <c r="Q41" s="142"/>
      <c r="R41" s="151" t="b">
        <v>1</v>
      </c>
      <c r="S41" s="152" t="b">
        <v>1</v>
      </c>
      <c r="T41" s="152" t="b">
        <v>1</v>
      </c>
      <c r="U41" s="152" t="b">
        <v>0</v>
      </c>
      <c r="V41" s="152" t="b">
        <v>0</v>
      </c>
      <c r="W41" s="152"/>
      <c r="X41" s="145">
        <f>DATE(2024,10,15)+TIME(12,33,59)</f>
        <v>45580.523599537039</v>
      </c>
      <c r="Y41" s="138" t="s">
        <v>95</v>
      </c>
      <c r="Z41" s="138"/>
      <c r="AA41" s="138"/>
      <c r="AB41" s="138"/>
      <c r="AC41" s="138"/>
      <c r="AD41" s="138"/>
      <c r="AE41" s="138"/>
      <c r="AF41" s="138" t="s">
        <v>327</v>
      </c>
      <c r="AG41" s="138" t="s">
        <v>80</v>
      </c>
      <c r="AH41" s="145">
        <f>DATE(2024,10,15)+TIME(12,41,56)</f>
        <v>45580.529120370367</v>
      </c>
      <c r="AI41" s="138"/>
      <c r="AJ41" s="138"/>
      <c r="AK41" s="138" t="s">
        <v>65</v>
      </c>
      <c r="AL41" s="181" t="s">
        <v>61</v>
      </c>
    </row>
    <row r="42" spans="1:38" ht="77.25" customHeight="1">
      <c r="A42" s="178" t="s">
        <v>328</v>
      </c>
      <c r="B42" s="138" t="s">
        <v>329</v>
      </c>
      <c r="C42" s="146" t="s">
        <v>330</v>
      </c>
      <c r="D42" s="138" t="s">
        <v>331</v>
      </c>
      <c r="E42" s="138" t="s">
        <v>332</v>
      </c>
      <c r="F42" s="138"/>
      <c r="G42" s="138" t="s">
        <v>71</v>
      </c>
      <c r="H42" s="150" t="s">
        <v>55</v>
      </c>
      <c r="I42" s="150"/>
      <c r="J42" s="150"/>
      <c r="K42" s="150"/>
      <c r="L42" s="184" t="s">
        <v>142</v>
      </c>
      <c r="M42" s="138" t="s">
        <v>90</v>
      </c>
      <c r="N42" s="142" t="s">
        <v>324</v>
      </c>
      <c r="O42" s="138" t="s">
        <v>325</v>
      </c>
      <c r="P42" s="156" t="s">
        <v>333</v>
      </c>
      <c r="Q42" s="142"/>
      <c r="R42" s="151" t="b">
        <v>1</v>
      </c>
      <c r="S42" s="152" t="b">
        <v>1</v>
      </c>
      <c r="T42" s="152" t="b">
        <v>1</v>
      </c>
      <c r="U42" s="152" t="b">
        <v>0</v>
      </c>
      <c r="V42" s="152" t="b">
        <v>0</v>
      </c>
      <c r="W42" s="152"/>
      <c r="X42" s="145">
        <f>DATE(2024,10,15)+TIME(12,33,43)</f>
        <v>45580.523414351854</v>
      </c>
      <c r="Y42" s="138" t="s">
        <v>95</v>
      </c>
      <c r="Z42" s="138"/>
      <c r="AA42" s="138"/>
      <c r="AB42" s="138"/>
      <c r="AC42" s="138"/>
      <c r="AD42" s="138"/>
      <c r="AE42" s="138"/>
      <c r="AF42" s="138" t="s">
        <v>79</v>
      </c>
      <c r="AG42" s="138" t="s">
        <v>80</v>
      </c>
      <c r="AH42" s="145">
        <f>DATE(2024,10,15)+TIME(12,39,34)</f>
        <v>45580.52747685185</v>
      </c>
      <c r="AI42" s="138"/>
      <c r="AJ42" s="138"/>
      <c r="AK42" s="138" t="s">
        <v>65</v>
      </c>
      <c r="AL42" s="181" t="s">
        <v>61</v>
      </c>
    </row>
    <row r="43" spans="1:38" ht="77.25" customHeight="1">
      <c r="A43" s="178" t="s">
        <v>334</v>
      </c>
      <c r="B43" s="138" t="s">
        <v>335</v>
      </c>
      <c r="C43" s="138" t="s">
        <v>336</v>
      </c>
      <c r="D43" s="138" t="s">
        <v>337</v>
      </c>
      <c r="E43" s="138" t="s">
        <v>338</v>
      </c>
      <c r="F43" s="138" t="s">
        <v>339</v>
      </c>
      <c r="G43" s="138" t="s">
        <v>103</v>
      </c>
      <c r="H43" s="150"/>
      <c r="I43" s="150"/>
      <c r="J43" s="150"/>
      <c r="K43" s="150"/>
      <c r="L43" s="184"/>
      <c r="M43" s="138"/>
      <c r="N43" s="142"/>
      <c r="O43" s="138"/>
      <c r="P43" s="142"/>
      <c r="Q43" s="142"/>
      <c r="R43" s="151" t="b">
        <v>0</v>
      </c>
      <c r="S43" s="152" t="b">
        <v>0</v>
      </c>
      <c r="T43" s="144" t="b">
        <v>1</v>
      </c>
      <c r="U43" s="144" t="b">
        <v>0</v>
      </c>
      <c r="V43" s="144" t="b">
        <v>0</v>
      </c>
      <c r="W43" s="144"/>
      <c r="X43" s="145">
        <f>DATE(2024,10,16)+TIME(13,59,12)</f>
        <v>45581.582777777781</v>
      </c>
      <c r="Y43" s="138" t="s">
        <v>95</v>
      </c>
      <c r="Z43" s="138"/>
      <c r="AA43" s="138"/>
      <c r="AB43" s="138"/>
      <c r="AC43" s="138"/>
      <c r="AD43" s="138"/>
      <c r="AE43" s="138"/>
      <c r="AF43" s="138"/>
      <c r="AG43" s="138" t="s">
        <v>62</v>
      </c>
      <c r="AH43" s="145">
        <f>DATE(2024,10,16)+TIME(13,59,21)</f>
        <v>45581.582881944443</v>
      </c>
      <c r="AI43" s="138" t="s">
        <v>259</v>
      </c>
      <c r="AJ43" s="138" t="s">
        <v>64</v>
      </c>
      <c r="AK43" s="138" t="s">
        <v>65</v>
      </c>
      <c r="AL43" s="181" t="s">
        <v>61</v>
      </c>
    </row>
    <row r="44" spans="1:38" ht="77.25" customHeight="1">
      <c r="A44" s="178" t="s">
        <v>340</v>
      </c>
      <c r="B44" s="138" t="s">
        <v>341</v>
      </c>
      <c r="C44" s="138" t="s">
        <v>342</v>
      </c>
      <c r="D44" s="138" t="s">
        <v>343</v>
      </c>
      <c r="E44" s="138" t="s">
        <v>344</v>
      </c>
      <c r="F44" s="138" t="s">
        <v>345</v>
      </c>
      <c r="G44" s="138" t="s">
        <v>209</v>
      </c>
      <c r="H44" s="150" t="s">
        <v>40</v>
      </c>
      <c r="I44" s="150"/>
      <c r="J44" s="150"/>
      <c r="K44" s="150"/>
      <c r="L44" s="184" t="s">
        <v>89</v>
      </c>
      <c r="M44" s="138" t="s">
        <v>90</v>
      </c>
      <c r="N44" s="159" t="s">
        <v>346</v>
      </c>
      <c r="O44" s="138" t="s">
        <v>92</v>
      </c>
      <c r="P44" s="142" t="s">
        <v>347</v>
      </c>
      <c r="Q44" s="142"/>
      <c r="R44" s="151" t="b">
        <v>0</v>
      </c>
      <c r="S44" s="152" t="b">
        <v>0</v>
      </c>
      <c r="T44" s="144" t="b">
        <v>1</v>
      </c>
      <c r="U44" s="144" t="b">
        <v>0</v>
      </c>
      <c r="V44" s="144" t="b">
        <v>0</v>
      </c>
      <c r="W44" s="144"/>
      <c r="X44" s="145">
        <f>DATE(2024,10,16)+TIME(10,7,12)</f>
        <v>45581.421666666669</v>
      </c>
      <c r="Y44" s="138" t="s">
        <v>61</v>
      </c>
      <c r="Z44" s="138" t="s">
        <v>95</v>
      </c>
      <c r="AA44" s="138"/>
      <c r="AB44" s="138"/>
      <c r="AC44" s="138"/>
      <c r="AD44" s="138"/>
      <c r="AE44" s="138"/>
      <c r="AF44" s="138"/>
      <c r="AG44" s="138" t="s">
        <v>62</v>
      </c>
      <c r="AH44" s="145">
        <f>DATE(2024,10,16)+TIME(10,32,37)</f>
        <v>45581.439317129632</v>
      </c>
      <c r="AI44" s="138" t="s">
        <v>135</v>
      </c>
      <c r="AJ44" s="138" t="s">
        <v>64</v>
      </c>
      <c r="AK44" s="138" t="s">
        <v>65</v>
      </c>
      <c r="AL44" s="181" t="s">
        <v>61</v>
      </c>
    </row>
    <row r="45" spans="1:38" ht="77.25" customHeight="1">
      <c r="A45" s="178" t="s">
        <v>348</v>
      </c>
      <c r="B45" s="138" t="s">
        <v>349</v>
      </c>
      <c r="C45" s="138" t="s">
        <v>350</v>
      </c>
      <c r="D45" s="138" t="s">
        <v>351</v>
      </c>
      <c r="E45" s="138" t="s">
        <v>352</v>
      </c>
      <c r="F45" s="138" t="s">
        <v>353</v>
      </c>
      <c r="G45" s="138" t="s">
        <v>103</v>
      </c>
      <c r="H45" s="150" t="s">
        <v>210</v>
      </c>
      <c r="I45" s="203" t="s">
        <v>211</v>
      </c>
      <c r="J45" s="150"/>
      <c r="K45" s="150"/>
      <c r="L45" s="184" t="s">
        <v>142</v>
      </c>
      <c r="M45" s="138" t="s">
        <v>90</v>
      </c>
      <c r="N45" s="142"/>
      <c r="O45" s="138" t="s">
        <v>354</v>
      </c>
      <c r="P45" s="142"/>
      <c r="Q45" s="142"/>
      <c r="R45" s="151" t="b">
        <v>0</v>
      </c>
      <c r="S45" s="152" t="s">
        <v>94</v>
      </c>
      <c r="T45" s="152" t="b">
        <v>1</v>
      </c>
      <c r="U45" s="152" t="b">
        <v>0</v>
      </c>
      <c r="V45" s="152" t="b">
        <v>0</v>
      </c>
      <c r="W45" s="152"/>
      <c r="X45" s="145">
        <f>DATE(2024,10,15)+TIME(10,9,53)</f>
        <v>45580.423530092594</v>
      </c>
      <c r="Y45" s="138" t="s">
        <v>61</v>
      </c>
      <c r="Z45" s="138" t="s">
        <v>95</v>
      </c>
      <c r="AA45" s="138"/>
      <c r="AB45" s="138"/>
      <c r="AC45" s="138"/>
      <c r="AD45" s="138"/>
      <c r="AE45" s="138"/>
      <c r="AF45" s="138"/>
      <c r="AG45" s="138" t="s">
        <v>62</v>
      </c>
      <c r="AH45" s="145">
        <f>DATE(2024,10,15)+TIME(11,23,11)</f>
        <v>45580.474432870367</v>
      </c>
      <c r="AI45" s="138" t="s">
        <v>63</v>
      </c>
      <c r="AJ45" s="138" t="s">
        <v>64</v>
      </c>
      <c r="AK45" s="138" t="s">
        <v>65</v>
      </c>
      <c r="AL45" s="181" t="s">
        <v>61</v>
      </c>
    </row>
    <row r="46" spans="1:38" ht="77.25" customHeight="1">
      <c r="A46" s="178" t="s">
        <v>355</v>
      </c>
      <c r="B46" s="138" t="s">
        <v>356</v>
      </c>
      <c r="C46" s="146" t="s">
        <v>357</v>
      </c>
      <c r="D46" s="138" t="s">
        <v>358</v>
      </c>
      <c r="E46" s="138" t="s">
        <v>52</v>
      </c>
      <c r="F46" s="138" t="s">
        <v>359</v>
      </c>
      <c r="G46" s="138" t="s">
        <v>185</v>
      </c>
      <c r="H46" s="150" t="s">
        <v>123</v>
      </c>
      <c r="I46" s="150"/>
      <c r="J46" s="150"/>
      <c r="K46" s="150"/>
      <c r="L46" s="184" t="s">
        <v>41</v>
      </c>
      <c r="M46" s="138" t="s">
        <v>360</v>
      </c>
      <c r="N46" s="142" t="s">
        <v>361</v>
      </c>
      <c r="O46" s="138" t="s">
        <v>92</v>
      </c>
      <c r="P46" s="142" t="s">
        <v>362</v>
      </c>
      <c r="Q46" s="142" t="s">
        <v>187</v>
      </c>
      <c r="R46" s="151" t="b">
        <v>1</v>
      </c>
      <c r="S46" s="157" t="b">
        <v>1</v>
      </c>
      <c r="T46" s="144" t="b">
        <v>1</v>
      </c>
      <c r="U46" s="144" t="b">
        <v>0</v>
      </c>
      <c r="V46" s="144" t="b">
        <v>0</v>
      </c>
      <c r="W46" s="144"/>
      <c r="X46" s="145">
        <f>DATE(2024,10,15)+TIME(15,35,43)</f>
        <v>45580.64980324074</v>
      </c>
      <c r="Y46" s="138" t="s">
        <v>61</v>
      </c>
      <c r="Z46" s="138" t="s">
        <v>95</v>
      </c>
      <c r="AA46" s="138"/>
      <c r="AB46" s="138"/>
      <c r="AC46" s="138" t="s">
        <v>359</v>
      </c>
      <c r="AD46" s="138"/>
      <c r="AE46" s="138"/>
      <c r="AF46" s="138"/>
      <c r="AG46" s="138" t="s">
        <v>62</v>
      </c>
      <c r="AH46" s="145">
        <f>DATE(2024,10,15)+TIME(17,44,1)</f>
        <v>45580.738900462966</v>
      </c>
      <c r="AI46" s="138" t="s">
        <v>63</v>
      </c>
      <c r="AJ46" s="138" t="s">
        <v>64</v>
      </c>
      <c r="AK46" s="138" t="s">
        <v>65</v>
      </c>
      <c r="AL46" s="181" t="s">
        <v>61</v>
      </c>
    </row>
    <row r="47" spans="1:38" ht="77.25" customHeight="1">
      <c r="A47" s="177" t="s">
        <v>363</v>
      </c>
      <c r="B47" s="138" t="s">
        <v>364</v>
      </c>
      <c r="C47" s="146" t="s">
        <v>365</v>
      </c>
      <c r="D47" s="138" t="s">
        <v>366</v>
      </c>
      <c r="E47" s="138" t="s">
        <v>367</v>
      </c>
      <c r="F47" s="138" t="s">
        <v>368</v>
      </c>
      <c r="G47" s="138" t="s">
        <v>103</v>
      </c>
      <c r="H47" s="150" t="s">
        <v>104</v>
      </c>
      <c r="I47" s="150"/>
      <c r="J47" s="150"/>
      <c r="K47" s="150"/>
      <c r="L47" s="184" t="s">
        <v>177</v>
      </c>
      <c r="M47" s="138" t="s">
        <v>90</v>
      </c>
      <c r="N47" s="142" t="s">
        <v>369</v>
      </c>
      <c r="O47" s="138" t="s">
        <v>231</v>
      </c>
      <c r="P47" s="142"/>
      <c r="Q47" s="142"/>
      <c r="R47" s="151" t="b">
        <v>0</v>
      </c>
      <c r="S47" s="152" t="b">
        <v>0</v>
      </c>
      <c r="T47" s="152" t="b">
        <v>1</v>
      </c>
      <c r="U47" s="152" t="b">
        <v>1</v>
      </c>
      <c r="V47" s="152" t="b">
        <v>1</v>
      </c>
      <c r="W47" s="152"/>
      <c r="X47" s="145">
        <f>DATE(2024,10,15)+TIME(8,6,27)</f>
        <v>45580.337812500002</v>
      </c>
      <c r="Y47" s="138" t="s">
        <v>61</v>
      </c>
      <c r="Z47" s="138" t="s">
        <v>61</v>
      </c>
      <c r="AA47" s="138" t="s">
        <v>108</v>
      </c>
      <c r="AB47" s="138" t="s">
        <v>61</v>
      </c>
      <c r="AC47" s="138"/>
      <c r="AD47" s="138"/>
      <c r="AE47" s="138"/>
      <c r="AF47" s="138"/>
      <c r="AG47" s="138" t="s">
        <v>62</v>
      </c>
      <c r="AH47" s="145">
        <f>DATE(2024,10,15)+TIME(8,8,31)</f>
        <v>45580.339247685188</v>
      </c>
      <c r="AI47" s="138" t="s">
        <v>370</v>
      </c>
      <c r="AJ47" s="138" t="s">
        <v>64</v>
      </c>
      <c r="AK47" s="138" t="s">
        <v>65</v>
      </c>
      <c r="AL47" s="181" t="s">
        <v>61</v>
      </c>
    </row>
    <row r="48" spans="1:38" ht="77.25" customHeight="1">
      <c r="A48" s="178" t="s">
        <v>371</v>
      </c>
      <c r="B48" s="138" t="s">
        <v>372</v>
      </c>
      <c r="C48" s="138" t="s">
        <v>373</v>
      </c>
      <c r="D48" s="138" t="s">
        <v>374</v>
      </c>
      <c r="E48" s="138" t="s">
        <v>375</v>
      </c>
      <c r="F48" s="138" t="s">
        <v>376</v>
      </c>
      <c r="G48" s="138" t="s">
        <v>87</v>
      </c>
      <c r="H48" s="150" t="s">
        <v>88</v>
      </c>
      <c r="I48" s="150"/>
      <c r="J48" s="150"/>
      <c r="K48" s="150"/>
      <c r="L48" s="184" t="s">
        <v>89</v>
      </c>
      <c r="M48" s="138" t="s">
        <v>57</v>
      </c>
      <c r="N48" s="142" t="s">
        <v>377</v>
      </c>
      <c r="O48" s="138" t="s">
        <v>92</v>
      </c>
      <c r="P48" s="142" t="s">
        <v>93</v>
      </c>
      <c r="Q48" s="142"/>
      <c r="R48" s="151" t="s">
        <v>94</v>
      </c>
      <c r="S48" s="148" t="s">
        <v>94</v>
      </c>
      <c r="T48" s="144" t="b">
        <v>1</v>
      </c>
      <c r="U48" s="144" t="b">
        <v>0</v>
      </c>
      <c r="V48" s="144" t="b">
        <v>0</v>
      </c>
      <c r="W48" s="144"/>
      <c r="X48" s="145">
        <f>DATE(2024,10,15)+TIME(13,4,27)</f>
        <v>45580.544756944444</v>
      </c>
      <c r="Y48" s="138" t="s">
        <v>61</v>
      </c>
      <c r="Z48" s="138" t="s">
        <v>95</v>
      </c>
      <c r="AA48" s="138"/>
      <c r="AB48" s="138"/>
      <c r="AC48" s="138"/>
      <c r="AD48" s="138"/>
      <c r="AE48" s="138"/>
      <c r="AF48" s="138"/>
      <c r="AG48" s="138" t="s">
        <v>62</v>
      </c>
      <c r="AH48" s="145">
        <f>DATE(2024,10,15)+TIME(13,4,41)</f>
        <v>45580.544918981483</v>
      </c>
      <c r="AI48" s="138" t="s">
        <v>135</v>
      </c>
      <c r="AJ48" s="138" t="s">
        <v>64</v>
      </c>
      <c r="AK48" s="138" t="s">
        <v>65</v>
      </c>
      <c r="AL48" s="181" t="s">
        <v>61</v>
      </c>
    </row>
    <row r="49" spans="1:38" ht="77.25" customHeight="1">
      <c r="A49" s="178" t="s">
        <v>378</v>
      </c>
      <c r="B49" s="138" t="s">
        <v>379</v>
      </c>
      <c r="C49" s="138"/>
      <c r="D49" s="138" t="s">
        <v>380</v>
      </c>
      <c r="E49" s="138" t="s">
        <v>381</v>
      </c>
      <c r="F49" s="138"/>
      <c r="G49" s="138" t="s">
        <v>71</v>
      </c>
      <c r="H49" s="150" t="s">
        <v>55</v>
      </c>
      <c r="I49" s="150"/>
      <c r="J49" s="150"/>
      <c r="K49" s="150"/>
      <c r="L49" s="184" t="s">
        <v>89</v>
      </c>
      <c r="M49" s="138" t="s">
        <v>382</v>
      </c>
      <c r="N49" s="142" t="s">
        <v>383</v>
      </c>
      <c r="O49" s="138" t="s">
        <v>231</v>
      </c>
      <c r="P49" s="156" t="s">
        <v>384</v>
      </c>
      <c r="Q49" s="142"/>
      <c r="R49" s="151" t="b">
        <v>1</v>
      </c>
      <c r="S49" s="152" t="b">
        <v>1</v>
      </c>
      <c r="T49" s="144" t="b">
        <v>1</v>
      </c>
      <c r="U49" s="144" t="b">
        <v>0</v>
      </c>
      <c r="V49" s="144" t="b">
        <v>0</v>
      </c>
      <c r="W49" s="144"/>
      <c r="X49" s="145">
        <f>DATE(2024,10,15)+TIME(14,58,45)</f>
        <v>45580.624131944445</v>
      </c>
      <c r="Y49" s="138" t="s">
        <v>61</v>
      </c>
      <c r="Z49" s="138" t="s">
        <v>95</v>
      </c>
      <c r="AA49" s="138"/>
      <c r="AB49" s="138"/>
      <c r="AC49" s="138"/>
      <c r="AD49" s="138"/>
      <c r="AE49" s="138"/>
      <c r="AF49" s="138" t="s">
        <v>79</v>
      </c>
      <c r="AG49" s="138" t="s">
        <v>80</v>
      </c>
      <c r="AH49" s="145">
        <f>DATE(2024,10,15)+TIME(17,21,57)</f>
        <v>45580.723576388889</v>
      </c>
      <c r="AI49" s="138"/>
      <c r="AJ49" s="138"/>
      <c r="AK49" s="138" t="s">
        <v>65</v>
      </c>
      <c r="AL49" s="181" t="s">
        <v>61</v>
      </c>
    </row>
    <row r="50" spans="1:38" ht="77.25" customHeight="1">
      <c r="A50" s="178" t="s">
        <v>385</v>
      </c>
      <c r="B50" s="138" t="s">
        <v>386</v>
      </c>
      <c r="C50" s="138" t="s">
        <v>387</v>
      </c>
      <c r="D50" s="138" t="s">
        <v>380</v>
      </c>
      <c r="E50" s="138" t="s">
        <v>296</v>
      </c>
      <c r="F50" s="138" t="s">
        <v>388</v>
      </c>
      <c r="G50" s="138" t="s">
        <v>209</v>
      </c>
      <c r="H50" s="150" t="s">
        <v>55</v>
      </c>
      <c r="I50" s="150"/>
      <c r="J50" s="150"/>
      <c r="K50" s="150"/>
      <c r="L50" s="184" t="s">
        <v>41</v>
      </c>
      <c r="M50" s="138" t="s">
        <v>90</v>
      </c>
      <c r="N50" s="142"/>
      <c r="O50" s="138" t="s">
        <v>92</v>
      </c>
      <c r="P50" s="142" t="s">
        <v>389</v>
      </c>
      <c r="Q50" s="142"/>
      <c r="R50" s="151" t="b">
        <v>1</v>
      </c>
      <c r="S50" s="152" t="b">
        <v>1</v>
      </c>
      <c r="T50" s="144" t="b">
        <v>1</v>
      </c>
      <c r="U50" s="144" t="b">
        <v>0</v>
      </c>
      <c r="V50" s="144" t="b">
        <v>0</v>
      </c>
      <c r="W50" s="144"/>
      <c r="X50" s="145">
        <f>DATE(2024,10,15)+TIME(10,39,45)</f>
        <v>45580.44427083333</v>
      </c>
      <c r="Y50" s="138" t="s">
        <v>61</v>
      </c>
      <c r="Z50" s="138" t="s">
        <v>95</v>
      </c>
      <c r="AA50" s="138"/>
      <c r="AB50" s="138"/>
      <c r="AC50" s="138"/>
      <c r="AD50" s="138"/>
      <c r="AE50" s="138"/>
      <c r="AF50" s="138"/>
      <c r="AG50" s="138" t="s">
        <v>62</v>
      </c>
      <c r="AH50" s="145">
        <f>DATE(2024,10,15)+TIME(17,43,48)</f>
        <v>45580.738749999997</v>
      </c>
      <c r="AI50" s="138" t="s">
        <v>390</v>
      </c>
      <c r="AJ50" s="138" t="s">
        <v>64</v>
      </c>
      <c r="AK50" s="138" t="s">
        <v>65</v>
      </c>
      <c r="AL50" s="181" t="s">
        <v>61</v>
      </c>
    </row>
    <row r="51" spans="1:38" ht="77.25" customHeight="1">
      <c r="A51" s="178" t="s">
        <v>391</v>
      </c>
      <c r="B51" s="138" t="s">
        <v>392</v>
      </c>
      <c r="C51" s="138" t="s">
        <v>393</v>
      </c>
      <c r="D51" s="138" t="s">
        <v>380</v>
      </c>
      <c r="E51" s="138" t="s">
        <v>394</v>
      </c>
      <c r="F51" s="138" t="s">
        <v>395</v>
      </c>
      <c r="G51" s="138" t="s">
        <v>167</v>
      </c>
      <c r="H51" s="150" t="s">
        <v>55</v>
      </c>
      <c r="I51" s="150"/>
      <c r="J51" s="150"/>
      <c r="K51" s="150"/>
      <c r="L51" s="184" t="s">
        <v>41</v>
      </c>
      <c r="M51" s="138"/>
      <c r="N51" s="142"/>
      <c r="O51" s="138"/>
      <c r="P51" s="142" t="s">
        <v>389</v>
      </c>
      <c r="Q51" s="142"/>
      <c r="R51" s="151" t="b">
        <v>1</v>
      </c>
      <c r="S51" s="152" t="b">
        <v>1</v>
      </c>
      <c r="T51" s="144" t="b">
        <v>1</v>
      </c>
      <c r="U51" s="144" t="b">
        <v>0</v>
      </c>
      <c r="V51" s="144" t="b">
        <v>0</v>
      </c>
      <c r="W51" s="144"/>
      <c r="X51" s="145">
        <f>DATE(2024,10,15)+TIME(10,39,55)</f>
        <v>45580.444386574076</v>
      </c>
      <c r="Y51" s="138" t="s">
        <v>95</v>
      </c>
      <c r="Z51" s="138"/>
      <c r="AA51" s="138"/>
      <c r="AB51" s="138"/>
      <c r="AC51" s="138"/>
      <c r="AD51" s="138"/>
      <c r="AE51" s="138"/>
      <c r="AF51" s="138"/>
      <c r="AG51" s="138" t="s">
        <v>62</v>
      </c>
      <c r="AH51" s="145">
        <f>DATE(2024,10,15)+TIME(10,39,58)</f>
        <v>45580.444421296299</v>
      </c>
      <c r="AI51" s="138"/>
      <c r="AJ51" s="138" t="s">
        <v>232</v>
      </c>
      <c r="AK51" s="138" t="s">
        <v>65</v>
      </c>
      <c r="AL51" s="181" t="s">
        <v>61</v>
      </c>
    </row>
    <row r="52" spans="1:38" ht="77.25" customHeight="1">
      <c r="A52" s="178" t="s">
        <v>396</v>
      </c>
      <c r="B52" s="138" t="s">
        <v>397</v>
      </c>
      <c r="C52" s="138" t="s">
        <v>398</v>
      </c>
      <c r="D52" s="138" t="s">
        <v>399</v>
      </c>
      <c r="E52" s="138" t="s">
        <v>400</v>
      </c>
      <c r="F52" s="138"/>
      <c r="G52" s="138" t="s">
        <v>71</v>
      </c>
      <c r="H52" s="150" t="s">
        <v>55</v>
      </c>
      <c r="I52" s="150" t="s">
        <v>73</v>
      </c>
      <c r="J52" s="150" t="s">
        <v>218</v>
      </c>
      <c r="K52" s="150"/>
      <c r="L52" s="184" t="s">
        <v>142</v>
      </c>
      <c r="M52" s="138" t="s">
        <v>90</v>
      </c>
      <c r="N52" s="142" t="s">
        <v>401</v>
      </c>
      <c r="O52" s="138"/>
      <c r="P52" s="156" t="s">
        <v>402</v>
      </c>
      <c r="Q52" s="142"/>
      <c r="R52" s="151" t="b">
        <v>1</v>
      </c>
      <c r="S52" s="152" t="b">
        <v>1</v>
      </c>
      <c r="T52" s="152" t="b">
        <v>1</v>
      </c>
      <c r="U52" s="152" t="b">
        <v>0</v>
      </c>
      <c r="V52" s="152" t="b">
        <v>0</v>
      </c>
      <c r="W52" s="152"/>
      <c r="X52" s="145">
        <f>DATE(2024,10,15)+TIME(12,5,34)</f>
        <v>45580.503865740742</v>
      </c>
      <c r="Y52" s="138" t="s">
        <v>95</v>
      </c>
      <c r="Z52" s="138"/>
      <c r="AA52" s="138"/>
      <c r="AB52" s="138"/>
      <c r="AC52" s="138"/>
      <c r="AD52" s="138"/>
      <c r="AE52" s="138"/>
      <c r="AF52" s="138" t="s">
        <v>79</v>
      </c>
      <c r="AG52" s="138" t="s">
        <v>80</v>
      </c>
      <c r="AH52" s="145">
        <f>DATE(2024,10,15)+TIME(12,12,31)</f>
        <v>45580.508692129632</v>
      </c>
      <c r="AI52" s="138"/>
      <c r="AJ52" s="138"/>
      <c r="AK52" s="138" t="s">
        <v>65</v>
      </c>
      <c r="AL52" s="181" t="s">
        <v>61</v>
      </c>
    </row>
    <row r="53" spans="1:38" ht="77.25" customHeight="1">
      <c r="A53" s="179" t="s">
        <v>403</v>
      </c>
      <c r="B53" s="155"/>
      <c r="C53" s="165" t="s">
        <v>404</v>
      </c>
      <c r="D53" s="166" t="s">
        <v>405</v>
      </c>
      <c r="E53" s="155"/>
      <c r="F53" s="155"/>
      <c r="G53" s="138"/>
      <c r="H53" s="150" t="s">
        <v>40</v>
      </c>
      <c r="I53" s="150"/>
      <c r="J53" s="150"/>
      <c r="K53" s="150"/>
      <c r="L53" s="184" t="s">
        <v>41</v>
      </c>
      <c r="M53" s="164"/>
      <c r="N53" s="142" t="s">
        <v>42</v>
      </c>
      <c r="O53" s="138"/>
      <c r="P53" s="142"/>
      <c r="Q53" s="142"/>
      <c r="R53" s="167"/>
      <c r="S53" s="168"/>
      <c r="T53" s="144" t="b">
        <v>1</v>
      </c>
      <c r="U53" s="144" t="b">
        <v>0</v>
      </c>
      <c r="V53" s="144" t="b">
        <v>0</v>
      </c>
      <c r="W53" s="144"/>
      <c r="X53" s="169"/>
      <c r="Y53" s="155"/>
      <c r="Z53" s="138"/>
      <c r="AA53" s="138"/>
      <c r="AB53" s="138"/>
      <c r="AC53" s="155"/>
      <c r="AD53" s="155"/>
      <c r="AE53" s="155"/>
      <c r="AF53" s="155"/>
      <c r="AG53" s="155"/>
      <c r="AH53" s="155"/>
      <c r="AI53" s="155"/>
      <c r="AJ53" s="155"/>
      <c r="AK53" s="155"/>
      <c r="AL53" s="182"/>
    </row>
    <row r="54" spans="1:38" ht="77.25" customHeight="1">
      <c r="A54" s="178" t="s">
        <v>406</v>
      </c>
      <c r="B54" s="138" t="s">
        <v>407</v>
      </c>
      <c r="C54" s="138" t="s">
        <v>408</v>
      </c>
      <c r="D54" s="138" t="s">
        <v>409</v>
      </c>
      <c r="E54" s="138" t="s">
        <v>410</v>
      </c>
      <c r="F54" s="138" t="s">
        <v>411</v>
      </c>
      <c r="G54" s="138" t="s">
        <v>87</v>
      </c>
      <c r="H54" s="150" t="s">
        <v>88</v>
      </c>
      <c r="I54" s="150"/>
      <c r="J54" s="150"/>
      <c r="K54" s="150"/>
      <c r="L54" s="184" t="s">
        <v>89</v>
      </c>
      <c r="M54" s="138" t="s">
        <v>90</v>
      </c>
      <c r="N54" s="142" t="s">
        <v>412</v>
      </c>
      <c r="O54" s="138" t="s">
        <v>413</v>
      </c>
      <c r="P54" s="142" t="s">
        <v>414</v>
      </c>
      <c r="Q54" s="142"/>
      <c r="R54" s="151" t="s">
        <v>94</v>
      </c>
      <c r="S54" s="148" t="s">
        <v>94</v>
      </c>
      <c r="T54" s="144" t="b">
        <v>1</v>
      </c>
      <c r="U54" s="144" t="b">
        <v>0</v>
      </c>
      <c r="V54" s="144" t="b">
        <v>0</v>
      </c>
      <c r="W54" s="144"/>
      <c r="X54" s="145">
        <f>DATE(2024,10,15)+TIME(9,43,21)</f>
        <v>45580.405104166668</v>
      </c>
      <c r="Y54" s="138" t="s">
        <v>61</v>
      </c>
      <c r="Z54" s="138" t="s">
        <v>95</v>
      </c>
      <c r="AA54" s="138"/>
      <c r="AB54" s="138"/>
      <c r="AC54" s="138"/>
      <c r="AD54" s="138"/>
      <c r="AE54" s="138"/>
      <c r="AF54" s="138"/>
      <c r="AG54" s="138" t="s">
        <v>62</v>
      </c>
      <c r="AH54" s="145">
        <f>DATE(2024,10,15)+TIME(9,44,1)</f>
        <v>45580.40556712963</v>
      </c>
      <c r="AI54" s="138" t="s">
        <v>96</v>
      </c>
      <c r="AJ54" s="138" t="s">
        <v>64</v>
      </c>
      <c r="AK54" s="138" t="s">
        <v>65</v>
      </c>
      <c r="AL54" s="181" t="s">
        <v>61</v>
      </c>
    </row>
    <row r="55" spans="1:38" ht="77.25" customHeight="1">
      <c r="A55" s="178" t="s">
        <v>406</v>
      </c>
      <c r="B55" s="138" t="s">
        <v>407</v>
      </c>
      <c r="C55" s="138" t="s">
        <v>408</v>
      </c>
      <c r="D55" s="138" t="s">
        <v>415</v>
      </c>
      <c r="E55" s="138" t="s">
        <v>416</v>
      </c>
      <c r="F55" s="138" t="s">
        <v>411</v>
      </c>
      <c r="G55" s="138" t="s">
        <v>71</v>
      </c>
      <c r="H55" s="150" t="s">
        <v>88</v>
      </c>
      <c r="I55" s="150"/>
      <c r="J55" s="150"/>
      <c r="K55" s="150"/>
      <c r="L55" s="184" t="s">
        <v>142</v>
      </c>
      <c r="M55" s="138" t="s">
        <v>90</v>
      </c>
      <c r="N55" s="142" t="s">
        <v>417</v>
      </c>
      <c r="O55" s="138" t="s">
        <v>418</v>
      </c>
      <c r="P55" s="156" t="s">
        <v>419</v>
      </c>
      <c r="Q55" s="142"/>
      <c r="R55" s="151" t="b">
        <v>1</v>
      </c>
      <c r="S55" s="152" t="b">
        <v>1</v>
      </c>
      <c r="T55" s="152" t="b">
        <v>1</v>
      </c>
      <c r="U55" s="152" t="b">
        <v>0</v>
      </c>
      <c r="V55" s="152" t="b">
        <v>0</v>
      </c>
      <c r="W55" s="152"/>
      <c r="X55" s="145">
        <f>DATE(2024,10,14)+TIME(12,17,55)</f>
        <v>45579.512442129628</v>
      </c>
      <c r="Y55" s="138" t="s">
        <v>61</v>
      </c>
      <c r="Z55" s="138" t="s">
        <v>61</v>
      </c>
      <c r="AA55" s="138" t="s">
        <v>78</v>
      </c>
      <c r="AB55" s="138" t="s">
        <v>95</v>
      </c>
      <c r="AC55" s="138"/>
      <c r="AD55" s="138" t="s">
        <v>420</v>
      </c>
      <c r="AE55" s="138"/>
      <c r="AF55" s="138" t="s">
        <v>79</v>
      </c>
      <c r="AG55" s="138" t="s">
        <v>80</v>
      </c>
      <c r="AH55" s="145">
        <f>DATE(2024,10,14)+TIME(12,27,58)</f>
        <v>45579.519421296296</v>
      </c>
      <c r="AI55" s="138"/>
      <c r="AJ55" s="138"/>
      <c r="AK55" s="138" t="s">
        <v>65</v>
      </c>
      <c r="AL55" s="181" t="s">
        <v>61</v>
      </c>
    </row>
    <row r="56" spans="1:38" ht="77.25" customHeight="1">
      <c r="A56" s="178" t="s">
        <v>421</v>
      </c>
      <c r="B56" s="138" t="s">
        <v>422</v>
      </c>
      <c r="C56" s="138" t="s">
        <v>423</v>
      </c>
      <c r="D56" s="138" t="s">
        <v>424</v>
      </c>
      <c r="E56" s="138" t="s">
        <v>425</v>
      </c>
      <c r="F56" s="138" t="s">
        <v>426</v>
      </c>
      <c r="G56" s="138" t="s">
        <v>185</v>
      </c>
      <c r="H56" s="150" t="s">
        <v>123</v>
      </c>
      <c r="I56" s="150"/>
      <c r="J56" s="150"/>
      <c r="K56" s="150"/>
      <c r="L56" s="184" t="s">
        <v>142</v>
      </c>
      <c r="M56" s="138" t="s">
        <v>90</v>
      </c>
      <c r="N56" s="142" t="s">
        <v>427</v>
      </c>
      <c r="O56" s="138" t="s">
        <v>92</v>
      </c>
      <c r="P56" s="142" t="s">
        <v>428</v>
      </c>
      <c r="Q56" s="142"/>
      <c r="R56" s="151" t="b">
        <v>1</v>
      </c>
      <c r="S56" s="152" t="b">
        <v>1</v>
      </c>
      <c r="T56" s="144" t="b">
        <v>1</v>
      </c>
      <c r="U56" s="144" t="b">
        <v>0</v>
      </c>
      <c r="V56" s="144" t="b">
        <v>0</v>
      </c>
      <c r="W56" s="144"/>
      <c r="X56" s="145">
        <f>DATE(2024,10,15)+TIME(15,29,49)</f>
        <v>45580.64570601852</v>
      </c>
      <c r="Y56" s="138" t="s">
        <v>61</v>
      </c>
      <c r="Z56" s="138" t="s">
        <v>95</v>
      </c>
      <c r="AA56" s="138"/>
      <c r="AB56" s="138"/>
      <c r="AC56" s="138"/>
      <c r="AD56" s="138"/>
      <c r="AE56" s="138"/>
      <c r="AF56" s="138"/>
      <c r="AG56" s="138" t="s">
        <v>62</v>
      </c>
      <c r="AH56" s="145">
        <f>DATE(2024,10,15)+TIME(17,41,17)</f>
        <v>45580.737002314818</v>
      </c>
      <c r="AI56" s="138" t="s">
        <v>63</v>
      </c>
      <c r="AJ56" s="138" t="s">
        <v>64</v>
      </c>
      <c r="AK56" s="138" t="s">
        <v>65</v>
      </c>
      <c r="AL56" s="181" t="s">
        <v>61</v>
      </c>
    </row>
    <row r="57" spans="1:38" ht="77.25" customHeight="1">
      <c r="A57" s="178" t="s">
        <v>429</v>
      </c>
      <c r="B57" s="138" t="s">
        <v>430</v>
      </c>
      <c r="C57" s="138" t="s">
        <v>431</v>
      </c>
      <c r="D57" s="138" t="s">
        <v>432</v>
      </c>
      <c r="E57" s="138" t="s">
        <v>433</v>
      </c>
      <c r="F57" s="138" t="s">
        <v>434</v>
      </c>
      <c r="G57" s="138" t="s">
        <v>167</v>
      </c>
      <c r="H57" s="150"/>
      <c r="I57" s="150"/>
      <c r="J57" s="150"/>
      <c r="K57" s="150"/>
      <c r="L57" s="184" t="s">
        <v>41</v>
      </c>
      <c r="M57" s="138"/>
      <c r="N57" s="142"/>
      <c r="O57" s="138"/>
      <c r="P57" s="142"/>
      <c r="Q57" s="142"/>
      <c r="R57" s="151" t="b">
        <v>0</v>
      </c>
      <c r="S57" s="152" t="b">
        <v>0</v>
      </c>
      <c r="T57" s="144" t="b">
        <v>1</v>
      </c>
      <c r="U57" s="144" t="b">
        <v>0</v>
      </c>
      <c r="V57" s="144" t="b">
        <v>0</v>
      </c>
      <c r="W57" s="144"/>
      <c r="X57" s="145">
        <f>DATE(2024,10,15)+TIME(10,25,25)</f>
        <v>45580.434317129628</v>
      </c>
      <c r="Y57" s="138" t="s">
        <v>95</v>
      </c>
      <c r="Z57" s="138"/>
      <c r="AA57" s="138"/>
      <c r="AB57" s="138"/>
      <c r="AC57" s="138"/>
      <c r="AD57" s="138"/>
      <c r="AE57" s="138"/>
      <c r="AF57" s="138"/>
      <c r="AG57" s="138" t="s">
        <v>62</v>
      </c>
      <c r="AH57" s="145">
        <f>DATE(2024,10,15)+TIME(10,25,31)</f>
        <v>45580.434386574074</v>
      </c>
      <c r="AI57" s="138"/>
      <c r="AJ57" s="138" t="s">
        <v>435</v>
      </c>
      <c r="AK57" s="138" t="s">
        <v>65</v>
      </c>
      <c r="AL57" s="181" t="s">
        <v>61</v>
      </c>
    </row>
    <row r="58" spans="1:38" ht="77.25" customHeight="1">
      <c r="A58" s="178" t="s">
        <v>436</v>
      </c>
      <c r="B58" s="138" t="s">
        <v>437</v>
      </c>
      <c r="C58" s="138" t="s">
        <v>438</v>
      </c>
      <c r="D58" s="138" t="s">
        <v>439</v>
      </c>
      <c r="E58" s="138" t="s">
        <v>440</v>
      </c>
      <c r="F58" s="138" t="s">
        <v>441</v>
      </c>
      <c r="G58" s="138" t="s">
        <v>103</v>
      </c>
      <c r="H58" s="150" t="s">
        <v>210</v>
      </c>
      <c r="I58" s="203" t="s">
        <v>211</v>
      </c>
      <c r="J58" s="150"/>
      <c r="K58" s="150"/>
      <c r="L58" s="184" t="s">
        <v>142</v>
      </c>
      <c r="M58" s="138" t="s">
        <v>90</v>
      </c>
      <c r="N58" s="142" t="s">
        <v>442</v>
      </c>
      <c r="O58" s="138" t="s">
        <v>443</v>
      </c>
      <c r="P58" s="142"/>
      <c r="Q58" s="142"/>
      <c r="R58" s="151" t="b">
        <v>0</v>
      </c>
      <c r="S58" s="152" t="s">
        <v>94</v>
      </c>
      <c r="T58" s="152" t="b">
        <v>1</v>
      </c>
      <c r="U58" s="152" t="b">
        <v>0</v>
      </c>
      <c r="V58" s="152" t="b">
        <v>0</v>
      </c>
      <c r="W58" s="152"/>
      <c r="X58" s="145">
        <f>DATE(2024,10,15)+TIME(15,12,15)</f>
        <v>45580.633506944447</v>
      </c>
      <c r="Y58" s="138" t="s">
        <v>61</v>
      </c>
      <c r="Z58" s="138" t="s">
        <v>95</v>
      </c>
      <c r="AA58" s="138"/>
      <c r="AB58" s="138"/>
      <c r="AC58" s="138"/>
      <c r="AD58" s="138"/>
      <c r="AE58" s="138"/>
      <c r="AF58" s="138"/>
      <c r="AG58" s="138" t="s">
        <v>62</v>
      </c>
      <c r="AH58" s="145">
        <f>DATE(2024,10,15)+TIME(15,18,2)</f>
        <v>45580.637523148151</v>
      </c>
      <c r="AI58" s="138" t="s">
        <v>444</v>
      </c>
      <c r="AJ58" s="138" t="s">
        <v>64</v>
      </c>
      <c r="AK58" s="138" t="s">
        <v>65</v>
      </c>
      <c r="AL58" s="181" t="s">
        <v>61</v>
      </c>
    </row>
    <row r="59" spans="1:38" ht="77.25" customHeight="1">
      <c r="A59" s="179" t="s">
        <v>445</v>
      </c>
      <c r="B59" s="155"/>
      <c r="C59" s="165" t="s">
        <v>446</v>
      </c>
      <c r="D59" s="166" t="s">
        <v>447</v>
      </c>
      <c r="E59" s="155"/>
      <c r="F59" s="155"/>
      <c r="G59" s="138"/>
      <c r="H59" s="150" t="s">
        <v>40</v>
      </c>
      <c r="I59" s="150"/>
      <c r="J59" s="150"/>
      <c r="K59" s="150"/>
      <c r="L59" s="184" t="s">
        <v>41</v>
      </c>
      <c r="M59" s="164"/>
      <c r="N59" s="142" t="s">
        <v>42</v>
      </c>
      <c r="O59" s="138"/>
      <c r="P59" s="142"/>
      <c r="Q59" s="142"/>
      <c r="R59" s="167"/>
      <c r="S59" s="168"/>
      <c r="T59" s="144" t="b">
        <v>1</v>
      </c>
      <c r="U59" s="144" t="b">
        <v>0</v>
      </c>
      <c r="V59" s="144" t="b">
        <v>0</v>
      </c>
      <c r="W59" s="144"/>
      <c r="X59" s="169"/>
      <c r="Y59" s="155"/>
      <c r="Z59" s="138"/>
      <c r="AA59" s="138"/>
      <c r="AB59" s="138"/>
      <c r="AC59" s="155"/>
      <c r="AD59" s="155"/>
      <c r="AE59" s="155"/>
      <c r="AF59" s="155"/>
      <c r="AG59" s="155"/>
      <c r="AH59" s="155"/>
      <c r="AI59" s="155"/>
      <c r="AJ59" s="155"/>
      <c r="AK59" s="155"/>
      <c r="AL59" s="182"/>
    </row>
    <row r="60" spans="1:38" ht="77.25" customHeight="1">
      <c r="A60" s="179" t="s">
        <v>448</v>
      </c>
      <c r="B60" s="155"/>
      <c r="C60" s="165" t="s">
        <v>449</v>
      </c>
      <c r="D60" s="166" t="s">
        <v>450</v>
      </c>
      <c r="E60" s="155"/>
      <c r="F60" s="155"/>
      <c r="G60" s="138"/>
      <c r="H60" s="150" t="s">
        <v>40</v>
      </c>
      <c r="I60" s="150"/>
      <c r="J60" s="150"/>
      <c r="K60" s="150"/>
      <c r="L60" s="184" t="s">
        <v>41</v>
      </c>
      <c r="M60" s="164"/>
      <c r="N60" s="142" t="s">
        <v>42</v>
      </c>
      <c r="O60" s="138"/>
      <c r="P60" s="142"/>
      <c r="Q60" s="142"/>
      <c r="R60" s="167"/>
      <c r="S60" s="168"/>
      <c r="T60" s="144" t="b">
        <v>1</v>
      </c>
      <c r="U60" s="144" t="b">
        <v>0</v>
      </c>
      <c r="V60" s="144" t="b">
        <v>0</v>
      </c>
      <c r="W60" s="144"/>
      <c r="X60" s="169"/>
      <c r="Y60" s="155"/>
      <c r="Z60" s="138"/>
      <c r="AA60" s="138"/>
      <c r="AB60" s="138"/>
      <c r="AC60" s="155"/>
      <c r="AD60" s="155"/>
      <c r="AE60" s="155"/>
      <c r="AF60" s="155"/>
      <c r="AG60" s="155"/>
      <c r="AH60" s="155"/>
      <c r="AI60" s="155"/>
      <c r="AJ60" s="155"/>
      <c r="AK60" s="155"/>
      <c r="AL60" s="182"/>
    </row>
    <row r="61" spans="1:38" s="33" customFormat="1" ht="77.25" customHeight="1">
      <c r="A61" s="178" t="s">
        <v>451</v>
      </c>
      <c r="B61" s="138" t="s">
        <v>452</v>
      </c>
      <c r="C61" s="138" t="s">
        <v>453</v>
      </c>
      <c r="D61" s="138" t="s">
        <v>454</v>
      </c>
      <c r="E61" s="138" t="s">
        <v>344</v>
      </c>
      <c r="F61" s="138" t="s">
        <v>455</v>
      </c>
      <c r="G61" s="138" t="s">
        <v>209</v>
      </c>
      <c r="H61" s="150" t="s">
        <v>40</v>
      </c>
      <c r="I61" s="150"/>
      <c r="J61" s="150"/>
      <c r="K61" s="150"/>
      <c r="L61" s="184" t="s">
        <v>41</v>
      </c>
      <c r="M61" s="138" t="s">
        <v>90</v>
      </c>
      <c r="N61" s="142" t="s">
        <v>456</v>
      </c>
      <c r="O61" s="138" t="s">
        <v>92</v>
      </c>
      <c r="P61" s="142"/>
      <c r="Q61" s="142"/>
      <c r="R61" s="151" t="b">
        <v>0</v>
      </c>
      <c r="S61" s="152" t="b">
        <v>0</v>
      </c>
      <c r="T61" s="144" t="b">
        <v>1</v>
      </c>
      <c r="U61" s="144" t="b">
        <v>0</v>
      </c>
      <c r="V61" s="144" t="b">
        <v>0</v>
      </c>
      <c r="W61" s="144"/>
      <c r="X61" s="145">
        <f>DATE(2024,10,15)+TIME(10,16,47)</f>
        <v>45580.42832175926</v>
      </c>
      <c r="Y61" s="138" t="s">
        <v>61</v>
      </c>
      <c r="Z61" s="138" t="s">
        <v>95</v>
      </c>
      <c r="AA61" s="138"/>
      <c r="AB61" s="138"/>
      <c r="AC61" s="138"/>
      <c r="AD61" s="138"/>
      <c r="AE61" s="138"/>
      <c r="AF61" s="138"/>
      <c r="AG61" s="138" t="s">
        <v>62</v>
      </c>
      <c r="AH61" s="145">
        <f>DATE(2024,10,15)+TIME(17,43,48)</f>
        <v>45580.738749999997</v>
      </c>
      <c r="AI61" s="138" t="s">
        <v>146</v>
      </c>
      <c r="AJ61" s="138" t="s">
        <v>64</v>
      </c>
      <c r="AK61" s="138" t="s">
        <v>65</v>
      </c>
      <c r="AL61" s="181" t="s">
        <v>61</v>
      </c>
    </row>
    <row r="62" spans="1:38" ht="77.25" customHeight="1">
      <c r="A62" s="178" t="s">
        <v>457</v>
      </c>
      <c r="B62" s="138" t="s">
        <v>458</v>
      </c>
      <c r="C62" s="138" t="s">
        <v>459</v>
      </c>
      <c r="D62" s="138" t="s">
        <v>460</v>
      </c>
      <c r="E62" s="138" t="s">
        <v>461</v>
      </c>
      <c r="F62" s="138" t="s">
        <v>462</v>
      </c>
      <c r="G62" s="138" t="s">
        <v>87</v>
      </c>
      <c r="H62" s="150" t="s">
        <v>88</v>
      </c>
      <c r="I62" s="150"/>
      <c r="J62" s="150"/>
      <c r="K62" s="150"/>
      <c r="L62" s="184" t="s">
        <v>41</v>
      </c>
      <c r="M62" s="138" t="s">
        <v>463</v>
      </c>
      <c r="N62" s="142" t="s">
        <v>464</v>
      </c>
      <c r="O62" s="138" t="s">
        <v>92</v>
      </c>
      <c r="P62" s="142" t="s">
        <v>93</v>
      </c>
      <c r="Q62" s="142"/>
      <c r="R62" s="151" t="s">
        <v>94</v>
      </c>
      <c r="S62" s="148" t="s">
        <v>94</v>
      </c>
      <c r="T62" s="144" t="b">
        <v>1</v>
      </c>
      <c r="U62" s="144" t="b">
        <v>0</v>
      </c>
      <c r="V62" s="144" t="b">
        <v>0</v>
      </c>
      <c r="W62" s="144"/>
      <c r="X62" s="145">
        <f>DATE(2024,10,14)+TIME(16,37,47)</f>
        <v>45579.69290509259</v>
      </c>
      <c r="Y62" s="138" t="s">
        <v>61</v>
      </c>
      <c r="Z62" s="138" t="s">
        <v>95</v>
      </c>
      <c r="AA62" s="138"/>
      <c r="AB62" s="138"/>
      <c r="AC62" s="138"/>
      <c r="AD62" s="138"/>
      <c r="AE62" s="138"/>
      <c r="AF62" s="138"/>
      <c r="AG62" s="138" t="s">
        <v>62</v>
      </c>
      <c r="AH62" s="145">
        <f>DATE(2024,10,14)+TIME(16,38,19)</f>
        <v>45579.69327546296</v>
      </c>
      <c r="AI62" s="138" t="s">
        <v>465</v>
      </c>
      <c r="AJ62" s="138" t="s">
        <v>64</v>
      </c>
      <c r="AK62" s="138" t="s">
        <v>65</v>
      </c>
      <c r="AL62" s="181" t="s">
        <v>61</v>
      </c>
    </row>
    <row r="63" spans="1:38" ht="77.25" customHeight="1">
      <c r="A63" s="178" t="s">
        <v>466</v>
      </c>
      <c r="B63" s="138" t="s">
        <v>467</v>
      </c>
      <c r="C63" s="146" t="s">
        <v>468</v>
      </c>
      <c r="D63" s="138" t="s">
        <v>469</v>
      </c>
      <c r="E63" s="138" t="s">
        <v>470</v>
      </c>
      <c r="F63" s="138" t="s">
        <v>471</v>
      </c>
      <c r="G63" s="138" t="s">
        <v>185</v>
      </c>
      <c r="H63" s="150" t="s">
        <v>123</v>
      </c>
      <c r="I63" s="150"/>
      <c r="J63" s="150"/>
      <c r="K63" s="150"/>
      <c r="L63" s="184" t="s">
        <v>56</v>
      </c>
      <c r="M63" s="138" t="s">
        <v>105</v>
      </c>
      <c r="N63" s="142" t="s">
        <v>472</v>
      </c>
      <c r="O63" s="138" t="s">
        <v>92</v>
      </c>
      <c r="P63" s="142" t="s">
        <v>473</v>
      </c>
      <c r="Q63" s="142"/>
      <c r="R63" s="151" t="b">
        <v>1</v>
      </c>
      <c r="S63" s="152" t="b">
        <v>1</v>
      </c>
      <c r="T63" s="152" t="b">
        <v>1</v>
      </c>
      <c r="U63" s="152" t="b">
        <v>1</v>
      </c>
      <c r="V63" s="152" t="b">
        <v>1</v>
      </c>
      <c r="W63" s="152"/>
      <c r="X63" s="145">
        <f>DATE(2024,10,15)+TIME(10,31,11)</f>
        <v>45580.438321759262</v>
      </c>
      <c r="Y63" s="138" t="s">
        <v>61</v>
      </c>
      <c r="Z63" s="138" t="s">
        <v>95</v>
      </c>
      <c r="AA63" s="138"/>
      <c r="AB63" s="138"/>
      <c r="AC63" s="138"/>
      <c r="AD63" s="138"/>
      <c r="AE63" s="138"/>
      <c r="AF63" s="138"/>
      <c r="AG63" s="138" t="s">
        <v>62</v>
      </c>
      <c r="AH63" s="145">
        <f>DATE(2024,10,15)+TIME(11,6,41)</f>
        <v>45580.46297453704</v>
      </c>
      <c r="AI63" s="138" t="s">
        <v>474</v>
      </c>
      <c r="AJ63" s="138" t="s">
        <v>64</v>
      </c>
      <c r="AK63" s="138" t="s">
        <v>65</v>
      </c>
      <c r="AL63" s="181" t="s">
        <v>61</v>
      </c>
    </row>
    <row r="64" spans="1:38" ht="77.25" customHeight="1">
      <c r="A64" s="178" t="s">
        <v>475</v>
      </c>
      <c r="B64" s="138" t="s">
        <v>476</v>
      </c>
      <c r="C64" s="146" t="s">
        <v>477</v>
      </c>
      <c r="D64" s="138" t="s">
        <v>478</v>
      </c>
      <c r="E64" s="138" t="s">
        <v>344</v>
      </c>
      <c r="F64" s="138" t="s">
        <v>479</v>
      </c>
      <c r="G64" s="138" t="s">
        <v>167</v>
      </c>
      <c r="H64" s="150" t="s">
        <v>104</v>
      </c>
      <c r="I64" s="150"/>
      <c r="J64" s="150"/>
      <c r="K64" s="150"/>
      <c r="L64" s="184" t="s">
        <v>56</v>
      </c>
      <c r="M64" s="138" t="s">
        <v>90</v>
      </c>
      <c r="N64" s="142" t="s">
        <v>480</v>
      </c>
      <c r="O64" s="138" t="s">
        <v>481</v>
      </c>
      <c r="P64" s="142" t="s">
        <v>482</v>
      </c>
      <c r="Q64" s="142"/>
      <c r="R64" s="151" t="b">
        <v>0</v>
      </c>
      <c r="S64" s="152" t="b">
        <v>0</v>
      </c>
      <c r="T64" s="152" t="b">
        <v>1</v>
      </c>
      <c r="U64" s="152" t="b">
        <v>1</v>
      </c>
      <c r="V64" s="152" t="b">
        <v>1</v>
      </c>
      <c r="W64" s="152"/>
      <c r="X64" s="145">
        <f>DATE(2024,10,15)+TIME(11,38,2)</f>
        <v>45580.48474537037</v>
      </c>
      <c r="Y64" s="138" t="s">
        <v>61</v>
      </c>
      <c r="Z64" s="138" t="s">
        <v>61</v>
      </c>
      <c r="AA64" s="138" t="s">
        <v>108</v>
      </c>
      <c r="AB64" s="138" t="s">
        <v>61</v>
      </c>
      <c r="AC64" s="138"/>
      <c r="AD64" s="138"/>
      <c r="AE64" s="138"/>
      <c r="AF64" s="138"/>
      <c r="AG64" s="138" t="s">
        <v>62</v>
      </c>
      <c r="AH64" s="145">
        <f>DATE(2024,10,15)+TIME(11,47,58)</f>
        <v>45580.491643518515</v>
      </c>
      <c r="AI64" s="138" t="s">
        <v>63</v>
      </c>
      <c r="AJ64" s="138" t="s">
        <v>64</v>
      </c>
      <c r="AK64" s="138" t="s">
        <v>65</v>
      </c>
      <c r="AL64" s="181" t="s">
        <v>61</v>
      </c>
    </row>
    <row r="65" spans="1:38" ht="77.25" customHeight="1">
      <c r="A65" s="179" t="s">
        <v>483</v>
      </c>
      <c r="B65" s="155"/>
      <c r="C65" s="165" t="s">
        <v>484</v>
      </c>
      <c r="D65" s="166" t="s">
        <v>485</v>
      </c>
      <c r="E65" s="155"/>
      <c r="F65" s="155"/>
      <c r="G65" s="138"/>
      <c r="H65" s="150" t="s">
        <v>40</v>
      </c>
      <c r="I65" s="150"/>
      <c r="J65" s="150"/>
      <c r="K65" s="150"/>
      <c r="L65" s="184" t="s">
        <v>41</v>
      </c>
      <c r="M65" s="164"/>
      <c r="N65" s="142" t="s">
        <v>42</v>
      </c>
      <c r="O65" s="138"/>
      <c r="P65" s="142"/>
      <c r="Q65" s="142"/>
      <c r="R65" s="167"/>
      <c r="S65" s="168"/>
      <c r="T65" s="144" t="b">
        <v>1</v>
      </c>
      <c r="U65" s="144" t="b">
        <v>0</v>
      </c>
      <c r="V65" s="144" t="b">
        <v>0</v>
      </c>
      <c r="W65" s="144"/>
      <c r="X65" s="169"/>
      <c r="Y65" s="155"/>
      <c r="Z65" s="138"/>
      <c r="AA65" s="138"/>
      <c r="AB65" s="138"/>
      <c r="AC65" s="155"/>
      <c r="AD65" s="155"/>
      <c r="AE65" s="155"/>
      <c r="AF65" s="155"/>
      <c r="AG65" s="155"/>
      <c r="AH65" s="155"/>
      <c r="AI65" s="155"/>
      <c r="AJ65" s="155"/>
      <c r="AK65" s="155"/>
      <c r="AL65" s="182"/>
    </row>
    <row r="66" spans="1:38" ht="77.25" customHeight="1">
      <c r="A66" s="178" t="s">
        <v>486</v>
      </c>
      <c r="B66" s="138" t="s">
        <v>487</v>
      </c>
      <c r="C66" s="138" t="s">
        <v>488</v>
      </c>
      <c r="D66" s="138" t="s">
        <v>489</v>
      </c>
      <c r="E66" s="138" t="s">
        <v>490</v>
      </c>
      <c r="F66" s="138" t="s">
        <v>491</v>
      </c>
      <c r="G66" s="138" t="s">
        <v>103</v>
      </c>
      <c r="H66" s="150" t="s">
        <v>104</v>
      </c>
      <c r="I66" s="150"/>
      <c r="J66" s="150"/>
      <c r="K66" s="150"/>
      <c r="L66" s="184" t="s">
        <v>41</v>
      </c>
      <c r="M66" s="138" t="s">
        <v>105</v>
      </c>
      <c r="N66" s="142" t="s">
        <v>492</v>
      </c>
      <c r="O66" s="138" t="s">
        <v>107</v>
      </c>
      <c r="P66" s="142"/>
      <c r="Q66" s="142"/>
      <c r="R66" s="151" t="b">
        <v>0</v>
      </c>
      <c r="S66" s="152" t="b">
        <v>0</v>
      </c>
      <c r="T66" s="144" t="b">
        <v>1</v>
      </c>
      <c r="U66" s="144" t="b">
        <v>0</v>
      </c>
      <c r="V66" s="144" t="b">
        <v>0</v>
      </c>
      <c r="W66" s="144"/>
      <c r="X66" s="145">
        <f>DATE(2024,10,15)+TIME(9,3,16)</f>
        <v>45580.377268518518</v>
      </c>
      <c r="Y66" s="138" t="s">
        <v>61</v>
      </c>
      <c r="Z66" s="138" t="s">
        <v>95</v>
      </c>
      <c r="AA66" s="138"/>
      <c r="AB66" s="138"/>
      <c r="AC66" s="138"/>
      <c r="AD66" s="138"/>
      <c r="AE66" s="138"/>
      <c r="AF66" s="138"/>
      <c r="AG66" s="138" t="s">
        <v>62</v>
      </c>
      <c r="AH66" s="145">
        <f>DATE(2024,10,15)+TIME(9,3,47)</f>
        <v>45580.377627314818</v>
      </c>
      <c r="AI66" s="138" t="s">
        <v>146</v>
      </c>
      <c r="AJ66" s="138" t="s">
        <v>64</v>
      </c>
      <c r="AK66" s="138" t="s">
        <v>65</v>
      </c>
      <c r="AL66" s="181" t="s">
        <v>61</v>
      </c>
    </row>
    <row r="67" spans="1:38" ht="77.25" customHeight="1">
      <c r="A67" s="178" t="s">
        <v>493</v>
      </c>
      <c r="B67" s="138" t="s">
        <v>494</v>
      </c>
      <c r="C67" s="138" t="s">
        <v>495</v>
      </c>
      <c r="D67" s="138" t="s">
        <v>496</v>
      </c>
      <c r="E67" s="138" t="s">
        <v>497</v>
      </c>
      <c r="F67" s="138" t="s">
        <v>498</v>
      </c>
      <c r="G67" s="138" t="s">
        <v>103</v>
      </c>
      <c r="H67" s="150" t="s">
        <v>210</v>
      </c>
      <c r="I67" s="150" t="s">
        <v>499</v>
      </c>
      <c r="J67" s="150"/>
      <c r="K67" s="150"/>
      <c r="L67" s="184" t="s">
        <v>142</v>
      </c>
      <c r="M67" s="138" t="s">
        <v>57</v>
      </c>
      <c r="N67" s="142" t="s">
        <v>500</v>
      </c>
      <c r="O67" s="138" t="s">
        <v>284</v>
      </c>
      <c r="P67" s="142"/>
      <c r="Q67" s="142"/>
      <c r="R67" s="151" t="b">
        <v>0</v>
      </c>
      <c r="S67" s="152" t="s">
        <v>94</v>
      </c>
      <c r="T67" s="152" t="b">
        <v>1</v>
      </c>
      <c r="U67" s="152" t="b">
        <v>0</v>
      </c>
      <c r="V67" s="152" t="b">
        <v>0</v>
      </c>
      <c r="W67" s="152"/>
      <c r="X67" s="145">
        <f>DATE(2024,10,15)+TIME(14,13,17)</f>
        <v>45580.592557870368</v>
      </c>
      <c r="Y67" s="138" t="s">
        <v>61</v>
      </c>
      <c r="Z67" s="138" t="s">
        <v>95</v>
      </c>
      <c r="AA67" s="138"/>
      <c r="AB67" s="138"/>
      <c r="AC67" s="138"/>
      <c r="AD67" s="138"/>
      <c r="AE67" s="138"/>
      <c r="AF67" s="138"/>
      <c r="AG67" s="138" t="s">
        <v>62</v>
      </c>
      <c r="AH67" s="145">
        <f>DATE(2024,10,15)+TIME(14,15,47)</f>
        <v>45580.594293981485</v>
      </c>
      <c r="AI67" s="138" t="s">
        <v>501</v>
      </c>
      <c r="AJ67" s="138" t="s">
        <v>64</v>
      </c>
      <c r="AK67" s="138" t="s">
        <v>65</v>
      </c>
      <c r="AL67" s="181" t="s">
        <v>61</v>
      </c>
    </row>
    <row r="68" spans="1:38" ht="77.25" customHeight="1">
      <c r="A68" s="178" t="s">
        <v>502</v>
      </c>
      <c r="B68" s="138" t="s">
        <v>137</v>
      </c>
      <c r="C68" s="138" t="s">
        <v>503</v>
      </c>
      <c r="D68" s="138" t="s">
        <v>504</v>
      </c>
      <c r="E68" s="138" t="s">
        <v>505</v>
      </c>
      <c r="F68" s="138" t="s">
        <v>506</v>
      </c>
      <c r="G68" s="138" t="s">
        <v>103</v>
      </c>
      <c r="H68" s="150"/>
      <c r="I68" s="150"/>
      <c r="J68" s="150"/>
      <c r="K68" s="150"/>
      <c r="L68" s="184" t="s">
        <v>41</v>
      </c>
      <c r="M68" s="138" t="s">
        <v>90</v>
      </c>
      <c r="N68" s="142"/>
      <c r="O68" s="138" t="s">
        <v>92</v>
      </c>
      <c r="P68" s="142"/>
      <c r="Q68" s="142"/>
      <c r="R68" s="151" t="b">
        <v>0</v>
      </c>
      <c r="S68" s="152" t="b">
        <v>0</v>
      </c>
      <c r="T68" s="144" t="b">
        <v>1</v>
      </c>
      <c r="U68" s="144" t="b">
        <v>0</v>
      </c>
      <c r="V68" s="144" t="b">
        <v>0</v>
      </c>
      <c r="W68" s="144"/>
      <c r="X68" s="145">
        <f>DATE(2024,10,16)+TIME(12,40,27)</f>
        <v>45581.528090277781</v>
      </c>
      <c r="Y68" s="138" t="s">
        <v>61</v>
      </c>
      <c r="Z68" s="138" t="s">
        <v>95</v>
      </c>
      <c r="AA68" s="138"/>
      <c r="AB68" s="138"/>
      <c r="AC68" s="138"/>
      <c r="AD68" s="138"/>
      <c r="AE68" s="138"/>
      <c r="AF68" s="138"/>
      <c r="AG68" s="138" t="s">
        <v>62</v>
      </c>
      <c r="AH68" s="145">
        <f>DATE(2024,10,16)+TIME(13,4,15)</f>
        <v>45581.544618055559</v>
      </c>
      <c r="AI68" s="138" t="s">
        <v>127</v>
      </c>
      <c r="AJ68" s="138" t="s">
        <v>64</v>
      </c>
      <c r="AK68" s="138" t="s">
        <v>65</v>
      </c>
      <c r="AL68" s="181" t="s">
        <v>61</v>
      </c>
    </row>
    <row r="69" spans="1:38" ht="77.25" customHeight="1">
      <c r="A69" s="178" t="s">
        <v>507</v>
      </c>
      <c r="B69" s="138" t="s">
        <v>508</v>
      </c>
      <c r="C69" s="138" t="s">
        <v>509</v>
      </c>
      <c r="D69" s="138" t="s">
        <v>510</v>
      </c>
      <c r="E69" s="138" t="s">
        <v>511</v>
      </c>
      <c r="F69" s="138" t="s">
        <v>512</v>
      </c>
      <c r="G69" s="138" t="s">
        <v>103</v>
      </c>
      <c r="H69" s="150" t="s">
        <v>513</v>
      </c>
      <c r="I69" s="203" t="s">
        <v>211</v>
      </c>
      <c r="J69" s="150"/>
      <c r="K69" s="150"/>
      <c r="L69" s="184" t="s">
        <v>56</v>
      </c>
      <c r="M69" s="138" t="s">
        <v>90</v>
      </c>
      <c r="N69" s="142" t="s">
        <v>500</v>
      </c>
      <c r="O69" s="138" t="s">
        <v>514</v>
      </c>
      <c r="P69" s="142"/>
      <c r="Q69" s="142"/>
      <c r="R69" s="151" t="b">
        <v>0</v>
      </c>
      <c r="S69" s="152" t="s">
        <v>94</v>
      </c>
      <c r="T69" s="152" t="b">
        <v>1</v>
      </c>
      <c r="U69" s="152" t="b">
        <v>1</v>
      </c>
      <c r="V69" s="152" t="b">
        <v>1</v>
      </c>
      <c r="W69" s="152"/>
      <c r="X69" s="145">
        <f>DATE(2024,10,15)+TIME(10,14,53)</f>
        <v>45580.427002314813</v>
      </c>
      <c r="Y69" s="138" t="s">
        <v>61</v>
      </c>
      <c r="Z69" s="138" t="s">
        <v>61</v>
      </c>
      <c r="AA69" s="138" t="s">
        <v>78</v>
      </c>
      <c r="AB69" s="138" t="s">
        <v>78</v>
      </c>
      <c r="AC69" s="138"/>
      <c r="AD69" s="138"/>
      <c r="AE69" s="138"/>
      <c r="AF69" s="138"/>
      <c r="AG69" s="138" t="s">
        <v>62</v>
      </c>
      <c r="AH69" s="145">
        <f>DATE(2024,10,15)+TIME(11,22,24)</f>
        <v>45580.47388888889</v>
      </c>
      <c r="AI69" s="138" t="s">
        <v>96</v>
      </c>
      <c r="AJ69" s="138" t="s">
        <v>64</v>
      </c>
      <c r="AK69" s="138" t="s">
        <v>65</v>
      </c>
      <c r="AL69" s="181" t="s">
        <v>61</v>
      </c>
    </row>
    <row r="70" spans="1:38" ht="77.25" customHeight="1">
      <c r="A70" s="178" t="s">
        <v>515</v>
      </c>
      <c r="B70" s="138" t="s">
        <v>516</v>
      </c>
      <c r="C70" s="138" t="s">
        <v>517</v>
      </c>
      <c r="D70" s="138" t="s">
        <v>518</v>
      </c>
      <c r="E70" s="138" t="s">
        <v>85</v>
      </c>
      <c r="F70" s="138" t="s">
        <v>519</v>
      </c>
      <c r="G70" s="138" t="s">
        <v>87</v>
      </c>
      <c r="H70" s="150" t="s">
        <v>88</v>
      </c>
      <c r="I70" s="150"/>
      <c r="J70" s="150"/>
      <c r="K70" s="150"/>
      <c r="L70" s="184" t="s">
        <v>89</v>
      </c>
      <c r="M70" s="138" t="s">
        <v>90</v>
      </c>
      <c r="N70" s="142" t="s">
        <v>520</v>
      </c>
      <c r="O70" s="138" t="s">
        <v>521</v>
      </c>
      <c r="P70" s="142" t="s">
        <v>93</v>
      </c>
      <c r="Q70" s="142"/>
      <c r="R70" s="151" t="s">
        <v>94</v>
      </c>
      <c r="S70" s="148" t="s">
        <v>94</v>
      </c>
      <c r="T70" s="144" t="b">
        <v>1</v>
      </c>
      <c r="U70" s="144" t="b">
        <v>0</v>
      </c>
      <c r="V70" s="144" t="b">
        <v>0</v>
      </c>
      <c r="W70" s="144"/>
      <c r="X70" s="145">
        <f>DATE(2024,10,14)+TIME(11,2,32)</f>
        <v>45579.460092592592</v>
      </c>
      <c r="Y70" s="138" t="s">
        <v>61</v>
      </c>
      <c r="Z70" s="138" t="s">
        <v>95</v>
      </c>
      <c r="AA70" s="138"/>
      <c r="AB70" s="138"/>
      <c r="AC70" s="138"/>
      <c r="AD70" s="138"/>
      <c r="AE70" s="138"/>
      <c r="AF70" s="138"/>
      <c r="AG70" s="138" t="s">
        <v>62</v>
      </c>
      <c r="AH70" s="145">
        <f>DATE(2024,10,14)+TIME(11,3,30)</f>
        <v>45579.460763888892</v>
      </c>
      <c r="AI70" s="138" t="s">
        <v>146</v>
      </c>
      <c r="AJ70" s="138" t="s">
        <v>64</v>
      </c>
      <c r="AK70" s="138" t="s">
        <v>65</v>
      </c>
      <c r="AL70" s="181" t="s">
        <v>61</v>
      </c>
    </row>
    <row r="71" spans="1:38" ht="77.25" customHeight="1">
      <c r="A71" s="179" t="s">
        <v>522</v>
      </c>
      <c r="B71" s="155"/>
      <c r="C71" s="165" t="s">
        <v>523</v>
      </c>
      <c r="D71" s="166" t="s">
        <v>524</v>
      </c>
      <c r="E71" s="155"/>
      <c r="F71" s="155"/>
      <c r="G71" s="138"/>
      <c r="H71" s="150" t="s">
        <v>40</v>
      </c>
      <c r="I71" s="150"/>
      <c r="J71" s="150"/>
      <c r="K71" s="150"/>
      <c r="L71" s="184" t="s">
        <v>41</v>
      </c>
      <c r="M71" s="164"/>
      <c r="N71" s="142" t="s">
        <v>42</v>
      </c>
      <c r="O71" s="138"/>
      <c r="P71" s="142"/>
      <c r="Q71" s="142"/>
      <c r="R71" s="167"/>
      <c r="S71" s="168"/>
      <c r="T71" s="144" t="b">
        <v>1</v>
      </c>
      <c r="U71" s="144" t="b">
        <v>0</v>
      </c>
      <c r="V71" s="144" t="b">
        <v>0</v>
      </c>
      <c r="W71" s="144"/>
      <c r="X71" s="169"/>
      <c r="Y71" s="155"/>
      <c r="Z71" s="138"/>
      <c r="AA71" s="138"/>
      <c r="AB71" s="138"/>
      <c r="AC71" s="155"/>
      <c r="AD71" s="155"/>
      <c r="AE71" s="155"/>
      <c r="AF71" s="155"/>
      <c r="AG71" s="155"/>
      <c r="AH71" s="155"/>
      <c r="AI71" s="155"/>
      <c r="AJ71" s="155"/>
      <c r="AK71" s="155"/>
      <c r="AL71" s="182"/>
    </row>
    <row r="72" spans="1:38" ht="77.25" customHeight="1">
      <c r="A72" s="179" t="s">
        <v>525</v>
      </c>
      <c r="B72" s="155"/>
      <c r="C72" s="165" t="s">
        <v>526</v>
      </c>
      <c r="D72" s="166" t="s">
        <v>527</v>
      </c>
      <c r="E72" s="155"/>
      <c r="F72" s="155"/>
      <c r="G72" s="138"/>
      <c r="H72" s="150" t="s">
        <v>40</v>
      </c>
      <c r="I72" s="150"/>
      <c r="J72" s="150"/>
      <c r="K72" s="150"/>
      <c r="L72" s="184" t="s">
        <v>41</v>
      </c>
      <c r="M72" s="164"/>
      <c r="N72" s="142" t="s">
        <v>42</v>
      </c>
      <c r="O72" s="138"/>
      <c r="P72" s="142"/>
      <c r="Q72" s="142"/>
      <c r="R72" s="167"/>
      <c r="S72" s="168"/>
      <c r="T72" s="144" t="b">
        <v>1</v>
      </c>
      <c r="U72" s="144" t="b">
        <v>0</v>
      </c>
      <c r="V72" s="144" t="b">
        <v>0</v>
      </c>
      <c r="W72" s="144"/>
      <c r="X72" s="169"/>
      <c r="Y72" s="155"/>
      <c r="Z72" s="138"/>
      <c r="AA72" s="138"/>
      <c r="AB72" s="138"/>
      <c r="AC72" s="155"/>
      <c r="AD72" s="155"/>
      <c r="AE72" s="155"/>
      <c r="AF72" s="155"/>
      <c r="AG72" s="155"/>
      <c r="AH72" s="155"/>
      <c r="AI72" s="155"/>
      <c r="AJ72" s="155"/>
      <c r="AK72" s="155"/>
      <c r="AL72" s="182"/>
    </row>
    <row r="73" spans="1:38" ht="77.25" customHeight="1">
      <c r="A73" s="179" t="s">
        <v>528</v>
      </c>
      <c r="B73" s="155"/>
      <c r="C73" s="165" t="s">
        <v>529</v>
      </c>
      <c r="D73" s="166" t="s">
        <v>530</v>
      </c>
      <c r="E73" s="155"/>
      <c r="F73" s="155"/>
      <c r="G73" s="138"/>
      <c r="H73" s="150" t="s">
        <v>40</v>
      </c>
      <c r="I73" s="150"/>
      <c r="J73" s="150"/>
      <c r="K73" s="150"/>
      <c r="L73" s="184" t="s">
        <v>41</v>
      </c>
      <c r="M73" s="164"/>
      <c r="N73" s="142" t="s">
        <v>42</v>
      </c>
      <c r="O73" s="138"/>
      <c r="P73" s="142"/>
      <c r="Q73" s="142"/>
      <c r="R73" s="167"/>
      <c r="S73" s="168"/>
      <c r="T73" s="144" t="b">
        <v>1</v>
      </c>
      <c r="U73" s="144" t="b">
        <v>0</v>
      </c>
      <c r="V73" s="144" t="b">
        <v>0</v>
      </c>
      <c r="W73" s="144"/>
      <c r="X73" s="169"/>
      <c r="Y73" s="155"/>
      <c r="Z73" s="138"/>
      <c r="AA73" s="138"/>
      <c r="AB73" s="138"/>
      <c r="AC73" s="155"/>
      <c r="AD73" s="155"/>
      <c r="AE73" s="155"/>
      <c r="AF73" s="155"/>
      <c r="AG73" s="155"/>
      <c r="AH73" s="155"/>
      <c r="AI73" s="155"/>
      <c r="AJ73" s="155"/>
      <c r="AK73" s="155"/>
      <c r="AL73" s="182"/>
    </row>
    <row r="74" spans="1:38" ht="77.25" customHeight="1">
      <c r="A74" s="178" t="s">
        <v>531</v>
      </c>
      <c r="B74" s="138" t="s">
        <v>532</v>
      </c>
      <c r="C74" s="138" t="s">
        <v>533</v>
      </c>
      <c r="D74" s="138" t="s">
        <v>530</v>
      </c>
      <c r="E74" s="138" t="s">
        <v>296</v>
      </c>
      <c r="F74" s="138" t="s">
        <v>534</v>
      </c>
      <c r="G74" s="138" t="s">
        <v>103</v>
      </c>
      <c r="H74" s="150" t="s">
        <v>123</v>
      </c>
      <c r="I74" s="150"/>
      <c r="J74" s="150"/>
      <c r="K74" s="150"/>
      <c r="L74" s="184" t="s">
        <v>56</v>
      </c>
      <c r="M74" s="138" t="s">
        <v>90</v>
      </c>
      <c r="N74" s="142" t="s">
        <v>535</v>
      </c>
      <c r="O74" s="138" t="s">
        <v>536</v>
      </c>
      <c r="P74" s="142" t="s">
        <v>537</v>
      </c>
      <c r="Q74" s="142" t="s">
        <v>538</v>
      </c>
      <c r="R74" s="151" t="b">
        <v>1</v>
      </c>
      <c r="S74" s="151" t="b">
        <v>1</v>
      </c>
      <c r="T74" s="151" t="b">
        <v>1</v>
      </c>
      <c r="U74" s="151" t="b">
        <v>1</v>
      </c>
      <c r="V74" s="151" t="b">
        <v>1</v>
      </c>
      <c r="W74" s="151"/>
      <c r="X74" s="145">
        <f>DATE(2024,10,15)+TIME(11,59,16)</f>
        <v>45580.499490740738</v>
      </c>
      <c r="Y74" s="138" t="s">
        <v>61</v>
      </c>
      <c r="Z74" s="138" t="s">
        <v>61</v>
      </c>
      <c r="AA74" s="138" t="s">
        <v>78</v>
      </c>
      <c r="AB74" s="138" t="s">
        <v>78</v>
      </c>
      <c r="AC74" s="138"/>
      <c r="AD74" s="138"/>
      <c r="AE74" s="138"/>
      <c r="AF74" s="138"/>
      <c r="AG74" s="138" t="s">
        <v>62</v>
      </c>
      <c r="AH74" s="145">
        <f>DATE(2024,10,15)+TIME(12,15,10)</f>
        <v>45580.51053240741</v>
      </c>
      <c r="AI74" s="138" t="s">
        <v>63</v>
      </c>
      <c r="AJ74" s="138" t="s">
        <v>64</v>
      </c>
      <c r="AK74" s="138" t="s">
        <v>65</v>
      </c>
      <c r="AL74" s="181" t="s">
        <v>61</v>
      </c>
    </row>
    <row r="75" spans="1:38" ht="119" customHeight="1">
      <c r="A75" s="178" t="s">
        <v>539</v>
      </c>
      <c r="B75" s="138" t="s">
        <v>540</v>
      </c>
      <c r="C75" s="138" t="s">
        <v>541</v>
      </c>
      <c r="D75" s="138" t="s">
        <v>542</v>
      </c>
      <c r="E75" s="138" t="s">
        <v>543</v>
      </c>
      <c r="F75" s="138" t="s">
        <v>544</v>
      </c>
      <c r="G75" s="138" t="s">
        <v>185</v>
      </c>
      <c r="H75" s="150" t="s">
        <v>123</v>
      </c>
      <c r="I75" s="150"/>
      <c r="J75" s="150"/>
      <c r="K75" s="150"/>
      <c r="L75" s="184" t="s">
        <v>177</v>
      </c>
      <c r="M75" s="138"/>
      <c r="N75" s="142" t="s">
        <v>545</v>
      </c>
      <c r="O75" s="138"/>
      <c r="P75" s="142" t="s">
        <v>546</v>
      </c>
      <c r="Q75" s="142" t="s">
        <v>547</v>
      </c>
      <c r="R75" s="151" t="b">
        <v>1</v>
      </c>
      <c r="S75" s="152" t="b">
        <v>1</v>
      </c>
      <c r="T75" s="152" t="b">
        <v>1</v>
      </c>
      <c r="U75" s="152" t="b">
        <v>1</v>
      </c>
      <c r="V75" s="152" t="b">
        <v>1</v>
      </c>
      <c r="W75" s="152"/>
      <c r="X75" s="145">
        <f>DATE(2024,10,17)+TIME(14,28,3)</f>
        <v>45582.602812500001</v>
      </c>
      <c r="Y75" s="138" t="s">
        <v>95</v>
      </c>
      <c r="Z75" s="138"/>
      <c r="AA75" s="138"/>
      <c r="AB75" s="138"/>
      <c r="AC75" s="138"/>
      <c r="AD75" s="138"/>
      <c r="AE75" s="138"/>
      <c r="AF75" s="138"/>
      <c r="AG75" s="138" t="s">
        <v>62</v>
      </c>
      <c r="AH75" s="145">
        <f>DATE(2024,10,17)+TIME(14,28,9)</f>
        <v>45582.602881944447</v>
      </c>
      <c r="AI75" s="138" t="s">
        <v>548</v>
      </c>
      <c r="AJ75" s="138" t="s">
        <v>64</v>
      </c>
      <c r="AK75" s="138" t="s">
        <v>65</v>
      </c>
      <c r="AL75" s="181" t="s">
        <v>61</v>
      </c>
    </row>
    <row r="76" spans="1:38" s="33" customFormat="1" ht="97" customHeight="1">
      <c r="A76" s="178" t="s">
        <v>549</v>
      </c>
      <c r="B76" s="138" t="s">
        <v>550</v>
      </c>
      <c r="C76" s="138" t="s">
        <v>551</v>
      </c>
      <c r="D76" s="138" t="s">
        <v>542</v>
      </c>
      <c r="E76" s="138" t="s">
        <v>216</v>
      </c>
      <c r="F76" s="138" t="s">
        <v>552</v>
      </c>
      <c r="G76" s="138" t="s">
        <v>185</v>
      </c>
      <c r="H76" s="150" t="s">
        <v>123</v>
      </c>
      <c r="I76" s="150"/>
      <c r="J76" s="150"/>
      <c r="K76" s="150"/>
      <c r="L76" s="184" t="s">
        <v>177</v>
      </c>
      <c r="M76" s="138"/>
      <c r="N76" s="142" t="s">
        <v>553</v>
      </c>
      <c r="O76" s="138"/>
      <c r="P76" s="142" t="s">
        <v>554</v>
      </c>
      <c r="Q76" s="153" t="s">
        <v>555</v>
      </c>
      <c r="R76" s="154" t="b">
        <v>1</v>
      </c>
      <c r="S76" s="152" t="b">
        <v>1</v>
      </c>
      <c r="T76" s="152" t="b">
        <v>1</v>
      </c>
      <c r="U76" s="152" t="b">
        <v>1</v>
      </c>
      <c r="V76" s="152" t="b">
        <v>1</v>
      </c>
      <c r="W76" s="152"/>
      <c r="X76" s="145">
        <f>DATE(2024,10,17)+TIME(14,27,51)</f>
        <v>45582.602673611109</v>
      </c>
      <c r="Y76" s="138" t="s">
        <v>95</v>
      </c>
      <c r="Z76" s="138"/>
      <c r="AA76" s="138"/>
      <c r="AB76" s="138"/>
      <c r="AC76" s="138"/>
      <c r="AD76" s="138"/>
      <c r="AE76" s="138"/>
      <c r="AF76" s="138"/>
      <c r="AG76" s="138" t="s">
        <v>62</v>
      </c>
      <c r="AH76" s="145">
        <f>DATE(2024,10,17)+TIME(14,27,58)</f>
        <v>45582.602754629632</v>
      </c>
      <c r="AI76" s="138" t="s">
        <v>370</v>
      </c>
      <c r="AJ76" s="138" t="s">
        <v>64</v>
      </c>
      <c r="AK76" s="138" t="s">
        <v>65</v>
      </c>
      <c r="AL76" s="181" t="s">
        <v>61</v>
      </c>
    </row>
    <row r="77" spans="1:38" s="33" customFormat="1" ht="77.25" customHeight="1">
      <c r="A77" s="177" t="s">
        <v>556</v>
      </c>
      <c r="B77" s="138" t="s">
        <v>557</v>
      </c>
      <c r="C77" s="138" t="s">
        <v>558</v>
      </c>
      <c r="D77" s="138" t="s">
        <v>559</v>
      </c>
      <c r="E77" s="138" t="s">
        <v>560</v>
      </c>
      <c r="F77" s="138"/>
      <c r="G77" s="138" t="s">
        <v>561</v>
      </c>
      <c r="H77" s="140" t="s">
        <v>123</v>
      </c>
      <c r="I77" s="140"/>
      <c r="J77" s="140"/>
      <c r="K77" s="140"/>
      <c r="L77" s="183" t="s">
        <v>177</v>
      </c>
      <c r="M77" s="138" t="s">
        <v>90</v>
      </c>
      <c r="N77" s="141" t="s">
        <v>562</v>
      </c>
      <c r="O77" s="138" t="s">
        <v>220</v>
      </c>
      <c r="P77" s="141" t="s">
        <v>563</v>
      </c>
      <c r="Q77" s="142" t="s">
        <v>187</v>
      </c>
      <c r="R77" s="143" t="b">
        <v>1</v>
      </c>
      <c r="S77" s="144" t="b">
        <v>1</v>
      </c>
      <c r="T77" s="144" t="b">
        <v>1</v>
      </c>
      <c r="U77" s="144" t="b">
        <v>1</v>
      </c>
      <c r="V77" s="144" t="b">
        <v>1</v>
      </c>
      <c r="W77" s="144"/>
      <c r="X77" s="145">
        <f>DATE(2024,10,15)+TIME(16,31,50)</f>
        <v>45580.688773148147</v>
      </c>
      <c r="Y77" s="138" t="s">
        <v>61</v>
      </c>
      <c r="Z77" s="138" t="s">
        <v>61</v>
      </c>
      <c r="AA77" s="138" t="s">
        <v>222</v>
      </c>
      <c r="AB77" s="138" t="s">
        <v>78</v>
      </c>
      <c r="AC77" s="138"/>
      <c r="AD77" s="138"/>
      <c r="AE77" s="138"/>
      <c r="AF77" s="138" t="s">
        <v>79</v>
      </c>
      <c r="AG77" s="138" t="s">
        <v>80</v>
      </c>
      <c r="AH77" s="145">
        <f>DATE(2024,10,15)+TIME(17,19,30)</f>
        <v>45580.721875000003</v>
      </c>
      <c r="AI77" s="138"/>
      <c r="AJ77" s="138"/>
      <c r="AK77" s="138" t="s">
        <v>65</v>
      </c>
      <c r="AL77" s="181" t="s">
        <v>61</v>
      </c>
    </row>
    <row r="78" spans="1:38" ht="77.25" customHeight="1">
      <c r="A78" s="178" t="s">
        <v>564</v>
      </c>
      <c r="B78" s="138" t="s">
        <v>565</v>
      </c>
      <c r="C78" s="138" t="s">
        <v>566</v>
      </c>
      <c r="D78" s="138" t="s">
        <v>559</v>
      </c>
      <c r="E78" s="138" t="s">
        <v>567</v>
      </c>
      <c r="F78" s="138" t="s">
        <v>568</v>
      </c>
      <c r="G78" s="138" t="s">
        <v>103</v>
      </c>
      <c r="H78" s="150" t="s">
        <v>123</v>
      </c>
      <c r="I78" s="150"/>
      <c r="J78" s="150"/>
      <c r="K78" s="150"/>
      <c r="L78" s="184" t="s">
        <v>177</v>
      </c>
      <c r="M78" s="138"/>
      <c r="N78" s="142"/>
      <c r="O78" s="138"/>
      <c r="P78" s="142" t="s">
        <v>569</v>
      </c>
      <c r="Q78" s="142" t="s">
        <v>187</v>
      </c>
      <c r="R78" s="151" t="b">
        <v>1</v>
      </c>
      <c r="S78" s="152" t="b">
        <v>1</v>
      </c>
      <c r="T78" s="152" t="b">
        <v>1</v>
      </c>
      <c r="U78" s="152" t="b">
        <v>0</v>
      </c>
      <c r="V78" s="152" t="b">
        <v>0</v>
      </c>
      <c r="W78" s="152"/>
      <c r="X78" s="145">
        <f>DATE(2024,10,16)+TIME(10,14,55)</f>
        <v>45581.427025462966</v>
      </c>
      <c r="Y78" s="138" t="s">
        <v>95</v>
      </c>
      <c r="Z78" s="138"/>
      <c r="AA78" s="138"/>
      <c r="AB78" s="138"/>
      <c r="AC78" s="138"/>
      <c r="AD78" s="138"/>
      <c r="AE78" s="138"/>
      <c r="AF78" s="138"/>
      <c r="AG78" s="138" t="s">
        <v>62</v>
      </c>
      <c r="AH78" s="145">
        <f>DATE(2024,10,16)+TIME(10,15,0)</f>
        <v>45581.427083333336</v>
      </c>
      <c r="AI78" s="138" t="s">
        <v>570</v>
      </c>
      <c r="AJ78" s="138" t="s">
        <v>64</v>
      </c>
      <c r="AK78" s="138" t="s">
        <v>65</v>
      </c>
      <c r="AL78" s="181" t="s">
        <v>61</v>
      </c>
    </row>
    <row r="79" spans="1:38" s="33" customFormat="1" ht="77.25" customHeight="1">
      <c r="A79" s="178" t="s">
        <v>571</v>
      </c>
      <c r="B79" s="138" t="s">
        <v>572</v>
      </c>
      <c r="C79" s="138" t="s">
        <v>573</v>
      </c>
      <c r="D79" s="138" t="s">
        <v>559</v>
      </c>
      <c r="E79" s="138" t="s">
        <v>567</v>
      </c>
      <c r="F79" s="138" t="s">
        <v>567</v>
      </c>
      <c r="G79" s="138" t="s">
        <v>103</v>
      </c>
      <c r="H79" s="150" t="s">
        <v>123</v>
      </c>
      <c r="I79" s="150"/>
      <c r="J79" s="150"/>
      <c r="K79" s="150"/>
      <c r="L79" s="184" t="s">
        <v>177</v>
      </c>
      <c r="M79" s="138"/>
      <c r="N79" s="142"/>
      <c r="O79" s="138"/>
      <c r="P79" s="142" t="s">
        <v>569</v>
      </c>
      <c r="Q79" s="142" t="s">
        <v>187</v>
      </c>
      <c r="R79" s="151" t="b">
        <v>1</v>
      </c>
      <c r="S79" s="152" t="b">
        <v>1</v>
      </c>
      <c r="T79" s="152" t="b">
        <v>1</v>
      </c>
      <c r="U79" s="152" t="b">
        <v>0</v>
      </c>
      <c r="V79" s="152" t="b">
        <v>0</v>
      </c>
      <c r="W79" s="152"/>
      <c r="X79" s="145">
        <f>DATE(2024,10,16)+TIME(10,14,48)</f>
        <v>45581.426944444444</v>
      </c>
      <c r="Y79" s="138" t="s">
        <v>95</v>
      </c>
      <c r="Z79" s="138"/>
      <c r="AA79" s="138"/>
      <c r="AB79" s="138"/>
      <c r="AC79" s="138"/>
      <c r="AD79" s="138"/>
      <c r="AE79" s="138"/>
      <c r="AF79" s="138"/>
      <c r="AG79" s="138" t="s">
        <v>62</v>
      </c>
      <c r="AH79" s="145">
        <f>DATE(2024,10,16)+TIME(10,14,54)</f>
        <v>45581.42701388889</v>
      </c>
      <c r="AI79" s="138" t="s">
        <v>570</v>
      </c>
      <c r="AJ79" s="138" t="s">
        <v>64</v>
      </c>
      <c r="AK79" s="138" t="s">
        <v>65</v>
      </c>
      <c r="AL79" s="181" t="s">
        <v>61</v>
      </c>
    </row>
    <row r="80" spans="1:38" ht="77.25" customHeight="1">
      <c r="A80" s="178" t="s">
        <v>348</v>
      </c>
      <c r="B80" s="138" t="s">
        <v>574</v>
      </c>
      <c r="C80" s="138" t="s">
        <v>575</v>
      </c>
      <c r="D80" s="138" t="s">
        <v>559</v>
      </c>
      <c r="E80" s="138" t="s">
        <v>576</v>
      </c>
      <c r="F80" s="138" t="s">
        <v>576</v>
      </c>
      <c r="G80" s="138" t="s">
        <v>103</v>
      </c>
      <c r="H80" s="150" t="s">
        <v>123</v>
      </c>
      <c r="I80" s="150"/>
      <c r="J80" s="150"/>
      <c r="K80" s="150"/>
      <c r="L80" s="184" t="s">
        <v>177</v>
      </c>
      <c r="M80" s="138"/>
      <c r="N80" s="142"/>
      <c r="O80" s="138"/>
      <c r="P80" s="142" t="s">
        <v>569</v>
      </c>
      <c r="Q80" s="142" t="s">
        <v>187</v>
      </c>
      <c r="R80" s="151" t="b">
        <v>1</v>
      </c>
      <c r="S80" s="152" t="b">
        <v>1</v>
      </c>
      <c r="T80" s="152" t="b">
        <v>1</v>
      </c>
      <c r="U80" s="152" t="b">
        <v>0</v>
      </c>
      <c r="V80" s="152" t="b">
        <v>0</v>
      </c>
      <c r="W80" s="152"/>
      <c r="X80" s="145">
        <f>DATE(2024,10,16)+TIME(10,15,0)</f>
        <v>45581.427083333336</v>
      </c>
      <c r="Y80" s="138" t="s">
        <v>95</v>
      </c>
      <c r="Z80" s="138"/>
      <c r="AA80" s="138"/>
      <c r="AB80" s="138"/>
      <c r="AC80" s="138"/>
      <c r="AD80" s="138"/>
      <c r="AE80" s="138"/>
      <c r="AF80" s="138"/>
      <c r="AG80" s="138" t="s">
        <v>62</v>
      </c>
      <c r="AH80" s="145">
        <f>DATE(2024,10,16)+TIME(10,15,5)</f>
        <v>45581.427141203705</v>
      </c>
      <c r="AI80" s="138" t="s">
        <v>570</v>
      </c>
      <c r="AJ80" s="138" t="s">
        <v>64</v>
      </c>
      <c r="AK80" s="138" t="s">
        <v>65</v>
      </c>
      <c r="AL80" s="181" t="s">
        <v>61</v>
      </c>
    </row>
    <row r="81" spans="1:38" ht="77.25" customHeight="1">
      <c r="A81" s="178" t="s">
        <v>577</v>
      </c>
      <c r="B81" s="138" t="s">
        <v>578</v>
      </c>
      <c r="C81" s="138" t="s">
        <v>579</v>
      </c>
      <c r="D81" s="138" t="s">
        <v>580</v>
      </c>
      <c r="E81" s="138" t="s">
        <v>344</v>
      </c>
      <c r="F81" s="138" t="s">
        <v>581</v>
      </c>
      <c r="G81" s="138" t="s">
        <v>167</v>
      </c>
      <c r="H81" s="150" t="s">
        <v>123</v>
      </c>
      <c r="I81" s="150"/>
      <c r="J81" s="150"/>
      <c r="K81" s="150"/>
      <c r="L81" s="184" t="s">
        <v>56</v>
      </c>
      <c r="M81" s="138" t="s">
        <v>90</v>
      </c>
      <c r="N81" s="142" t="s">
        <v>582</v>
      </c>
      <c r="O81" s="138" t="s">
        <v>481</v>
      </c>
      <c r="P81" s="160" t="s">
        <v>583</v>
      </c>
      <c r="Q81" s="142"/>
      <c r="R81" s="151" t="b">
        <v>0</v>
      </c>
      <c r="S81" s="152" t="b">
        <v>0</v>
      </c>
      <c r="T81" s="152" t="b">
        <v>1</v>
      </c>
      <c r="U81" s="152" t="b">
        <v>1</v>
      </c>
      <c r="V81" s="152" t="b">
        <v>0</v>
      </c>
      <c r="W81" s="152"/>
      <c r="X81" s="145">
        <f>DATE(2024,10,15)+TIME(10,17,21)</f>
        <v>45580.428715277776</v>
      </c>
      <c r="Y81" s="138" t="s">
        <v>61</v>
      </c>
      <c r="Z81" s="138" t="s">
        <v>95</v>
      </c>
      <c r="AA81" s="138"/>
      <c r="AB81" s="138"/>
      <c r="AC81" s="138"/>
      <c r="AD81" s="138"/>
      <c r="AE81" s="138"/>
      <c r="AF81" s="138"/>
      <c r="AG81" s="138" t="s">
        <v>62</v>
      </c>
      <c r="AH81" s="145">
        <f>DATE(2024,10,17)+TIME(11,27,23)</f>
        <v>45582.477349537039</v>
      </c>
      <c r="AI81" s="138" t="s">
        <v>63</v>
      </c>
      <c r="AJ81" s="138" t="s">
        <v>64</v>
      </c>
      <c r="AK81" s="138" t="s">
        <v>65</v>
      </c>
      <c r="AL81" s="181" t="s">
        <v>61</v>
      </c>
    </row>
    <row r="82" spans="1:38" ht="77.25" customHeight="1">
      <c r="A82" s="178" t="s">
        <v>584</v>
      </c>
      <c r="B82" s="138" t="s">
        <v>585</v>
      </c>
      <c r="C82" s="138" t="s">
        <v>586</v>
      </c>
      <c r="D82" s="138" t="s">
        <v>580</v>
      </c>
      <c r="E82" s="138" t="s">
        <v>587</v>
      </c>
      <c r="F82" s="138" t="s">
        <v>588</v>
      </c>
      <c r="G82" s="138" t="s">
        <v>167</v>
      </c>
      <c r="H82" s="150" t="s">
        <v>123</v>
      </c>
      <c r="I82" s="150"/>
      <c r="J82" s="150"/>
      <c r="K82" s="150"/>
      <c r="L82" s="184" t="s">
        <v>56</v>
      </c>
      <c r="M82" s="138" t="s">
        <v>90</v>
      </c>
      <c r="N82" s="142" t="s">
        <v>582</v>
      </c>
      <c r="O82" s="138" t="s">
        <v>481</v>
      </c>
      <c r="P82" s="160" t="s">
        <v>583</v>
      </c>
      <c r="Q82" s="142"/>
      <c r="R82" s="151" t="b">
        <v>0</v>
      </c>
      <c r="S82" s="152" t="b">
        <v>0</v>
      </c>
      <c r="T82" s="152" t="b">
        <v>1</v>
      </c>
      <c r="U82" s="152" t="b">
        <v>1</v>
      </c>
      <c r="V82" s="152" t="b">
        <v>1</v>
      </c>
      <c r="W82" s="152"/>
      <c r="X82" s="145">
        <f>DATE(2024,10,15)+TIME(10,17,35)</f>
        <v>45580.428877314815</v>
      </c>
      <c r="Y82" s="138" t="s">
        <v>95</v>
      </c>
      <c r="Z82" s="138"/>
      <c r="AA82" s="138"/>
      <c r="AB82" s="138"/>
      <c r="AC82" s="138"/>
      <c r="AD82" s="138"/>
      <c r="AE82" s="138"/>
      <c r="AF82" s="138"/>
      <c r="AG82" s="138" t="s">
        <v>62</v>
      </c>
      <c r="AH82" s="145">
        <f>DATE(2024,10,15)+TIME(10,17,46)</f>
        <v>45580.42900462963</v>
      </c>
      <c r="AI82" s="138" t="s">
        <v>63</v>
      </c>
      <c r="AJ82" s="138" t="s">
        <v>64</v>
      </c>
      <c r="AK82" s="138" t="s">
        <v>65</v>
      </c>
      <c r="AL82" s="181" t="s">
        <v>61</v>
      </c>
    </row>
    <row r="83" spans="1:38" ht="77.25" customHeight="1">
      <c r="A83" s="178" t="s">
        <v>589</v>
      </c>
      <c r="B83" s="138" t="s">
        <v>590</v>
      </c>
      <c r="C83" s="138" t="s">
        <v>591</v>
      </c>
      <c r="D83" s="138" t="s">
        <v>580</v>
      </c>
      <c r="E83" s="138" t="s">
        <v>344</v>
      </c>
      <c r="F83" s="138" t="s">
        <v>592</v>
      </c>
      <c r="G83" s="138" t="s">
        <v>167</v>
      </c>
      <c r="H83" s="150" t="s">
        <v>123</v>
      </c>
      <c r="I83" s="150"/>
      <c r="J83" s="150"/>
      <c r="K83" s="150"/>
      <c r="L83" s="184" t="s">
        <v>56</v>
      </c>
      <c r="M83" s="138" t="s">
        <v>90</v>
      </c>
      <c r="N83" s="142" t="s">
        <v>582</v>
      </c>
      <c r="O83" s="138" t="s">
        <v>481</v>
      </c>
      <c r="P83" s="160" t="s">
        <v>593</v>
      </c>
      <c r="Q83" s="142"/>
      <c r="R83" s="151" t="b">
        <v>0</v>
      </c>
      <c r="S83" s="152" t="b">
        <v>0</v>
      </c>
      <c r="T83" s="152" t="b">
        <v>1</v>
      </c>
      <c r="U83" s="152" t="b">
        <v>1</v>
      </c>
      <c r="V83" s="152" t="b">
        <v>0</v>
      </c>
      <c r="W83" s="152"/>
      <c r="X83" s="145">
        <f>DATE(2024,10,17)+TIME(11,57,39)</f>
        <v>45582.498368055552</v>
      </c>
      <c r="Y83" s="138" t="s">
        <v>95</v>
      </c>
      <c r="Z83" s="138"/>
      <c r="AA83" s="138"/>
      <c r="AB83" s="138"/>
      <c r="AC83" s="138"/>
      <c r="AD83" s="138"/>
      <c r="AE83" s="138"/>
      <c r="AF83" s="138"/>
      <c r="AG83" s="138" t="s">
        <v>62</v>
      </c>
      <c r="AH83" s="145">
        <f>DATE(2024,10,17)+TIME(11,57,43)</f>
        <v>45582.498414351852</v>
      </c>
      <c r="AI83" s="138" t="s">
        <v>127</v>
      </c>
      <c r="AJ83" s="138" t="s">
        <v>64</v>
      </c>
      <c r="AK83" s="138" t="s">
        <v>65</v>
      </c>
      <c r="AL83" s="181" t="s">
        <v>61</v>
      </c>
    </row>
    <row r="84" spans="1:38" s="33" customFormat="1" ht="77.25" customHeight="1">
      <c r="A84" s="178" t="s">
        <v>594</v>
      </c>
      <c r="B84" s="138" t="s">
        <v>595</v>
      </c>
      <c r="C84" s="138" t="s">
        <v>596</v>
      </c>
      <c r="D84" s="138" t="s">
        <v>597</v>
      </c>
      <c r="E84" s="138" t="s">
        <v>598</v>
      </c>
      <c r="F84" s="138" t="s">
        <v>599</v>
      </c>
      <c r="G84" s="138" t="s">
        <v>103</v>
      </c>
      <c r="H84" s="150" t="s">
        <v>88</v>
      </c>
      <c r="I84" s="150"/>
      <c r="J84" s="150"/>
      <c r="K84" s="150"/>
      <c r="L84" s="184" t="s">
        <v>89</v>
      </c>
      <c r="M84" s="138"/>
      <c r="N84" s="142"/>
      <c r="O84" s="138"/>
      <c r="P84" s="142" t="s">
        <v>93</v>
      </c>
      <c r="Q84" s="142"/>
      <c r="R84" s="148" t="s">
        <v>94</v>
      </c>
      <c r="S84" s="148" t="s">
        <v>94</v>
      </c>
      <c r="T84" s="144" t="b">
        <v>1</v>
      </c>
      <c r="U84" s="144" t="b">
        <v>0</v>
      </c>
      <c r="V84" s="144" t="b">
        <v>0</v>
      </c>
      <c r="W84" s="144"/>
      <c r="X84" s="145">
        <f>DATE(2024,10,16)+TIME(10,18,8)</f>
        <v>45581.429259259261</v>
      </c>
      <c r="Y84" s="138" t="s">
        <v>95</v>
      </c>
      <c r="Z84" s="138"/>
      <c r="AA84" s="138"/>
      <c r="AB84" s="138"/>
      <c r="AC84" s="138"/>
      <c r="AD84" s="138"/>
      <c r="AE84" s="138"/>
      <c r="AF84" s="138"/>
      <c r="AG84" s="138" t="s">
        <v>62</v>
      </c>
      <c r="AH84" s="145">
        <f>DATE(2024,10,16)+TIME(10,27,47)</f>
        <v>45581.435960648145</v>
      </c>
      <c r="AI84" s="138" t="s">
        <v>600</v>
      </c>
      <c r="AJ84" s="138" t="s">
        <v>64</v>
      </c>
      <c r="AK84" s="138" t="s">
        <v>65</v>
      </c>
      <c r="AL84" s="181" t="s">
        <v>61</v>
      </c>
    </row>
    <row r="85" spans="1:38" s="33" customFormat="1" ht="77.25" customHeight="1">
      <c r="A85" s="178" t="s">
        <v>601</v>
      </c>
      <c r="B85" s="138" t="s">
        <v>602</v>
      </c>
      <c r="C85" s="138" t="s">
        <v>603</v>
      </c>
      <c r="D85" s="138" t="s">
        <v>604</v>
      </c>
      <c r="E85" s="138" t="s">
        <v>296</v>
      </c>
      <c r="F85" s="138" t="s">
        <v>605</v>
      </c>
      <c r="G85" s="138" t="s">
        <v>185</v>
      </c>
      <c r="H85" s="150" t="s">
        <v>88</v>
      </c>
      <c r="I85" s="150"/>
      <c r="J85" s="150"/>
      <c r="K85" s="150"/>
      <c r="L85" s="184" t="s">
        <v>89</v>
      </c>
      <c r="M85" s="138" t="s">
        <v>90</v>
      </c>
      <c r="N85" s="142" t="s">
        <v>606</v>
      </c>
      <c r="O85" s="138" t="s">
        <v>92</v>
      </c>
      <c r="P85" s="142" t="s">
        <v>93</v>
      </c>
      <c r="Q85" s="142"/>
      <c r="R85" s="148" t="s">
        <v>94</v>
      </c>
      <c r="S85" s="148" t="s">
        <v>94</v>
      </c>
      <c r="T85" s="144" t="b">
        <v>1</v>
      </c>
      <c r="U85" s="144" t="b">
        <v>0</v>
      </c>
      <c r="V85" s="144" t="b">
        <v>0</v>
      </c>
      <c r="W85" s="144"/>
      <c r="X85" s="145">
        <f>DATE(2024,10,15)+TIME(15,17,9)</f>
        <v>45580.63690972222</v>
      </c>
      <c r="Y85" s="138" t="s">
        <v>61</v>
      </c>
      <c r="Z85" s="138" t="s">
        <v>95</v>
      </c>
      <c r="AA85" s="138"/>
      <c r="AB85" s="138"/>
      <c r="AC85" s="138"/>
      <c r="AD85" s="138"/>
      <c r="AE85" s="138"/>
      <c r="AF85" s="138"/>
      <c r="AG85" s="138" t="s">
        <v>62</v>
      </c>
      <c r="AH85" s="145">
        <f>DATE(2024,10,15)+TIME(17,40,28)</f>
        <v>45580.736435185187</v>
      </c>
      <c r="AI85" s="138" t="s">
        <v>444</v>
      </c>
      <c r="AJ85" s="138" t="s">
        <v>64</v>
      </c>
      <c r="AK85" s="138" t="s">
        <v>65</v>
      </c>
      <c r="AL85" s="181" t="s">
        <v>61</v>
      </c>
    </row>
    <row r="86" spans="1:38" s="33" customFormat="1" ht="77.25" customHeight="1">
      <c r="A86" s="178" t="s">
        <v>607</v>
      </c>
      <c r="B86" s="138" t="s">
        <v>608</v>
      </c>
      <c r="C86" s="138" t="s">
        <v>609</v>
      </c>
      <c r="D86" s="138" t="s">
        <v>604</v>
      </c>
      <c r="E86" s="138" t="s">
        <v>610</v>
      </c>
      <c r="F86" s="138" t="s">
        <v>611</v>
      </c>
      <c r="G86" s="138" t="s">
        <v>209</v>
      </c>
      <c r="H86" s="150" t="s">
        <v>88</v>
      </c>
      <c r="I86" s="150"/>
      <c r="J86" s="150"/>
      <c r="K86" s="150"/>
      <c r="L86" s="184" t="s">
        <v>177</v>
      </c>
      <c r="M86" s="138" t="s">
        <v>90</v>
      </c>
      <c r="N86" s="142" t="s">
        <v>612</v>
      </c>
      <c r="O86" s="138" t="s">
        <v>92</v>
      </c>
      <c r="P86" s="142" t="s">
        <v>613</v>
      </c>
      <c r="Q86" s="142"/>
      <c r="R86" s="151" t="b">
        <v>0</v>
      </c>
      <c r="S86" s="152" t="b">
        <v>0</v>
      </c>
      <c r="T86" s="152" t="b">
        <v>1</v>
      </c>
      <c r="U86" s="152" t="b">
        <v>1</v>
      </c>
      <c r="V86" s="152" t="b">
        <v>1</v>
      </c>
      <c r="W86" s="152"/>
      <c r="X86" s="145">
        <f>DATE(2024,10,15)+TIME(11,14,41)</f>
        <v>45580.468530092592</v>
      </c>
      <c r="Y86" s="138" t="s">
        <v>61</v>
      </c>
      <c r="Z86" s="138" t="s">
        <v>95</v>
      </c>
      <c r="AA86" s="138"/>
      <c r="AB86" s="138"/>
      <c r="AC86" s="138"/>
      <c r="AD86" s="138"/>
      <c r="AE86" s="138"/>
      <c r="AF86" s="138"/>
      <c r="AG86" s="138" t="s">
        <v>62</v>
      </c>
      <c r="AH86" s="145">
        <f>DATE(2024,10,15)+TIME(17,43,48)</f>
        <v>45580.738749999997</v>
      </c>
      <c r="AI86" s="138" t="s">
        <v>127</v>
      </c>
      <c r="AJ86" s="138" t="s">
        <v>64</v>
      </c>
      <c r="AK86" s="138" t="s">
        <v>65</v>
      </c>
      <c r="AL86" s="181" t="s">
        <v>61</v>
      </c>
    </row>
    <row r="87" spans="1:38" s="33" customFormat="1" ht="77.25" customHeight="1">
      <c r="A87" s="178" t="s">
        <v>614</v>
      </c>
      <c r="B87" s="138" t="s">
        <v>615</v>
      </c>
      <c r="C87" s="138" t="s">
        <v>616</v>
      </c>
      <c r="D87" s="138" t="s">
        <v>617</v>
      </c>
      <c r="E87" s="138" t="s">
        <v>618</v>
      </c>
      <c r="F87" s="158" t="s">
        <v>619</v>
      </c>
      <c r="G87" s="138" t="s">
        <v>209</v>
      </c>
      <c r="H87" s="150" t="s">
        <v>40</v>
      </c>
      <c r="I87" s="150"/>
      <c r="J87" s="150"/>
      <c r="K87" s="150"/>
      <c r="L87" s="184" t="s">
        <v>41</v>
      </c>
      <c r="M87" s="138" t="s">
        <v>90</v>
      </c>
      <c r="N87" s="142" t="s">
        <v>620</v>
      </c>
      <c r="O87" s="138" t="s">
        <v>92</v>
      </c>
      <c r="P87" s="142"/>
      <c r="Q87" s="142"/>
      <c r="R87" s="151" t="b">
        <v>0</v>
      </c>
      <c r="S87" s="152" t="b">
        <v>0</v>
      </c>
      <c r="T87" s="144" t="b">
        <v>1</v>
      </c>
      <c r="U87" s="144" t="b">
        <v>0</v>
      </c>
      <c r="V87" s="144" t="b">
        <v>0</v>
      </c>
      <c r="W87" s="144"/>
      <c r="X87" s="145">
        <f>DATE(2024,10,15)+TIME(10,33,22)</f>
        <v>45580.439837962964</v>
      </c>
      <c r="Y87" s="138" t="s">
        <v>61</v>
      </c>
      <c r="Z87" s="138" t="s">
        <v>95</v>
      </c>
      <c r="AA87" s="138"/>
      <c r="AB87" s="138"/>
      <c r="AC87" s="138"/>
      <c r="AD87" s="138"/>
      <c r="AE87" s="138"/>
      <c r="AF87" s="138"/>
      <c r="AG87" s="138" t="s">
        <v>62</v>
      </c>
      <c r="AH87" s="145">
        <f>DATE(2024,10,15)+TIME(17,43,48)</f>
        <v>45580.738749999997</v>
      </c>
      <c r="AI87" s="138"/>
      <c r="AJ87" s="138" t="s">
        <v>621</v>
      </c>
      <c r="AK87" s="138" t="s">
        <v>65</v>
      </c>
      <c r="AL87" s="181" t="s">
        <v>61</v>
      </c>
    </row>
    <row r="88" spans="1:38" ht="77.25" customHeight="1">
      <c r="A88" s="179" t="s">
        <v>622</v>
      </c>
      <c r="B88" s="155"/>
      <c r="C88" s="165" t="s">
        <v>623</v>
      </c>
      <c r="D88" s="166" t="s">
        <v>624</v>
      </c>
      <c r="E88" s="155"/>
      <c r="F88" s="155"/>
      <c r="G88" s="138"/>
      <c r="H88" s="150" t="s">
        <v>40</v>
      </c>
      <c r="I88" s="150"/>
      <c r="J88" s="150"/>
      <c r="K88" s="150"/>
      <c r="L88" s="184" t="s">
        <v>41</v>
      </c>
      <c r="M88" s="164"/>
      <c r="N88" s="142" t="s">
        <v>42</v>
      </c>
      <c r="O88" s="138"/>
      <c r="P88" s="142"/>
      <c r="Q88" s="142"/>
      <c r="R88" s="167"/>
      <c r="S88" s="168"/>
      <c r="T88" s="144" t="b">
        <v>1</v>
      </c>
      <c r="U88" s="144" t="b">
        <v>0</v>
      </c>
      <c r="V88" s="144" t="b">
        <v>0</v>
      </c>
      <c r="W88" s="144"/>
      <c r="X88" s="169"/>
      <c r="Y88" s="155"/>
      <c r="Z88" s="138"/>
      <c r="AA88" s="138"/>
      <c r="AB88" s="138"/>
      <c r="AC88" s="155"/>
      <c r="AD88" s="155"/>
      <c r="AE88" s="155"/>
      <c r="AF88" s="155"/>
      <c r="AG88" s="155"/>
      <c r="AH88" s="155"/>
      <c r="AI88" s="155"/>
      <c r="AJ88" s="155"/>
      <c r="AK88" s="155"/>
      <c r="AL88" s="182"/>
    </row>
    <row r="89" spans="1:38" ht="97" customHeight="1">
      <c r="A89" s="178" t="s">
        <v>625</v>
      </c>
      <c r="B89" s="138" t="s">
        <v>626</v>
      </c>
      <c r="C89" s="146" t="s">
        <v>627</v>
      </c>
      <c r="D89" s="138" t="s">
        <v>628</v>
      </c>
      <c r="E89" s="138" t="s">
        <v>629</v>
      </c>
      <c r="F89" s="138" t="s">
        <v>630</v>
      </c>
      <c r="G89" s="138" t="s">
        <v>185</v>
      </c>
      <c r="H89" s="150" t="s">
        <v>123</v>
      </c>
      <c r="I89" s="150"/>
      <c r="J89" s="150"/>
      <c r="K89" s="150"/>
      <c r="L89" s="184" t="s">
        <v>56</v>
      </c>
      <c r="M89" s="138" t="s">
        <v>90</v>
      </c>
      <c r="N89" s="142" t="s">
        <v>631</v>
      </c>
      <c r="O89" s="138" t="s">
        <v>92</v>
      </c>
      <c r="P89" s="142" t="s">
        <v>632</v>
      </c>
      <c r="Q89" s="153" t="s">
        <v>555</v>
      </c>
      <c r="R89" s="154" t="b">
        <v>1</v>
      </c>
      <c r="S89" s="152" t="b">
        <v>1</v>
      </c>
      <c r="T89" s="152" t="b">
        <v>1</v>
      </c>
      <c r="U89" s="152" t="b">
        <v>1</v>
      </c>
      <c r="V89" s="152" t="b">
        <v>1</v>
      </c>
      <c r="W89" s="152"/>
      <c r="X89" s="145">
        <f>DATE(2024,10,17)+TIME(13,1,48)</f>
        <v>45582.542916666665</v>
      </c>
      <c r="Y89" s="138" t="s">
        <v>61</v>
      </c>
      <c r="Z89" s="138" t="s">
        <v>95</v>
      </c>
      <c r="AA89" s="138"/>
      <c r="AB89" s="138"/>
      <c r="AC89" s="138"/>
      <c r="AD89" s="138"/>
      <c r="AE89" s="138"/>
      <c r="AF89" s="138"/>
      <c r="AG89" s="138" t="s">
        <v>62</v>
      </c>
      <c r="AH89" s="145">
        <f>DATE(2024,10,17)+TIME(13,10,43)</f>
        <v>45582.549108796295</v>
      </c>
      <c r="AI89" s="138" t="s">
        <v>570</v>
      </c>
      <c r="AJ89" s="138" t="s">
        <v>64</v>
      </c>
      <c r="AK89" s="138" t="s">
        <v>65</v>
      </c>
      <c r="AL89" s="181" t="s">
        <v>61</v>
      </c>
    </row>
    <row r="90" spans="1:38" ht="77.25" customHeight="1">
      <c r="A90" s="179" t="s">
        <v>633</v>
      </c>
      <c r="B90" s="155"/>
      <c r="C90" s="165" t="s">
        <v>634</v>
      </c>
      <c r="D90" s="166" t="s">
        <v>635</v>
      </c>
      <c r="E90" s="155"/>
      <c r="F90" s="155"/>
      <c r="G90" s="138"/>
      <c r="H90" s="150" t="s">
        <v>40</v>
      </c>
      <c r="I90" s="150"/>
      <c r="J90" s="150"/>
      <c r="K90" s="150"/>
      <c r="L90" s="184" t="s">
        <v>41</v>
      </c>
      <c r="M90" s="164"/>
      <c r="N90" s="142" t="s">
        <v>42</v>
      </c>
      <c r="O90" s="138"/>
      <c r="P90" s="142"/>
      <c r="Q90" s="142"/>
      <c r="R90" s="167"/>
      <c r="S90" s="168"/>
      <c r="T90" s="144" t="b">
        <v>1</v>
      </c>
      <c r="U90" s="144" t="b">
        <v>0</v>
      </c>
      <c r="V90" s="144" t="b">
        <v>0</v>
      </c>
      <c r="W90" s="144"/>
      <c r="X90" s="169"/>
      <c r="Y90" s="155"/>
      <c r="Z90" s="138"/>
      <c r="AA90" s="138"/>
      <c r="AB90" s="138"/>
      <c r="AC90" s="155"/>
      <c r="AD90" s="155"/>
      <c r="AE90" s="155"/>
      <c r="AF90" s="155"/>
      <c r="AG90" s="155"/>
      <c r="AH90" s="155"/>
      <c r="AI90" s="155"/>
      <c r="AJ90" s="155"/>
      <c r="AK90" s="155"/>
      <c r="AL90" s="182"/>
    </row>
    <row r="91" spans="1:38" ht="77.25" customHeight="1">
      <c r="A91" s="178" t="s">
        <v>493</v>
      </c>
      <c r="B91" s="138" t="s">
        <v>636</v>
      </c>
      <c r="C91" s="146" t="s">
        <v>637</v>
      </c>
      <c r="D91" s="138" t="s">
        <v>638</v>
      </c>
      <c r="E91" s="138" t="s">
        <v>296</v>
      </c>
      <c r="F91" s="138"/>
      <c r="G91" s="138" t="s">
        <v>71</v>
      </c>
      <c r="H91" s="150" t="s">
        <v>55</v>
      </c>
      <c r="I91" s="150"/>
      <c r="J91" s="150"/>
      <c r="K91" s="150"/>
      <c r="L91" s="184" t="s">
        <v>89</v>
      </c>
      <c r="M91" s="138" t="s">
        <v>639</v>
      </c>
      <c r="N91" s="142" t="s">
        <v>640</v>
      </c>
      <c r="O91" s="138" t="s">
        <v>641</v>
      </c>
      <c r="P91" s="156" t="s">
        <v>642</v>
      </c>
      <c r="Q91" s="142"/>
      <c r="R91" s="151" t="b">
        <v>1</v>
      </c>
      <c r="S91" s="152" t="b">
        <v>1</v>
      </c>
      <c r="T91" s="144" t="b">
        <v>1</v>
      </c>
      <c r="U91" s="144" t="b">
        <v>0</v>
      </c>
      <c r="V91" s="144" t="b">
        <v>0</v>
      </c>
      <c r="W91" s="144"/>
      <c r="X91" s="145">
        <f>DATE(2024,10,14)+TIME(15,10,3)</f>
        <v>45579.631979166668</v>
      </c>
      <c r="Y91" s="138" t="s">
        <v>61</v>
      </c>
      <c r="Z91" s="138" t="s">
        <v>95</v>
      </c>
      <c r="AA91" s="138"/>
      <c r="AB91" s="138"/>
      <c r="AC91" s="138"/>
      <c r="AD91" s="138"/>
      <c r="AE91" s="138"/>
      <c r="AF91" s="138" t="s">
        <v>79</v>
      </c>
      <c r="AG91" s="138" t="s">
        <v>80</v>
      </c>
      <c r="AH91" s="145">
        <f>DATE(2024,10,14)+TIME(16,49,8)</f>
        <v>45579.700787037036</v>
      </c>
      <c r="AI91" s="138"/>
      <c r="AJ91" s="138"/>
      <c r="AK91" s="138" t="s">
        <v>65</v>
      </c>
      <c r="AL91" s="181" t="s">
        <v>61</v>
      </c>
    </row>
    <row r="92" spans="1:38" ht="77.25" customHeight="1">
      <c r="A92" s="178" t="s">
        <v>643</v>
      </c>
      <c r="B92" s="138" t="s">
        <v>644</v>
      </c>
      <c r="C92" s="138" t="s">
        <v>645</v>
      </c>
      <c r="D92" s="138" t="s">
        <v>646</v>
      </c>
      <c r="E92" s="138" t="s">
        <v>647</v>
      </c>
      <c r="F92" s="138" t="s">
        <v>648</v>
      </c>
      <c r="G92" s="138" t="s">
        <v>87</v>
      </c>
      <c r="H92" s="150" t="s">
        <v>88</v>
      </c>
      <c r="I92" s="204"/>
      <c r="J92" s="150"/>
      <c r="K92" s="150"/>
      <c r="L92" s="184" t="s">
        <v>89</v>
      </c>
      <c r="M92" s="138" t="s">
        <v>649</v>
      </c>
      <c r="N92" s="142" t="s">
        <v>650</v>
      </c>
      <c r="O92" s="138"/>
      <c r="P92" s="142" t="s">
        <v>93</v>
      </c>
      <c r="Q92" s="142"/>
      <c r="R92" s="151" t="s">
        <v>94</v>
      </c>
      <c r="S92" s="148" t="s">
        <v>94</v>
      </c>
      <c r="T92" s="144" t="b">
        <v>1</v>
      </c>
      <c r="U92" s="144" t="b">
        <v>0</v>
      </c>
      <c r="V92" s="144" t="b">
        <v>0</v>
      </c>
      <c r="W92" s="144"/>
      <c r="X92" s="145">
        <f>DATE(2024,10,15)+TIME(10,48,35)</f>
        <v>45580.45040509259</v>
      </c>
      <c r="Y92" s="138" t="s">
        <v>95</v>
      </c>
      <c r="Z92" s="138"/>
      <c r="AA92" s="138"/>
      <c r="AB92" s="138"/>
      <c r="AC92" s="138"/>
      <c r="AD92" s="138"/>
      <c r="AE92" s="138"/>
      <c r="AF92" s="138"/>
      <c r="AG92" s="138" t="s">
        <v>62</v>
      </c>
      <c r="AH92" s="145">
        <f>DATE(2024,10,15)+TIME(10,55,58)</f>
        <v>45580.45553240741</v>
      </c>
      <c r="AI92" s="138" t="s">
        <v>63</v>
      </c>
      <c r="AJ92" s="138" t="s">
        <v>64</v>
      </c>
      <c r="AK92" s="138" t="s">
        <v>65</v>
      </c>
      <c r="AL92" s="181" t="s">
        <v>61</v>
      </c>
    </row>
    <row r="93" spans="1:38" ht="77.25" customHeight="1">
      <c r="A93" s="178" t="s">
        <v>651</v>
      </c>
      <c r="B93" s="138" t="s">
        <v>652</v>
      </c>
      <c r="C93" s="138" t="s">
        <v>653</v>
      </c>
      <c r="D93" s="138" t="s">
        <v>654</v>
      </c>
      <c r="E93" s="138" t="s">
        <v>85</v>
      </c>
      <c r="F93" s="138" t="s">
        <v>655</v>
      </c>
      <c r="G93" s="138" t="s">
        <v>103</v>
      </c>
      <c r="H93" s="150" t="s">
        <v>40</v>
      </c>
      <c r="I93" s="150"/>
      <c r="J93" s="150"/>
      <c r="K93" s="150"/>
      <c r="L93" s="184" t="s">
        <v>41</v>
      </c>
      <c r="M93" s="138" t="s">
        <v>90</v>
      </c>
      <c r="N93" s="142"/>
      <c r="O93" s="138" t="s">
        <v>92</v>
      </c>
      <c r="P93" s="142"/>
      <c r="Q93" s="142"/>
      <c r="R93" s="151" t="b">
        <v>0</v>
      </c>
      <c r="S93" s="152" t="b">
        <v>0</v>
      </c>
      <c r="T93" s="144" t="b">
        <v>1</v>
      </c>
      <c r="U93" s="144" t="b">
        <v>0</v>
      </c>
      <c r="V93" s="144" t="b">
        <v>0</v>
      </c>
      <c r="W93" s="144"/>
      <c r="X93" s="145">
        <f>DATE(2024,10,16)+TIME(13,4,21)</f>
        <v>45581.544687499998</v>
      </c>
      <c r="Y93" s="138" t="s">
        <v>61</v>
      </c>
      <c r="Z93" s="138" t="s">
        <v>95</v>
      </c>
      <c r="AA93" s="138"/>
      <c r="AB93" s="138"/>
      <c r="AC93" s="138"/>
      <c r="AD93" s="138"/>
      <c r="AE93" s="138"/>
      <c r="AF93" s="138"/>
      <c r="AG93" s="138" t="s">
        <v>62</v>
      </c>
      <c r="AH93" s="145">
        <f>DATE(2024,10,16)+TIME(13,4,35)</f>
        <v>45581.544849537036</v>
      </c>
      <c r="AI93" s="138" t="s">
        <v>63</v>
      </c>
      <c r="AJ93" s="138" t="s">
        <v>64</v>
      </c>
      <c r="AK93" s="138" t="s">
        <v>65</v>
      </c>
      <c r="AL93" s="181" t="s">
        <v>61</v>
      </c>
    </row>
    <row r="94" spans="1:38" ht="77.25" customHeight="1">
      <c r="A94" s="178" t="s">
        <v>656</v>
      </c>
      <c r="B94" s="138" t="s">
        <v>657</v>
      </c>
      <c r="C94" s="146" t="s">
        <v>658</v>
      </c>
      <c r="D94" s="138" t="s">
        <v>659</v>
      </c>
      <c r="E94" s="138" t="s">
        <v>660</v>
      </c>
      <c r="F94" s="138" t="s">
        <v>661</v>
      </c>
      <c r="G94" s="138" t="s">
        <v>87</v>
      </c>
      <c r="H94" s="150" t="s">
        <v>88</v>
      </c>
      <c r="I94" s="204"/>
      <c r="J94" s="150"/>
      <c r="K94" s="150"/>
      <c r="L94" s="184" t="s">
        <v>142</v>
      </c>
      <c r="M94" s="138" t="s">
        <v>90</v>
      </c>
      <c r="N94" s="142" t="s">
        <v>662</v>
      </c>
      <c r="O94" s="138" t="s">
        <v>92</v>
      </c>
      <c r="P94" s="142" t="s">
        <v>663</v>
      </c>
      <c r="Q94" s="142"/>
      <c r="R94" s="148" t="s">
        <v>94</v>
      </c>
      <c r="S94" s="148" t="s">
        <v>94</v>
      </c>
      <c r="T94" s="152" t="b">
        <v>1</v>
      </c>
      <c r="U94" s="152" t="b">
        <v>0</v>
      </c>
      <c r="V94" s="152" t="b">
        <v>0</v>
      </c>
      <c r="W94" s="152"/>
      <c r="X94" s="145">
        <f>DATE(2024,10,15)+TIME(13,25,2)</f>
        <v>45580.559050925927</v>
      </c>
      <c r="Y94" s="138" t="s">
        <v>61</v>
      </c>
      <c r="Z94" s="138" t="s">
        <v>95</v>
      </c>
      <c r="AA94" s="138" t="s">
        <v>78</v>
      </c>
      <c r="AB94" s="138" t="s">
        <v>78</v>
      </c>
      <c r="AC94" s="138"/>
      <c r="AD94" s="138"/>
      <c r="AE94" s="138"/>
      <c r="AF94" s="138"/>
      <c r="AG94" s="138" t="s">
        <v>62</v>
      </c>
      <c r="AH94" s="145">
        <f>DATE(2024,10,15)+TIME(13,25,19)</f>
        <v>45580.559247685182</v>
      </c>
      <c r="AI94" s="138" t="s">
        <v>146</v>
      </c>
      <c r="AJ94" s="138" t="s">
        <v>64</v>
      </c>
      <c r="AK94" s="138" t="s">
        <v>65</v>
      </c>
      <c r="AL94" s="181" t="s">
        <v>61</v>
      </c>
    </row>
    <row r="95" spans="1:38" ht="77.25" customHeight="1">
      <c r="A95" s="178" t="s">
        <v>292</v>
      </c>
      <c r="B95" s="138" t="s">
        <v>664</v>
      </c>
      <c r="C95" s="146" t="s">
        <v>665</v>
      </c>
      <c r="D95" s="138" t="s">
        <v>659</v>
      </c>
      <c r="E95" s="138" t="s">
        <v>666</v>
      </c>
      <c r="F95" s="138" t="s">
        <v>6983</v>
      </c>
      <c r="G95" s="138" t="s">
        <v>71</v>
      </c>
      <c r="H95" s="150" t="s">
        <v>123</v>
      </c>
      <c r="I95" s="204"/>
      <c r="J95" s="150"/>
      <c r="K95" s="150"/>
      <c r="L95" s="184" t="s">
        <v>142</v>
      </c>
      <c r="M95" s="138" t="s">
        <v>667</v>
      </c>
      <c r="N95" s="142" t="s">
        <v>668</v>
      </c>
      <c r="O95" s="138" t="s">
        <v>231</v>
      </c>
      <c r="P95" s="156" t="s">
        <v>669</v>
      </c>
      <c r="Q95" s="142"/>
      <c r="R95" s="151" t="b">
        <v>1</v>
      </c>
      <c r="S95" s="152" t="b">
        <v>1</v>
      </c>
      <c r="T95" s="152" t="b">
        <v>1</v>
      </c>
      <c r="U95" s="152" t="b">
        <v>1</v>
      </c>
      <c r="V95" s="152" t="b">
        <v>1</v>
      </c>
      <c r="W95" s="152"/>
      <c r="X95" s="145">
        <f>DATE(2024,10,14)+TIME(22,0,3)</f>
        <v>45579.916701388887</v>
      </c>
      <c r="Y95" s="138" t="s">
        <v>61</v>
      </c>
      <c r="Z95" s="138" t="s">
        <v>95</v>
      </c>
      <c r="AA95" s="138"/>
      <c r="AB95" s="138"/>
      <c r="AC95" s="158" t="s">
        <v>670</v>
      </c>
      <c r="AD95" s="138"/>
      <c r="AE95" s="138"/>
      <c r="AF95" s="138" t="s">
        <v>79</v>
      </c>
      <c r="AG95" s="138" t="s">
        <v>80</v>
      </c>
      <c r="AH95" s="145">
        <f>DATE(2024,10,15)+TIME(2,42,20)</f>
        <v>45580.11273148148</v>
      </c>
      <c r="AI95" s="138"/>
      <c r="AJ95" s="138"/>
      <c r="AK95" s="138" t="s">
        <v>65</v>
      </c>
      <c r="AL95" s="181" t="s">
        <v>61</v>
      </c>
    </row>
    <row r="96" spans="1:38" ht="77.25" customHeight="1">
      <c r="A96" s="178" t="s">
        <v>671</v>
      </c>
      <c r="B96" s="138" t="s">
        <v>672</v>
      </c>
      <c r="C96" s="146" t="s">
        <v>673</v>
      </c>
      <c r="D96" s="138" t="s">
        <v>674</v>
      </c>
      <c r="E96" s="138" t="s">
        <v>675</v>
      </c>
      <c r="F96" s="138" t="s">
        <v>676</v>
      </c>
      <c r="G96" s="138" t="s">
        <v>103</v>
      </c>
      <c r="H96" s="150" t="s">
        <v>677</v>
      </c>
      <c r="I96" s="204"/>
      <c r="J96" s="150"/>
      <c r="K96" s="150"/>
      <c r="L96" s="184" t="s">
        <v>142</v>
      </c>
      <c r="M96" s="138" t="s">
        <v>678</v>
      </c>
      <c r="N96" s="142" t="s">
        <v>679</v>
      </c>
      <c r="O96" s="138" t="s">
        <v>92</v>
      </c>
      <c r="P96" s="142" t="s">
        <v>389</v>
      </c>
      <c r="Q96" s="142"/>
      <c r="R96" s="151" t="b">
        <v>1</v>
      </c>
      <c r="S96" s="152" t="b">
        <v>1</v>
      </c>
      <c r="T96" s="152" t="b">
        <v>1</v>
      </c>
      <c r="U96" s="152" t="b">
        <v>0</v>
      </c>
      <c r="V96" s="152" t="b">
        <v>0</v>
      </c>
      <c r="W96" s="152"/>
      <c r="X96" s="145">
        <f>DATE(2024,10,15)+TIME(11,54,19)</f>
        <v>45580.496053240742</v>
      </c>
      <c r="Y96" s="138" t="s">
        <v>61</v>
      </c>
      <c r="Z96" s="138" t="s">
        <v>95</v>
      </c>
      <c r="AA96" s="138"/>
      <c r="AB96" s="138"/>
      <c r="AC96" s="138"/>
      <c r="AD96" s="138"/>
      <c r="AE96" s="138"/>
      <c r="AF96" s="138"/>
      <c r="AG96" s="138" t="s">
        <v>62</v>
      </c>
      <c r="AH96" s="145">
        <f>DATE(2024,10,15)+TIME(11,58,41)</f>
        <v>45580.499085648145</v>
      </c>
      <c r="AI96" s="138" t="s">
        <v>96</v>
      </c>
      <c r="AJ96" s="138" t="s">
        <v>64</v>
      </c>
      <c r="AK96" s="138" t="s">
        <v>65</v>
      </c>
      <c r="AL96" s="181" t="s">
        <v>61</v>
      </c>
    </row>
    <row r="97" spans="1:38" ht="77.25" customHeight="1">
      <c r="A97" s="178" t="s">
        <v>680</v>
      </c>
      <c r="B97" s="138" t="s">
        <v>681</v>
      </c>
      <c r="C97" s="146" t="s">
        <v>682</v>
      </c>
      <c r="D97" s="138" t="s">
        <v>683</v>
      </c>
      <c r="E97" s="138" t="s">
        <v>684</v>
      </c>
      <c r="F97" s="138" t="s">
        <v>685</v>
      </c>
      <c r="G97" s="138" t="s">
        <v>134</v>
      </c>
      <c r="H97" s="150" t="s">
        <v>40</v>
      </c>
      <c r="I97" s="204"/>
      <c r="J97" s="150"/>
      <c r="K97" s="150"/>
      <c r="L97" s="184" t="s">
        <v>56</v>
      </c>
      <c r="M97" s="138" t="s">
        <v>90</v>
      </c>
      <c r="N97" s="142"/>
      <c r="O97" s="138" t="s">
        <v>686</v>
      </c>
      <c r="P97" s="142" t="s">
        <v>687</v>
      </c>
      <c r="Q97" s="142"/>
      <c r="R97" s="151" t="b">
        <v>0</v>
      </c>
      <c r="S97" s="152" t="b">
        <v>0</v>
      </c>
      <c r="T97" s="152" t="b">
        <v>1</v>
      </c>
      <c r="U97" s="152" t="b">
        <v>1</v>
      </c>
      <c r="V97" s="152" t="b">
        <v>1</v>
      </c>
      <c r="W97" s="152"/>
      <c r="X97" s="145">
        <f>DATE(2024,10,16)+TIME(10,8,5)</f>
        <v>45581.422280092593</v>
      </c>
      <c r="Y97" s="138" t="s">
        <v>61</v>
      </c>
      <c r="Z97" s="138" t="s">
        <v>61</v>
      </c>
      <c r="AA97" s="138" t="s">
        <v>78</v>
      </c>
      <c r="AB97" s="138" t="s">
        <v>78</v>
      </c>
      <c r="AC97" s="138"/>
      <c r="AD97" s="138"/>
      <c r="AE97" s="138"/>
      <c r="AF97" s="138"/>
      <c r="AG97" s="138" t="s">
        <v>62</v>
      </c>
      <c r="AH97" s="145">
        <f>DATE(2024,10,16)+TIME(10,14,3)</f>
        <v>45581.426423611112</v>
      </c>
      <c r="AI97" s="138" t="s">
        <v>688</v>
      </c>
      <c r="AJ97" s="138" t="s">
        <v>64</v>
      </c>
      <c r="AK97" s="138" t="s">
        <v>65</v>
      </c>
      <c r="AL97" s="181" t="s">
        <v>61</v>
      </c>
    </row>
    <row r="98" spans="1:38" ht="77.25" customHeight="1">
      <c r="A98" s="178" t="s">
        <v>689</v>
      </c>
      <c r="B98" s="138" t="s">
        <v>690</v>
      </c>
      <c r="C98" s="138" t="s">
        <v>691</v>
      </c>
      <c r="D98" s="138" t="s">
        <v>692</v>
      </c>
      <c r="E98" s="138" t="s">
        <v>693</v>
      </c>
      <c r="F98" s="138" t="s">
        <v>694</v>
      </c>
      <c r="G98" s="138" t="s">
        <v>185</v>
      </c>
      <c r="H98" s="150" t="s">
        <v>123</v>
      </c>
      <c r="I98" s="204"/>
      <c r="J98" s="150"/>
      <c r="K98" s="150"/>
      <c r="L98" s="184" t="s">
        <v>89</v>
      </c>
      <c r="M98" s="138" t="s">
        <v>695</v>
      </c>
      <c r="N98" s="142" t="s">
        <v>696</v>
      </c>
      <c r="O98" s="138" t="s">
        <v>697</v>
      </c>
      <c r="P98" s="142" t="s">
        <v>362</v>
      </c>
      <c r="Q98" s="142"/>
      <c r="R98" s="151" t="b">
        <v>1</v>
      </c>
      <c r="S98" s="152" t="b">
        <v>1</v>
      </c>
      <c r="T98" s="152" t="b">
        <v>1</v>
      </c>
      <c r="U98" s="152" t="b">
        <v>1</v>
      </c>
      <c r="V98" s="152" t="b">
        <v>1</v>
      </c>
      <c r="W98" s="152"/>
      <c r="X98" s="145">
        <f>DATE(2024,10,15)+TIME(10,39,45)</f>
        <v>45580.44427083333</v>
      </c>
      <c r="Y98" s="138" t="s">
        <v>61</v>
      </c>
      <c r="Z98" s="138" t="s">
        <v>95</v>
      </c>
      <c r="AA98" s="138"/>
      <c r="AB98" s="138"/>
      <c r="AC98" s="138"/>
      <c r="AD98" s="138"/>
      <c r="AE98" s="138"/>
      <c r="AF98" s="138"/>
      <c r="AG98" s="138" t="s">
        <v>62</v>
      </c>
      <c r="AH98" s="145">
        <f>DATE(2024,10,15)+TIME(11,5,32)</f>
        <v>45580.462175925924</v>
      </c>
      <c r="AI98" s="138" t="s">
        <v>465</v>
      </c>
      <c r="AJ98" s="138" t="s">
        <v>64</v>
      </c>
      <c r="AK98" s="138" t="s">
        <v>65</v>
      </c>
      <c r="AL98" s="181" t="s">
        <v>61</v>
      </c>
    </row>
    <row r="99" spans="1:38" ht="77.25" customHeight="1">
      <c r="A99" s="178" t="s">
        <v>698</v>
      </c>
      <c r="B99" s="138" t="s">
        <v>699</v>
      </c>
      <c r="C99" s="146" t="s">
        <v>700</v>
      </c>
      <c r="D99" s="138" t="s">
        <v>692</v>
      </c>
      <c r="E99" s="138" t="s">
        <v>344</v>
      </c>
      <c r="F99" s="158" t="s">
        <v>701</v>
      </c>
      <c r="G99" s="138" t="s">
        <v>103</v>
      </c>
      <c r="H99" s="150" t="s">
        <v>123</v>
      </c>
      <c r="I99" s="204"/>
      <c r="J99" s="150"/>
      <c r="K99" s="150"/>
      <c r="L99" s="184" t="s">
        <v>41</v>
      </c>
      <c r="M99" s="138" t="s">
        <v>90</v>
      </c>
      <c r="N99" s="142"/>
      <c r="O99" s="138" t="s">
        <v>92</v>
      </c>
      <c r="P99" s="142"/>
      <c r="Q99" s="142"/>
      <c r="R99" s="151" t="b">
        <v>1</v>
      </c>
      <c r="S99" s="152" t="b">
        <v>1</v>
      </c>
      <c r="T99" s="152" t="b">
        <v>1</v>
      </c>
      <c r="U99" s="152" t="b">
        <v>1</v>
      </c>
      <c r="V99" s="152" t="b">
        <v>0</v>
      </c>
      <c r="W99" s="152"/>
      <c r="X99" s="145">
        <f>DATE(2024,10,16)+TIME(12,37,19)</f>
        <v>45581.525914351849</v>
      </c>
      <c r="Y99" s="138" t="s">
        <v>61</v>
      </c>
      <c r="Z99" s="138"/>
      <c r="AA99" s="138"/>
      <c r="AB99" s="138"/>
      <c r="AC99" s="138"/>
      <c r="AD99" s="138"/>
      <c r="AE99" s="138"/>
      <c r="AF99" s="138"/>
      <c r="AG99" s="138" t="s">
        <v>62</v>
      </c>
      <c r="AH99" s="145">
        <f>DATE(2024,10,16)+TIME(12,37,53)</f>
        <v>45581.526307870372</v>
      </c>
      <c r="AI99" s="138" t="s">
        <v>465</v>
      </c>
      <c r="AJ99" s="138" t="s">
        <v>64</v>
      </c>
      <c r="AK99" s="138" t="s">
        <v>65</v>
      </c>
      <c r="AL99" s="181" t="s">
        <v>61</v>
      </c>
    </row>
    <row r="100" spans="1:38" ht="77.25" customHeight="1">
      <c r="A100" s="178" t="s">
        <v>702</v>
      </c>
      <c r="B100" s="138" t="s">
        <v>703</v>
      </c>
      <c r="C100" s="163" t="s">
        <v>704</v>
      </c>
      <c r="D100" s="138" t="s">
        <v>705</v>
      </c>
      <c r="E100" s="138" t="s">
        <v>85</v>
      </c>
      <c r="F100" s="138" t="s">
        <v>706</v>
      </c>
      <c r="G100" s="138" t="s">
        <v>134</v>
      </c>
      <c r="H100" s="150" t="s">
        <v>123</v>
      </c>
      <c r="I100" s="150"/>
      <c r="J100" s="150"/>
      <c r="K100" s="150"/>
      <c r="L100" s="183" t="s">
        <v>142</v>
      </c>
      <c r="M100" s="138" t="s">
        <v>382</v>
      </c>
      <c r="N100" s="142" t="s">
        <v>707</v>
      </c>
      <c r="O100" s="138" t="s">
        <v>309</v>
      </c>
      <c r="P100" s="139" t="s">
        <v>362</v>
      </c>
      <c r="Q100" s="139"/>
      <c r="R100" s="143" t="b">
        <v>1</v>
      </c>
      <c r="S100" s="144" t="b">
        <v>1</v>
      </c>
      <c r="T100" s="144" t="b">
        <v>1</v>
      </c>
      <c r="U100" s="144" t="b">
        <v>1</v>
      </c>
      <c r="V100" s="144" t="b">
        <v>1</v>
      </c>
      <c r="W100" s="144"/>
      <c r="X100" s="145">
        <f>DATE(2024,10,16)+TIME(10,10,32)</f>
        <v>45581.423981481479</v>
      </c>
      <c r="Y100" s="138" t="s">
        <v>61</v>
      </c>
      <c r="Z100" s="138"/>
      <c r="AA100" s="138"/>
      <c r="AB100" s="138"/>
      <c r="AC100" s="138"/>
      <c r="AD100" s="138"/>
      <c r="AE100" s="138"/>
      <c r="AF100" s="138"/>
      <c r="AG100" s="138" t="s">
        <v>62</v>
      </c>
      <c r="AH100" s="145">
        <f>DATE(2024,10,16)+TIME(10,14,3)</f>
        <v>45581.426423611112</v>
      </c>
      <c r="AI100" s="138" t="s">
        <v>708</v>
      </c>
      <c r="AJ100" s="138" t="s">
        <v>64</v>
      </c>
      <c r="AK100" s="138" t="s">
        <v>65</v>
      </c>
      <c r="AL100" s="181" t="s">
        <v>61</v>
      </c>
    </row>
    <row r="101" spans="1:38" ht="77.25" customHeight="1">
      <c r="A101" s="178" t="s">
        <v>709</v>
      </c>
      <c r="B101" s="138" t="s">
        <v>710</v>
      </c>
      <c r="C101" s="138" t="s">
        <v>711</v>
      </c>
      <c r="D101" s="138" t="s">
        <v>705</v>
      </c>
      <c r="E101" s="138" t="s">
        <v>712</v>
      </c>
      <c r="F101" s="138" t="s">
        <v>713</v>
      </c>
      <c r="G101" s="138" t="s">
        <v>209</v>
      </c>
      <c r="H101" s="150" t="s">
        <v>123</v>
      </c>
      <c r="I101" s="150"/>
      <c r="J101" s="150"/>
      <c r="K101" s="150"/>
      <c r="L101" s="184" t="s">
        <v>41</v>
      </c>
      <c r="M101" s="138" t="s">
        <v>90</v>
      </c>
      <c r="N101" s="142"/>
      <c r="O101" s="138" t="s">
        <v>107</v>
      </c>
      <c r="P101" s="142"/>
      <c r="Q101" s="142"/>
      <c r="R101" s="151" t="b">
        <v>1</v>
      </c>
      <c r="S101" s="152" t="b">
        <v>1</v>
      </c>
      <c r="T101" s="152" t="b">
        <v>1</v>
      </c>
      <c r="U101" s="152" t="b">
        <v>1</v>
      </c>
      <c r="V101" s="152" t="b">
        <v>1</v>
      </c>
      <c r="W101" s="152"/>
      <c r="X101" s="145">
        <f>DATE(2024,10,15)+TIME(10,2,45)</f>
        <v>45580.418576388889</v>
      </c>
      <c r="Y101" s="138" t="s">
        <v>61</v>
      </c>
      <c r="Z101" s="138" t="s">
        <v>95</v>
      </c>
      <c r="AA101" s="138"/>
      <c r="AB101" s="138"/>
      <c r="AC101" s="138"/>
      <c r="AD101" s="138"/>
      <c r="AE101" s="138"/>
      <c r="AF101" s="138"/>
      <c r="AG101" s="138" t="s">
        <v>62</v>
      </c>
      <c r="AH101" s="145">
        <f>DATE(2024,10,15)+TIME(17,43,48)</f>
        <v>45580.738749999997</v>
      </c>
      <c r="AI101" s="138" t="s">
        <v>465</v>
      </c>
      <c r="AJ101" s="138" t="s">
        <v>64</v>
      </c>
      <c r="AK101" s="138" t="s">
        <v>65</v>
      </c>
      <c r="AL101" s="181" t="s">
        <v>61</v>
      </c>
    </row>
    <row r="102" spans="1:38" ht="77.25" customHeight="1">
      <c r="A102" s="178" t="s">
        <v>714</v>
      </c>
      <c r="B102" s="138" t="s">
        <v>715</v>
      </c>
      <c r="C102" s="138" t="s">
        <v>716</v>
      </c>
      <c r="D102" s="138" t="s">
        <v>717</v>
      </c>
      <c r="E102" s="138" t="s">
        <v>718</v>
      </c>
      <c r="F102" s="138" t="s">
        <v>719</v>
      </c>
      <c r="G102" s="138" t="s">
        <v>103</v>
      </c>
      <c r="H102" s="150" t="s">
        <v>40</v>
      </c>
      <c r="I102" s="150"/>
      <c r="J102" s="150"/>
      <c r="K102" s="150"/>
      <c r="L102" s="184" t="s">
        <v>89</v>
      </c>
      <c r="M102" s="138"/>
      <c r="N102" s="142"/>
      <c r="O102" s="138"/>
      <c r="P102" s="142"/>
      <c r="Q102" s="142"/>
      <c r="R102" s="151" t="b">
        <v>0</v>
      </c>
      <c r="S102" s="152" t="b">
        <v>0</v>
      </c>
      <c r="T102" s="144" t="b">
        <v>1</v>
      </c>
      <c r="U102" s="144" t="b">
        <v>0</v>
      </c>
      <c r="V102" s="144" t="b">
        <v>0</v>
      </c>
      <c r="W102" s="144"/>
      <c r="X102" s="145">
        <f>DATE(2024,10,16)+TIME(10,27,41)</f>
        <v>45581.435891203706</v>
      </c>
      <c r="Y102" s="138" t="s">
        <v>95</v>
      </c>
      <c r="Z102" s="138"/>
      <c r="AA102" s="138"/>
      <c r="AB102" s="138"/>
      <c r="AC102" s="138"/>
      <c r="AD102" s="138"/>
      <c r="AE102" s="138"/>
      <c r="AF102" s="138"/>
      <c r="AG102" s="138" t="s">
        <v>62</v>
      </c>
      <c r="AH102" s="145">
        <f>DATE(2024,10,16)+TIME(10,27,47)</f>
        <v>45581.435960648145</v>
      </c>
      <c r="AI102" s="138" t="s">
        <v>96</v>
      </c>
      <c r="AJ102" s="138" t="s">
        <v>64</v>
      </c>
      <c r="AK102" s="138" t="s">
        <v>65</v>
      </c>
      <c r="AL102" s="181" t="s">
        <v>61</v>
      </c>
    </row>
    <row r="103" spans="1:38" ht="77.25" customHeight="1">
      <c r="A103" s="178" t="s">
        <v>720</v>
      </c>
      <c r="B103" s="138" t="s">
        <v>721</v>
      </c>
      <c r="C103" s="138" t="s">
        <v>722</v>
      </c>
      <c r="D103" s="138" t="s">
        <v>723</v>
      </c>
      <c r="E103" s="138" t="s">
        <v>675</v>
      </c>
      <c r="F103" s="138" t="s">
        <v>724</v>
      </c>
      <c r="G103" s="138" t="s">
        <v>103</v>
      </c>
      <c r="H103" s="150" t="s">
        <v>55</v>
      </c>
      <c r="I103" s="150" t="s">
        <v>725</v>
      </c>
      <c r="J103" s="150" t="s">
        <v>725</v>
      </c>
      <c r="K103" s="150"/>
      <c r="L103" s="184" t="s">
        <v>142</v>
      </c>
      <c r="M103" s="138" t="s">
        <v>726</v>
      </c>
      <c r="N103" s="142" t="s">
        <v>727</v>
      </c>
      <c r="O103" s="138" t="s">
        <v>92</v>
      </c>
      <c r="P103" s="142"/>
      <c r="Q103" s="142"/>
      <c r="R103" s="151" t="b">
        <v>0</v>
      </c>
      <c r="S103" s="152" t="b">
        <v>0</v>
      </c>
      <c r="T103" s="152" t="b">
        <v>1</v>
      </c>
      <c r="U103" s="152" t="b">
        <v>0</v>
      </c>
      <c r="V103" s="152" t="b">
        <v>0</v>
      </c>
      <c r="W103" s="152"/>
      <c r="X103" s="145">
        <f>DATE(2024,10,15)+TIME(12,51,12)</f>
        <v>45580.535555555558</v>
      </c>
      <c r="Y103" s="138" t="s">
        <v>61</v>
      </c>
      <c r="Z103" s="138" t="s">
        <v>95</v>
      </c>
      <c r="AA103" s="138"/>
      <c r="AB103" s="138"/>
      <c r="AC103" s="138"/>
      <c r="AD103" s="138"/>
      <c r="AE103" s="138"/>
      <c r="AF103" s="138"/>
      <c r="AG103" s="138" t="s">
        <v>62</v>
      </c>
      <c r="AH103" s="145">
        <f>DATE(2024,10,15)+TIME(13,31,32)</f>
        <v>45580.563564814816</v>
      </c>
      <c r="AI103" s="138" t="s">
        <v>63</v>
      </c>
      <c r="AJ103" s="138" t="s">
        <v>64</v>
      </c>
      <c r="AK103" s="138" t="s">
        <v>65</v>
      </c>
      <c r="AL103" s="181" t="s">
        <v>61</v>
      </c>
    </row>
    <row r="104" spans="1:38" ht="77.25" customHeight="1">
      <c r="A104" s="178" t="s">
        <v>728</v>
      </c>
      <c r="B104" s="138" t="s">
        <v>729</v>
      </c>
      <c r="C104" s="138" t="s">
        <v>730</v>
      </c>
      <c r="D104" s="138" t="s">
        <v>731</v>
      </c>
      <c r="E104" s="138" t="s">
        <v>732</v>
      </c>
      <c r="F104" s="138" t="s">
        <v>733</v>
      </c>
      <c r="G104" s="138" t="s">
        <v>209</v>
      </c>
      <c r="H104" s="150" t="s">
        <v>55</v>
      </c>
      <c r="I104" s="150" t="s">
        <v>725</v>
      </c>
      <c r="J104" s="150" t="s">
        <v>725</v>
      </c>
      <c r="K104" s="150"/>
      <c r="L104" s="184" t="s">
        <v>142</v>
      </c>
      <c r="M104" s="138" t="s">
        <v>90</v>
      </c>
      <c r="N104" s="142" t="s">
        <v>734</v>
      </c>
      <c r="O104" s="138" t="s">
        <v>92</v>
      </c>
      <c r="P104" s="142"/>
      <c r="Q104" s="142"/>
      <c r="R104" s="151" t="b">
        <v>0</v>
      </c>
      <c r="S104" s="152" t="s">
        <v>94</v>
      </c>
      <c r="T104" s="152" t="b">
        <v>1</v>
      </c>
      <c r="U104" s="152" t="b">
        <v>0</v>
      </c>
      <c r="V104" s="152" t="b">
        <v>0</v>
      </c>
      <c r="W104" s="152"/>
      <c r="X104" s="145">
        <f>DATE(2024,10,16)+TIME(11,24,54)</f>
        <v>45581.475624999999</v>
      </c>
      <c r="Y104" s="138" t="s">
        <v>61</v>
      </c>
      <c r="Z104" s="138" t="s">
        <v>95</v>
      </c>
      <c r="AA104" s="138"/>
      <c r="AB104" s="138"/>
      <c r="AC104" s="138"/>
      <c r="AD104" s="138"/>
      <c r="AE104" s="138"/>
      <c r="AF104" s="138"/>
      <c r="AG104" s="138" t="s">
        <v>62</v>
      </c>
      <c r="AH104" s="145">
        <f>DATE(2024,10,16)+TIME(11,40,42)</f>
        <v>45581.486597222225</v>
      </c>
      <c r="AI104" s="138" t="s">
        <v>63</v>
      </c>
      <c r="AJ104" s="138" t="s">
        <v>64</v>
      </c>
      <c r="AK104" s="138" t="s">
        <v>65</v>
      </c>
      <c r="AL104" s="181" t="s">
        <v>61</v>
      </c>
    </row>
    <row r="105" spans="1:38" ht="77.25" customHeight="1">
      <c r="A105" s="178" t="s">
        <v>735</v>
      </c>
      <c r="B105" s="138" t="s">
        <v>736</v>
      </c>
      <c r="C105" s="138" t="s">
        <v>737</v>
      </c>
      <c r="D105" s="138" t="s">
        <v>738</v>
      </c>
      <c r="E105" s="138" t="s">
        <v>739</v>
      </c>
      <c r="F105" s="138" t="s">
        <v>740</v>
      </c>
      <c r="G105" s="138" t="s">
        <v>209</v>
      </c>
      <c r="H105" s="150"/>
      <c r="I105" s="150"/>
      <c r="J105" s="150"/>
      <c r="K105" s="150"/>
      <c r="L105" s="184" t="s">
        <v>89</v>
      </c>
      <c r="M105" s="138" t="s">
        <v>741</v>
      </c>
      <c r="N105" s="142"/>
      <c r="O105" s="138" t="s">
        <v>107</v>
      </c>
      <c r="P105" s="142"/>
      <c r="Q105" s="142"/>
      <c r="R105" s="151" t="b">
        <v>0</v>
      </c>
      <c r="S105" s="152" t="b">
        <v>0</v>
      </c>
      <c r="T105" s="144" t="b">
        <v>1</v>
      </c>
      <c r="U105" s="144" t="b">
        <v>0</v>
      </c>
      <c r="V105" s="144" t="b">
        <v>0</v>
      </c>
      <c r="W105" s="144"/>
      <c r="X105" s="145">
        <f>DATE(2024,10,15)+TIME(9,57,21)</f>
        <v>45580.414826388886</v>
      </c>
      <c r="Y105" s="138" t="s">
        <v>61</v>
      </c>
      <c r="Z105" s="138" t="s">
        <v>95</v>
      </c>
      <c r="AA105" s="138"/>
      <c r="AB105" s="138"/>
      <c r="AC105" s="138"/>
      <c r="AD105" s="138"/>
      <c r="AE105" s="138"/>
      <c r="AF105" s="138"/>
      <c r="AG105" s="138" t="s">
        <v>62</v>
      </c>
      <c r="AH105" s="145">
        <f>DATE(2024,10,15)+TIME(17,43,48)</f>
        <v>45580.738749999997</v>
      </c>
      <c r="AI105" s="138" t="s">
        <v>742</v>
      </c>
      <c r="AJ105" s="138" t="s">
        <v>64</v>
      </c>
      <c r="AK105" s="138" t="s">
        <v>65</v>
      </c>
      <c r="AL105" s="181" t="s">
        <v>61</v>
      </c>
    </row>
    <row r="106" spans="1:38" ht="77.25" customHeight="1">
      <c r="A106" s="178" t="s">
        <v>709</v>
      </c>
      <c r="B106" s="138" t="s">
        <v>743</v>
      </c>
      <c r="C106" s="146" t="s">
        <v>744</v>
      </c>
      <c r="D106" s="138" t="s">
        <v>745</v>
      </c>
      <c r="E106" s="138" t="s">
        <v>746</v>
      </c>
      <c r="F106" s="138" t="s">
        <v>747</v>
      </c>
      <c r="G106" s="138" t="s">
        <v>209</v>
      </c>
      <c r="H106" s="150" t="s">
        <v>40</v>
      </c>
      <c r="I106" s="150"/>
      <c r="J106" s="150"/>
      <c r="K106" s="150"/>
      <c r="L106" s="184" t="s">
        <v>56</v>
      </c>
      <c r="M106" s="138" t="s">
        <v>90</v>
      </c>
      <c r="N106" s="142" t="s">
        <v>748</v>
      </c>
      <c r="O106" s="138" t="s">
        <v>309</v>
      </c>
      <c r="P106" s="142" t="s">
        <v>749</v>
      </c>
      <c r="Q106" s="142"/>
      <c r="R106" s="151" t="b">
        <v>0</v>
      </c>
      <c r="S106" s="152" t="b">
        <v>0</v>
      </c>
      <c r="T106" s="152" t="b">
        <v>1</v>
      </c>
      <c r="U106" s="152" t="b">
        <v>1</v>
      </c>
      <c r="V106" s="152" t="b">
        <v>1</v>
      </c>
      <c r="W106" s="152"/>
      <c r="X106" s="145">
        <f>DATE(2024,10,16)+TIME(10,17,26)</f>
        <v>45581.428773148145</v>
      </c>
      <c r="Y106" s="138" t="s">
        <v>61</v>
      </c>
      <c r="Z106" s="138" t="s">
        <v>95</v>
      </c>
      <c r="AA106" s="138"/>
      <c r="AB106" s="138"/>
      <c r="AC106" s="138"/>
      <c r="AD106" s="138"/>
      <c r="AE106" s="138"/>
      <c r="AF106" s="138"/>
      <c r="AG106" s="138" t="s">
        <v>62</v>
      </c>
      <c r="AH106" s="145">
        <f>DATE(2024,10,16)+TIME(10,19,0)</f>
        <v>45581.429861111108</v>
      </c>
      <c r="AI106" s="138" t="s">
        <v>750</v>
      </c>
      <c r="AJ106" s="138" t="s">
        <v>64</v>
      </c>
      <c r="AK106" s="138" t="s">
        <v>65</v>
      </c>
      <c r="AL106" s="181" t="s">
        <v>61</v>
      </c>
    </row>
    <row r="107" spans="1:38" ht="77.25" customHeight="1">
      <c r="A107" s="177" t="s">
        <v>751</v>
      </c>
      <c r="B107" s="138" t="s">
        <v>752</v>
      </c>
      <c r="C107" s="146" t="s">
        <v>753</v>
      </c>
      <c r="D107" s="138" t="s">
        <v>754</v>
      </c>
      <c r="E107" s="138" t="s">
        <v>755</v>
      </c>
      <c r="F107" s="138" t="s">
        <v>756</v>
      </c>
      <c r="G107" s="138" t="s">
        <v>757</v>
      </c>
      <c r="H107" s="186" t="s">
        <v>88</v>
      </c>
      <c r="I107" s="147"/>
      <c r="J107" s="147"/>
      <c r="K107" s="147"/>
      <c r="L107" s="184" t="s">
        <v>177</v>
      </c>
      <c r="M107" s="138" t="s">
        <v>57</v>
      </c>
      <c r="N107" s="142" t="s">
        <v>758</v>
      </c>
      <c r="O107" s="138" t="s">
        <v>759</v>
      </c>
      <c r="P107" s="142" t="s">
        <v>760</v>
      </c>
      <c r="Q107" s="142"/>
      <c r="R107" s="148" t="s">
        <v>94</v>
      </c>
      <c r="S107" s="149" t="s">
        <v>94</v>
      </c>
      <c r="T107" s="152" t="b">
        <v>1</v>
      </c>
      <c r="U107" s="152" t="b">
        <v>0</v>
      </c>
      <c r="V107" s="152" t="b">
        <v>0</v>
      </c>
      <c r="W107" s="152"/>
      <c r="X107" s="145">
        <f>DATE(2024,10,14)+TIME(11,4,21)</f>
        <v>45579.461354166669</v>
      </c>
      <c r="Y107" s="138" t="s">
        <v>61</v>
      </c>
      <c r="Z107" s="138" t="s">
        <v>61</v>
      </c>
      <c r="AA107" s="138"/>
      <c r="AB107" s="138"/>
      <c r="AC107" s="138"/>
      <c r="AD107" s="138"/>
      <c r="AE107" s="138"/>
      <c r="AF107" s="138"/>
      <c r="AG107" s="138" t="s">
        <v>62</v>
      </c>
      <c r="AH107" s="145">
        <f>DATE(2024,10,14)+TIME(11,5,43)</f>
        <v>45579.46230324074</v>
      </c>
      <c r="AI107" s="138"/>
      <c r="AJ107" s="138" t="s">
        <v>761</v>
      </c>
      <c r="AK107" s="138" t="s">
        <v>65</v>
      </c>
      <c r="AL107" s="181" t="s">
        <v>61</v>
      </c>
    </row>
    <row r="108" spans="1:38" ht="77.25" customHeight="1">
      <c r="A108" s="178" t="s">
        <v>762</v>
      </c>
      <c r="B108" s="138" t="s">
        <v>763</v>
      </c>
      <c r="C108" s="138" t="s">
        <v>764</v>
      </c>
      <c r="D108" s="138" t="s">
        <v>765</v>
      </c>
      <c r="E108" s="138" t="s">
        <v>271</v>
      </c>
      <c r="F108" s="138" t="s">
        <v>766</v>
      </c>
      <c r="G108" s="138" t="s">
        <v>209</v>
      </c>
      <c r="H108" s="150"/>
      <c r="I108" s="150"/>
      <c r="J108" s="150"/>
      <c r="K108" s="150"/>
      <c r="L108" s="184" t="s">
        <v>41</v>
      </c>
      <c r="M108" s="138" t="s">
        <v>90</v>
      </c>
      <c r="N108" s="142"/>
      <c r="O108" s="138" t="s">
        <v>92</v>
      </c>
      <c r="P108" s="142"/>
      <c r="Q108" s="142"/>
      <c r="R108" s="151" t="b">
        <v>0</v>
      </c>
      <c r="S108" s="152" t="b">
        <v>0</v>
      </c>
      <c r="T108" s="144" t="b">
        <v>1</v>
      </c>
      <c r="U108" s="144" t="b">
        <v>0</v>
      </c>
      <c r="V108" s="144" t="b">
        <v>0</v>
      </c>
      <c r="W108" s="144"/>
      <c r="X108" s="145">
        <f>DATE(2024,10,15)+TIME(10,44,31)</f>
        <v>45580.447581018518</v>
      </c>
      <c r="Y108" s="138" t="s">
        <v>61</v>
      </c>
      <c r="Z108" s="138" t="s">
        <v>95</v>
      </c>
      <c r="AA108" s="138"/>
      <c r="AB108" s="138"/>
      <c r="AC108" s="138"/>
      <c r="AD108" s="138"/>
      <c r="AE108" s="138"/>
      <c r="AF108" s="138"/>
      <c r="AG108" s="138" t="s">
        <v>62</v>
      </c>
      <c r="AH108" s="145">
        <f>DATE(2024,10,15)+TIME(17,43,48)</f>
        <v>45580.738749999997</v>
      </c>
      <c r="AI108" s="138" t="s">
        <v>750</v>
      </c>
      <c r="AJ108" s="138" t="s">
        <v>64</v>
      </c>
      <c r="AK108" s="138" t="s">
        <v>65</v>
      </c>
      <c r="AL108" s="181" t="s">
        <v>61</v>
      </c>
    </row>
    <row r="109" spans="1:38" ht="115" customHeight="1">
      <c r="A109" s="178" t="s">
        <v>767</v>
      </c>
      <c r="B109" s="138" t="s">
        <v>768</v>
      </c>
      <c r="C109" s="138" t="s">
        <v>769</v>
      </c>
      <c r="D109" s="138" t="s">
        <v>770</v>
      </c>
      <c r="E109" s="138" t="s">
        <v>771</v>
      </c>
      <c r="F109" s="138"/>
      <c r="G109" s="138" t="s">
        <v>772</v>
      </c>
      <c r="H109" s="140" t="s">
        <v>773</v>
      </c>
      <c r="I109" s="140"/>
      <c r="J109" s="140" t="s">
        <v>73</v>
      </c>
      <c r="K109" s="140"/>
      <c r="L109" s="183" t="s">
        <v>56</v>
      </c>
      <c r="M109" s="138" t="s">
        <v>90</v>
      </c>
      <c r="N109" s="139" t="s">
        <v>774</v>
      </c>
      <c r="O109" s="161" t="s">
        <v>775</v>
      </c>
      <c r="P109" s="156" t="s">
        <v>776</v>
      </c>
      <c r="Q109" s="139"/>
      <c r="R109" s="143" t="b">
        <v>1</v>
      </c>
      <c r="S109" s="144" t="b">
        <v>1</v>
      </c>
      <c r="T109" s="144" t="b">
        <v>1</v>
      </c>
      <c r="U109" s="144" t="b">
        <v>0</v>
      </c>
      <c r="V109" s="144" t="b">
        <v>0</v>
      </c>
      <c r="W109" s="144"/>
      <c r="X109" s="145">
        <f>DATE(2024,10,15)+TIME(15,43,56)</f>
        <v>45580.655509259261</v>
      </c>
      <c r="Y109" s="138" t="s">
        <v>61</v>
      </c>
      <c r="Z109" s="138" t="s">
        <v>61</v>
      </c>
      <c r="AA109" s="138" t="s">
        <v>222</v>
      </c>
      <c r="AB109" s="138" t="s">
        <v>78</v>
      </c>
      <c r="AC109" s="138"/>
      <c r="AD109" s="138"/>
      <c r="AE109" s="138"/>
      <c r="AF109" s="138" t="s">
        <v>79</v>
      </c>
      <c r="AG109" s="138" t="s">
        <v>80</v>
      </c>
      <c r="AH109" s="145">
        <f>DATE(2024,10,15)+TIME(16,48,59)</f>
        <v>45580.700682870367</v>
      </c>
      <c r="AI109" s="138"/>
      <c r="AJ109" s="138"/>
      <c r="AK109" s="138" t="s">
        <v>65</v>
      </c>
      <c r="AL109" s="181" t="s">
        <v>61</v>
      </c>
    </row>
    <row r="110" spans="1:38" ht="77.25" customHeight="1">
      <c r="A110" s="178" t="s">
        <v>777</v>
      </c>
      <c r="B110" s="138" t="s">
        <v>778</v>
      </c>
      <c r="C110" s="146" t="s">
        <v>779</v>
      </c>
      <c r="D110" s="138" t="s">
        <v>780</v>
      </c>
      <c r="E110" s="138" t="s">
        <v>781</v>
      </c>
      <c r="F110" s="138"/>
      <c r="G110" s="138" t="s">
        <v>71</v>
      </c>
      <c r="H110" s="150" t="s">
        <v>782</v>
      </c>
      <c r="I110" s="150"/>
      <c r="J110" s="150"/>
      <c r="K110" s="150"/>
      <c r="L110" s="184" t="s">
        <v>56</v>
      </c>
      <c r="M110" s="138" t="s">
        <v>90</v>
      </c>
      <c r="N110" s="142" t="s">
        <v>783</v>
      </c>
      <c r="O110" s="138" t="s">
        <v>784</v>
      </c>
      <c r="P110" s="156" t="s">
        <v>785</v>
      </c>
      <c r="Q110" s="142"/>
      <c r="R110" s="151" t="b">
        <v>1</v>
      </c>
      <c r="S110" s="152" t="b">
        <v>1</v>
      </c>
      <c r="T110" s="152" t="b">
        <v>1</v>
      </c>
      <c r="U110" s="152" t="b">
        <v>1</v>
      </c>
      <c r="V110" s="152" t="b">
        <v>0</v>
      </c>
      <c r="W110" s="152"/>
      <c r="X110" s="145">
        <f>DATE(2024,10,15)+TIME(15,44,8)</f>
        <v>45580.655648148146</v>
      </c>
      <c r="Y110" s="138" t="s">
        <v>61</v>
      </c>
      <c r="Z110" s="138" t="s">
        <v>61</v>
      </c>
      <c r="AA110" s="138" t="s">
        <v>222</v>
      </c>
      <c r="AB110" s="138" t="s">
        <v>61</v>
      </c>
      <c r="AC110" s="138"/>
      <c r="AD110" s="138"/>
      <c r="AE110" s="138"/>
      <c r="AF110" s="138" t="s">
        <v>79</v>
      </c>
      <c r="AG110" s="138" t="s">
        <v>80</v>
      </c>
      <c r="AH110" s="145">
        <f>DATE(2024,10,15)+TIME(17,20,50)</f>
        <v>45580.722800925927</v>
      </c>
      <c r="AI110" s="138"/>
      <c r="AJ110" s="138"/>
      <c r="AK110" s="138" t="s">
        <v>65</v>
      </c>
      <c r="AL110" s="181" t="s">
        <v>61</v>
      </c>
    </row>
    <row r="111" spans="1:38" ht="77.25" customHeight="1">
      <c r="A111" s="178" t="s">
        <v>786</v>
      </c>
      <c r="B111" s="138" t="s">
        <v>787</v>
      </c>
      <c r="C111" s="138" t="s">
        <v>788</v>
      </c>
      <c r="D111" s="138" t="s">
        <v>789</v>
      </c>
      <c r="E111" s="138"/>
      <c r="F111" s="138"/>
      <c r="G111" s="138" t="s">
        <v>103</v>
      </c>
      <c r="H111" s="150" t="s">
        <v>40</v>
      </c>
      <c r="I111" s="150"/>
      <c r="J111" s="150"/>
      <c r="K111" s="150"/>
      <c r="L111" s="184" t="s">
        <v>41</v>
      </c>
      <c r="M111" s="138" t="s">
        <v>57</v>
      </c>
      <c r="N111" s="142" t="s">
        <v>790</v>
      </c>
      <c r="O111" s="138" t="s">
        <v>107</v>
      </c>
      <c r="P111" s="142"/>
      <c r="Q111" s="142"/>
      <c r="R111" s="151" t="b">
        <v>0</v>
      </c>
      <c r="S111" s="152" t="b">
        <v>0</v>
      </c>
      <c r="T111" s="144" t="b">
        <v>1</v>
      </c>
      <c r="U111" s="144" t="b">
        <v>0</v>
      </c>
      <c r="V111" s="144" t="b">
        <v>0</v>
      </c>
      <c r="W111" s="144"/>
      <c r="X111" s="145">
        <f>DATE(2024,10,15)+TIME(9,12,58)</f>
        <v>45580.384004629632</v>
      </c>
      <c r="Y111" s="138" t="s">
        <v>61</v>
      </c>
      <c r="Z111" s="138" t="s">
        <v>95</v>
      </c>
      <c r="AA111" s="138"/>
      <c r="AB111" s="138"/>
      <c r="AC111" s="138"/>
      <c r="AD111" s="138"/>
      <c r="AE111" s="138"/>
      <c r="AF111" s="138"/>
      <c r="AG111" s="138" t="s">
        <v>62</v>
      </c>
      <c r="AH111" s="145">
        <f>DATE(2024,10,15)+TIME(9,13,15)</f>
        <v>45580.384201388886</v>
      </c>
      <c r="AI111" s="138"/>
      <c r="AJ111" s="138" t="s">
        <v>64</v>
      </c>
      <c r="AK111" s="138" t="s">
        <v>65</v>
      </c>
      <c r="AL111" s="181" t="s">
        <v>61</v>
      </c>
    </row>
    <row r="112" spans="1:38" ht="77.25" customHeight="1">
      <c r="A112" s="178" t="s">
        <v>791</v>
      </c>
      <c r="B112" s="138" t="s">
        <v>792</v>
      </c>
      <c r="C112" s="138" t="s">
        <v>793</v>
      </c>
      <c r="D112" s="138" t="s">
        <v>794</v>
      </c>
      <c r="E112" s="138" t="s">
        <v>132</v>
      </c>
      <c r="F112" s="138" t="s">
        <v>795</v>
      </c>
      <c r="G112" s="138" t="s">
        <v>167</v>
      </c>
      <c r="H112" s="150"/>
      <c r="I112" s="150"/>
      <c r="J112" s="150"/>
      <c r="K112" s="150"/>
      <c r="L112" s="184" t="s">
        <v>41</v>
      </c>
      <c r="M112" s="138"/>
      <c r="N112" s="142"/>
      <c r="O112" s="138"/>
      <c r="P112" s="142"/>
      <c r="Q112" s="142"/>
      <c r="R112" s="151" t="b">
        <v>0</v>
      </c>
      <c r="S112" s="152" t="b">
        <v>0</v>
      </c>
      <c r="T112" s="144" t="b">
        <v>1</v>
      </c>
      <c r="U112" s="144" t="b">
        <v>0</v>
      </c>
      <c r="V112" s="144" t="b">
        <v>0</v>
      </c>
      <c r="W112" s="144"/>
      <c r="X112" s="145">
        <f>DATE(2024,10,15)+TIME(13,56,0)</f>
        <v>45580.580555555556</v>
      </c>
      <c r="Y112" s="138" t="s">
        <v>95</v>
      </c>
      <c r="Z112" s="138"/>
      <c r="AA112" s="138"/>
      <c r="AB112" s="138"/>
      <c r="AC112" s="138"/>
      <c r="AD112" s="138"/>
      <c r="AE112" s="138"/>
      <c r="AF112" s="138"/>
      <c r="AG112" s="138" t="s">
        <v>62</v>
      </c>
      <c r="AH112" s="145">
        <f>DATE(2024,10,15)+TIME(13,56,7)</f>
        <v>45580.580636574072</v>
      </c>
      <c r="AI112" s="138" t="s">
        <v>135</v>
      </c>
      <c r="AJ112" s="138" t="s">
        <v>64</v>
      </c>
      <c r="AK112" s="138" t="s">
        <v>65</v>
      </c>
      <c r="AL112" s="181" t="s">
        <v>61</v>
      </c>
    </row>
    <row r="113" spans="1:38" ht="77.25" customHeight="1">
      <c r="A113" s="178" t="s">
        <v>796</v>
      </c>
      <c r="B113" s="138" t="s">
        <v>797</v>
      </c>
      <c r="C113" s="138" t="s">
        <v>798</v>
      </c>
      <c r="D113" s="138" t="s">
        <v>799</v>
      </c>
      <c r="E113" s="138" t="s">
        <v>800</v>
      </c>
      <c r="F113" s="138" t="s">
        <v>801</v>
      </c>
      <c r="G113" s="138" t="s">
        <v>134</v>
      </c>
      <c r="H113" s="150" t="s">
        <v>40</v>
      </c>
      <c r="I113" s="150"/>
      <c r="J113" s="150"/>
      <c r="K113" s="150"/>
      <c r="L113" s="184" t="s">
        <v>142</v>
      </c>
      <c r="M113" s="138" t="s">
        <v>90</v>
      </c>
      <c r="N113" s="142"/>
      <c r="O113" s="138" t="s">
        <v>92</v>
      </c>
      <c r="P113" s="142"/>
      <c r="Q113" s="142"/>
      <c r="R113" s="151" t="b">
        <v>0</v>
      </c>
      <c r="S113" s="152" t="b">
        <v>0</v>
      </c>
      <c r="T113" s="152" t="b">
        <v>1</v>
      </c>
      <c r="U113" s="152" t="b">
        <v>0</v>
      </c>
      <c r="V113" s="152" t="b">
        <v>0</v>
      </c>
      <c r="W113" s="152"/>
      <c r="X113" s="145">
        <f>DATE(2024,10,15)+TIME(15,31,34)</f>
        <v>45580.646921296298</v>
      </c>
      <c r="Y113" s="138" t="s">
        <v>61</v>
      </c>
      <c r="Z113" s="138" t="s">
        <v>95</v>
      </c>
      <c r="AA113" s="138"/>
      <c r="AB113" s="138"/>
      <c r="AC113" s="138"/>
      <c r="AD113" s="138"/>
      <c r="AE113" s="138"/>
      <c r="AF113" s="138"/>
      <c r="AG113" s="138" t="s">
        <v>62</v>
      </c>
      <c r="AH113" s="145">
        <f>DATE(2024,10,15)+TIME(17,46,25)</f>
        <v>45580.740567129629</v>
      </c>
      <c r="AI113" s="138" t="s">
        <v>63</v>
      </c>
      <c r="AJ113" s="138" t="s">
        <v>64</v>
      </c>
      <c r="AK113" s="138" t="s">
        <v>65</v>
      </c>
      <c r="AL113" s="181" t="s">
        <v>61</v>
      </c>
    </row>
    <row r="114" spans="1:38" ht="77.25" customHeight="1">
      <c r="A114" s="178" t="s">
        <v>802</v>
      </c>
      <c r="B114" s="138" t="s">
        <v>803</v>
      </c>
      <c r="C114" s="138" t="s">
        <v>804</v>
      </c>
      <c r="D114" s="138" t="s">
        <v>805</v>
      </c>
      <c r="E114" s="138" t="s">
        <v>806</v>
      </c>
      <c r="F114" s="138" t="s">
        <v>807</v>
      </c>
      <c r="G114" s="138" t="s">
        <v>103</v>
      </c>
      <c r="H114" s="150" t="s">
        <v>123</v>
      </c>
      <c r="I114" s="150"/>
      <c r="J114" s="150"/>
      <c r="K114" s="150"/>
      <c r="L114" s="184" t="s">
        <v>142</v>
      </c>
      <c r="M114" s="138"/>
      <c r="N114" s="142" t="s">
        <v>808</v>
      </c>
      <c r="O114" s="138"/>
      <c r="P114" s="142"/>
      <c r="Q114" s="142"/>
      <c r="R114" s="151" t="b">
        <v>1</v>
      </c>
      <c r="S114" s="152" t="b">
        <v>1</v>
      </c>
      <c r="T114" s="144" t="b">
        <v>1</v>
      </c>
      <c r="U114" s="144" t="b">
        <v>1</v>
      </c>
      <c r="V114" s="144" t="b">
        <v>0</v>
      </c>
      <c r="W114" s="144"/>
      <c r="X114" s="145">
        <f>DATE(2024,10,16)+TIME(14,43,22)</f>
        <v>45581.613449074073</v>
      </c>
      <c r="Y114" s="138" t="s">
        <v>95</v>
      </c>
      <c r="Z114" s="138"/>
      <c r="AA114" s="138"/>
      <c r="AB114" s="138"/>
      <c r="AC114" s="138"/>
      <c r="AD114" s="138"/>
      <c r="AE114" s="138"/>
      <c r="AF114" s="138"/>
      <c r="AG114" s="138" t="s">
        <v>62</v>
      </c>
      <c r="AH114" s="145">
        <f>DATE(2024,10,16)+TIME(14,43,29)</f>
        <v>45581.613530092596</v>
      </c>
      <c r="AI114" s="138"/>
      <c r="AJ114" s="138" t="s">
        <v>232</v>
      </c>
      <c r="AK114" s="138" t="s">
        <v>65</v>
      </c>
      <c r="AL114" s="181" t="s">
        <v>61</v>
      </c>
    </row>
    <row r="115" spans="1:38" ht="77.25" customHeight="1">
      <c r="A115" s="178" t="s">
        <v>809</v>
      </c>
      <c r="B115" s="138" t="s">
        <v>810</v>
      </c>
      <c r="C115" s="138" t="s">
        <v>104</v>
      </c>
      <c r="D115" s="138" t="s">
        <v>811</v>
      </c>
      <c r="E115" s="138" t="s">
        <v>812</v>
      </c>
      <c r="F115" s="138" t="s">
        <v>813</v>
      </c>
      <c r="G115" s="138" t="s">
        <v>167</v>
      </c>
      <c r="H115" s="150" t="s">
        <v>40</v>
      </c>
      <c r="I115" s="150"/>
      <c r="J115" s="150"/>
      <c r="K115" s="150"/>
      <c r="L115" s="184" t="s">
        <v>56</v>
      </c>
      <c r="M115" s="138" t="s">
        <v>105</v>
      </c>
      <c r="N115" s="142" t="s">
        <v>814</v>
      </c>
      <c r="O115" s="138"/>
      <c r="P115" s="142" t="s">
        <v>815</v>
      </c>
      <c r="Q115" s="142"/>
      <c r="R115" s="151" t="b">
        <v>0</v>
      </c>
      <c r="S115" s="152" t="b">
        <v>0</v>
      </c>
      <c r="T115" s="152" t="b">
        <v>1</v>
      </c>
      <c r="U115" s="152" t="b">
        <v>0</v>
      </c>
      <c r="V115" s="152" t="b">
        <v>0</v>
      </c>
      <c r="W115" s="152"/>
      <c r="X115" s="145">
        <f>DATE(2024,10,14)+TIME(17,33,59)</f>
        <v>45579.731932870367</v>
      </c>
      <c r="Y115" s="138" t="s">
        <v>61</v>
      </c>
      <c r="Z115" s="138" t="s">
        <v>61</v>
      </c>
      <c r="AA115" s="138"/>
      <c r="AB115" s="138"/>
      <c r="AC115" s="138"/>
      <c r="AD115" s="138"/>
      <c r="AE115" s="138"/>
      <c r="AF115" s="138"/>
      <c r="AG115" s="138" t="s">
        <v>62</v>
      </c>
      <c r="AH115" s="145">
        <f>DATE(2024,10,14)+TIME(17,34,40)</f>
        <v>45579.732407407406</v>
      </c>
      <c r="AI115" s="138" t="s">
        <v>96</v>
      </c>
      <c r="AJ115" s="138" t="s">
        <v>64</v>
      </c>
      <c r="AK115" s="138" t="s">
        <v>65</v>
      </c>
      <c r="AL115" s="181" t="s">
        <v>61</v>
      </c>
    </row>
    <row r="116" spans="1:38" ht="123" customHeight="1">
      <c r="A116" s="178" t="s">
        <v>816</v>
      </c>
      <c r="B116" s="138" t="s">
        <v>817</v>
      </c>
      <c r="C116" s="138" t="s">
        <v>818</v>
      </c>
      <c r="D116" s="138" t="s">
        <v>811</v>
      </c>
      <c r="E116" s="138" t="s">
        <v>819</v>
      </c>
      <c r="F116" s="138" t="s">
        <v>820</v>
      </c>
      <c r="G116" s="138" t="s">
        <v>167</v>
      </c>
      <c r="H116" s="150" t="s">
        <v>40</v>
      </c>
      <c r="I116" s="150"/>
      <c r="J116" s="150"/>
      <c r="K116" s="150"/>
      <c r="L116" s="184" t="s">
        <v>56</v>
      </c>
      <c r="M116" s="138" t="s">
        <v>57</v>
      </c>
      <c r="N116" s="142" t="s">
        <v>821</v>
      </c>
      <c r="O116" s="138"/>
      <c r="P116" s="142" t="s">
        <v>815</v>
      </c>
      <c r="Q116" s="142"/>
      <c r="R116" s="151" t="b">
        <v>0</v>
      </c>
      <c r="S116" s="152" t="b">
        <v>0</v>
      </c>
      <c r="T116" s="152" t="b">
        <v>1</v>
      </c>
      <c r="U116" s="152" t="b">
        <v>0</v>
      </c>
      <c r="V116" s="152" t="b">
        <v>0</v>
      </c>
      <c r="W116" s="152"/>
      <c r="X116" s="145">
        <f>DATE(2024,10,14)+TIME(17,34,46)</f>
        <v>45579.732476851852</v>
      </c>
      <c r="Y116" s="138" t="s">
        <v>61</v>
      </c>
      <c r="Z116" s="138" t="s">
        <v>61</v>
      </c>
      <c r="AA116" s="138" t="s">
        <v>108</v>
      </c>
      <c r="AB116" s="138" t="s">
        <v>61</v>
      </c>
      <c r="AC116" s="138" t="s">
        <v>820</v>
      </c>
      <c r="AD116" s="138"/>
      <c r="AE116" s="138"/>
      <c r="AF116" s="138"/>
      <c r="AG116" s="138" t="s">
        <v>62</v>
      </c>
      <c r="AH116" s="145">
        <f>DATE(2024,10,15)+TIME(11,1,39)</f>
        <v>45580.459479166668</v>
      </c>
      <c r="AI116" s="138" t="s">
        <v>127</v>
      </c>
      <c r="AJ116" s="138" t="s">
        <v>64</v>
      </c>
      <c r="AK116" s="138" t="s">
        <v>65</v>
      </c>
      <c r="AL116" s="181" t="s">
        <v>61</v>
      </c>
    </row>
    <row r="117" spans="1:38" ht="77.25" customHeight="1">
      <c r="A117" s="179" t="s">
        <v>822</v>
      </c>
      <c r="B117" s="155"/>
      <c r="C117" s="165" t="s">
        <v>823</v>
      </c>
      <c r="D117" s="166" t="s">
        <v>824</v>
      </c>
      <c r="E117" s="155"/>
      <c r="F117" s="155"/>
      <c r="G117" s="138"/>
      <c r="H117" s="150" t="s">
        <v>40</v>
      </c>
      <c r="I117" s="150"/>
      <c r="J117" s="150"/>
      <c r="K117" s="150"/>
      <c r="L117" s="184" t="s">
        <v>41</v>
      </c>
      <c r="M117" s="164"/>
      <c r="N117" s="142" t="s">
        <v>42</v>
      </c>
      <c r="O117" s="138"/>
      <c r="P117" s="142"/>
      <c r="Q117" s="142"/>
      <c r="R117" s="167"/>
      <c r="S117" s="168"/>
      <c r="T117" s="144" t="b">
        <v>1</v>
      </c>
      <c r="U117" s="144" t="b">
        <v>0</v>
      </c>
      <c r="V117" s="144" t="b">
        <v>0</v>
      </c>
      <c r="W117" s="144"/>
      <c r="X117" s="169"/>
      <c r="Y117" s="155"/>
      <c r="Z117" s="138"/>
      <c r="AA117" s="138"/>
      <c r="AB117" s="138"/>
      <c r="AC117" s="155"/>
      <c r="AD117" s="155"/>
      <c r="AE117" s="155"/>
      <c r="AF117" s="155"/>
      <c r="AG117" s="155"/>
      <c r="AH117" s="155"/>
      <c r="AI117" s="155"/>
      <c r="AJ117" s="155"/>
      <c r="AK117" s="155"/>
      <c r="AL117" s="182"/>
    </row>
    <row r="118" spans="1:38" ht="77.25" customHeight="1">
      <c r="A118" s="178" t="s">
        <v>825</v>
      </c>
      <c r="B118" s="138" t="s">
        <v>826</v>
      </c>
      <c r="C118" s="146" t="s">
        <v>827</v>
      </c>
      <c r="D118" s="138" t="s">
        <v>828</v>
      </c>
      <c r="E118" s="138" t="s">
        <v>829</v>
      </c>
      <c r="F118" s="138" t="s">
        <v>830</v>
      </c>
      <c r="G118" s="138" t="s">
        <v>103</v>
      </c>
      <c r="H118" s="150" t="s">
        <v>210</v>
      </c>
      <c r="I118" s="203" t="s">
        <v>211</v>
      </c>
      <c r="J118" s="150"/>
      <c r="K118" s="150"/>
      <c r="L118" s="184" t="s">
        <v>56</v>
      </c>
      <c r="M118" s="138" t="s">
        <v>105</v>
      </c>
      <c r="N118" s="142" t="s">
        <v>831</v>
      </c>
      <c r="O118" s="138" t="s">
        <v>832</v>
      </c>
      <c r="P118" s="142"/>
      <c r="Q118" s="142"/>
      <c r="R118" s="151" t="b">
        <v>0</v>
      </c>
      <c r="S118" s="152" t="s">
        <v>94</v>
      </c>
      <c r="T118" s="152" t="b">
        <v>1</v>
      </c>
      <c r="U118" s="152" t="b">
        <v>1</v>
      </c>
      <c r="V118" s="152" t="b">
        <v>1</v>
      </c>
      <c r="W118" s="152"/>
      <c r="X118" s="145">
        <f>DATE(2024,10,15)+TIME(11,33,33)</f>
        <v>45580.481631944444</v>
      </c>
      <c r="Y118" s="138" t="s">
        <v>61</v>
      </c>
      <c r="Z118" s="138" t="s">
        <v>95</v>
      </c>
      <c r="AA118" s="138"/>
      <c r="AB118" s="138"/>
      <c r="AC118" s="138"/>
      <c r="AD118" s="138"/>
      <c r="AE118" s="138"/>
      <c r="AF118" s="138"/>
      <c r="AG118" s="138" t="s">
        <v>62</v>
      </c>
      <c r="AH118" s="145">
        <f>DATE(2024,10,15)+TIME(11,39,32)</f>
        <v>45580.48578703704</v>
      </c>
      <c r="AI118" s="138" t="s">
        <v>63</v>
      </c>
      <c r="AJ118" s="138" t="s">
        <v>64</v>
      </c>
      <c r="AK118" s="138" t="s">
        <v>65</v>
      </c>
      <c r="AL118" s="181" t="s">
        <v>61</v>
      </c>
    </row>
    <row r="119" spans="1:38" ht="77.25" customHeight="1">
      <c r="A119" s="178" t="s">
        <v>833</v>
      </c>
      <c r="B119" s="138" t="s">
        <v>834</v>
      </c>
      <c r="C119" s="138" t="s">
        <v>835</v>
      </c>
      <c r="D119" s="138" t="s">
        <v>836</v>
      </c>
      <c r="E119" s="138" t="s">
        <v>837</v>
      </c>
      <c r="F119" s="138" t="s">
        <v>838</v>
      </c>
      <c r="G119" s="138" t="s">
        <v>103</v>
      </c>
      <c r="H119" s="150" t="s">
        <v>210</v>
      </c>
      <c r="I119" s="203" t="s">
        <v>211</v>
      </c>
      <c r="J119" s="150"/>
      <c r="K119" s="150"/>
      <c r="L119" s="184" t="s">
        <v>142</v>
      </c>
      <c r="M119" s="138" t="s">
        <v>90</v>
      </c>
      <c r="N119" s="142" t="s">
        <v>839</v>
      </c>
      <c r="O119" s="138" t="s">
        <v>840</v>
      </c>
      <c r="P119" s="142"/>
      <c r="Q119" s="142"/>
      <c r="R119" s="151" t="b">
        <v>0</v>
      </c>
      <c r="S119" s="152" t="s">
        <v>94</v>
      </c>
      <c r="T119" s="152" t="b">
        <v>1</v>
      </c>
      <c r="U119" s="152" t="b">
        <v>1</v>
      </c>
      <c r="V119" s="152" t="b">
        <v>1</v>
      </c>
      <c r="W119" s="152"/>
      <c r="X119" s="145">
        <f>DATE(2024,10,15)+TIME(10,42,37)</f>
        <v>45580.446261574078</v>
      </c>
      <c r="Y119" s="138" t="s">
        <v>61</v>
      </c>
      <c r="Z119" s="138" t="s">
        <v>95</v>
      </c>
      <c r="AA119" s="138"/>
      <c r="AB119" s="138"/>
      <c r="AC119" s="138"/>
      <c r="AD119" s="138"/>
      <c r="AE119" s="138"/>
      <c r="AF119" s="138"/>
      <c r="AG119" s="138" t="s">
        <v>62</v>
      </c>
      <c r="AH119" s="145">
        <f>DATE(2024,10,15)+TIME(11,21,31)</f>
        <v>45580.473275462966</v>
      </c>
      <c r="AI119" s="138" t="s">
        <v>96</v>
      </c>
      <c r="AJ119" s="138" t="s">
        <v>64</v>
      </c>
      <c r="AK119" s="138" t="s">
        <v>65</v>
      </c>
      <c r="AL119" s="181" t="s">
        <v>61</v>
      </c>
    </row>
    <row r="120" spans="1:38" ht="77.25" customHeight="1">
      <c r="A120" s="178" t="s">
        <v>841</v>
      </c>
      <c r="B120" s="138" t="s">
        <v>842</v>
      </c>
      <c r="C120" s="138" t="s">
        <v>843</v>
      </c>
      <c r="D120" s="138" t="s">
        <v>844</v>
      </c>
      <c r="E120" s="138" t="s">
        <v>216</v>
      </c>
      <c r="F120" s="138" t="s">
        <v>845</v>
      </c>
      <c r="G120" s="138" t="s">
        <v>71</v>
      </c>
      <c r="H120" s="150" t="s">
        <v>55</v>
      </c>
      <c r="I120" s="150"/>
      <c r="J120" s="150"/>
      <c r="K120" s="150"/>
      <c r="L120" s="184" t="s">
        <v>142</v>
      </c>
      <c r="M120" s="138" t="s">
        <v>105</v>
      </c>
      <c r="N120" s="142" t="s">
        <v>846</v>
      </c>
      <c r="O120" s="138" t="s">
        <v>231</v>
      </c>
      <c r="P120" s="162" t="s">
        <v>847</v>
      </c>
      <c r="Q120" s="142"/>
      <c r="R120" s="151" t="b">
        <v>1</v>
      </c>
      <c r="S120" s="152" t="b">
        <v>1</v>
      </c>
      <c r="T120" s="152" t="b">
        <v>1</v>
      </c>
      <c r="U120" s="152" t="b">
        <v>0</v>
      </c>
      <c r="V120" s="152" t="b">
        <v>0</v>
      </c>
      <c r="W120" s="152"/>
      <c r="X120" s="145">
        <f>DATE(2024,10,14)+TIME(22,14,28)</f>
        <v>45579.926712962966</v>
      </c>
      <c r="Y120" s="138" t="s">
        <v>61</v>
      </c>
      <c r="Z120" s="138" t="s">
        <v>95</v>
      </c>
      <c r="AA120" s="138"/>
      <c r="AB120" s="138"/>
      <c r="AC120" s="138" t="s">
        <v>848</v>
      </c>
      <c r="AD120" s="138" t="s">
        <v>849</v>
      </c>
      <c r="AE120" s="138" t="s">
        <v>850</v>
      </c>
      <c r="AF120" s="138" t="s">
        <v>79</v>
      </c>
      <c r="AG120" s="138" t="s">
        <v>80</v>
      </c>
      <c r="AH120" s="145">
        <f>DATE(2024,10,15)+TIME(2,49,35)</f>
        <v>45580.117766203701</v>
      </c>
      <c r="AI120" s="138"/>
      <c r="AJ120" s="138"/>
      <c r="AK120" s="138" t="s">
        <v>65</v>
      </c>
      <c r="AL120" s="181" t="s">
        <v>61</v>
      </c>
    </row>
    <row r="121" spans="1:38" ht="77.25" customHeight="1">
      <c r="A121" s="178" t="s">
        <v>851</v>
      </c>
      <c r="B121" s="138" t="s">
        <v>608</v>
      </c>
      <c r="C121" s="138" t="s">
        <v>852</v>
      </c>
      <c r="D121" s="138" t="s">
        <v>844</v>
      </c>
      <c r="E121" s="138" t="s">
        <v>85</v>
      </c>
      <c r="F121" s="138"/>
      <c r="G121" s="138" t="s">
        <v>71</v>
      </c>
      <c r="H121" s="150" t="s">
        <v>104</v>
      </c>
      <c r="I121" s="150"/>
      <c r="J121" s="150"/>
      <c r="K121" s="150"/>
      <c r="L121" s="184" t="s">
        <v>142</v>
      </c>
      <c r="M121" s="138" t="s">
        <v>382</v>
      </c>
      <c r="N121" s="142" t="s">
        <v>853</v>
      </c>
      <c r="O121" s="138" t="s">
        <v>231</v>
      </c>
      <c r="P121" s="156" t="s">
        <v>854</v>
      </c>
      <c r="Q121" s="142"/>
      <c r="R121" s="151" t="b">
        <v>1</v>
      </c>
      <c r="S121" s="152" t="b">
        <v>1</v>
      </c>
      <c r="T121" s="152" t="b">
        <v>1</v>
      </c>
      <c r="U121" s="152" t="b">
        <v>0</v>
      </c>
      <c r="V121" s="152" t="b">
        <v>0</v>
      </c>
      <c r="W121" s="152"/>
      <c r="X121" s="145">
        <f>DATE(2024,10,14)+TIME(22,11,43)</f>
        <v>45579.924803240741</v>
      </c>
      <c r="Y121" s="138" t="s">
        <v>61</v>
      </c>
      <c r="Z121" s="138" t="s">
        <v>95</v>
      </c>
      <c r="AA121" s="138"/>
      <c r="AB121" s="138"/>
      <c r="AC121" s="138" t="s">
        <v>855</v>
      </c>
      <c r="AD121" s="138" t="s">
        <v>856</v>
      </c>
      <c r="AE121" s="138" t="s">
        <v>857</v>
      </c>
      <c r="AF121" s="138" t="s">
        <v>79</v>
      </c>
      <c r="AG121" s="138" t="s">
        <v>80</v>
      </c>
      <c r="AH121" s="145">
        <f>DATE(2024,10,15)+TIME(2,47,31)</f>
        <v>45580.116331018522</v>
      </c>
      <c r="AI121" s="138"/>
      <c r="AJ121" s="138"/>
      <c r="AK121" s="138" t="s">
        <v>65</v>
      </c>
      <c r="AL121" s="181" t="s">
        <v>61</v>
      </c>
    </row>
    <row r="122" spans="1:38" ht="26" customHeight="1">
      <c r="A122" s="178" t="s">
        <v>858</v>
      </c>
      <c r="B122" s="138" t="s">
        <v>859</v>
      </c>
      <c r="C122" s="146" t="s">
        <v>860</v>
      </c>
      <c r="D122" s="138" t="s">
        <v>861</v>
      </c>
      <c r="E122" s="138" t="s">
        <v>862</v>
      </c>
      <c r="F122" s="138" t="s">
        <v>863</v>
      </c>
      <c r="G122" s="138" t="s">
        <v>134</v>
      </c>
      <c r="H122" s="150" t="s">
        <v>40</v>
      </c>
      <c r="I122" s="150"/>
      <c r="J122" s="150"/>
      <c r="K122" s="150"/>
      <c r="L122" s="184" t="s">
        <v>56</v>
      </c>
      <c r="M122" s="138" t="s">
        <v>90</v>
      </c>
      <c r="N122" s="142" t="s">
        <v>864</v>
      </c>
      <c r="O122" s="138" t="s">
        <v>865</v>
      </c>
      <c r="P122" s="142" t="s">
        <v>866</v>
      </c>
      <c r="Q122" s="142"/>
      <c r="R122" s="151" t="b">
        <v>0</v>
      </c>
      <c r="S122" s="152" t="b">
        <v>0</v>
      </c>
      <c r="T122" s="152" t="b">
        <v>1</v>
      </c>
      <c r="U122" s="152" t="b">
        <v>0</v>
      </c>
      <c r="V122" s="152" t="b">
        <v>0</v>
      </c>
      <c r="W122" s="152"/>
      <c r="X122" s="145">
        <f>DATE(2024,10,15)+TIME(15,37,14)</f>
        <v>45580.650856481479</v>
      </c>
      <c r="Y122" s="138" t="s">
        <v>61</v>
      </c>
      <c r="Z122" s="138" t="s">
        <v>95</v>
      </c>
      <c r="AA122" s="138"/>
      <c r="AB122" s="138"/>
      <c r="AC122" s="138"/>
      <c r="AD122" s="138"/>
      <c r="AE122" s="138"/>
      <c r="AF122" s="138"/>
      <c r="AG122" s="138" t="s">
        <v>62</v>
      </c>
      <c r="AH122" s="145">
        <f>DATE(2024,10,15)+TIME(17,46,25)</f>
        <v>45580.740567129629</v>
      </c>
      <c r="AI122" s="138" t="s">
        <v>96</v>
      </c>
      <c r="AJ122" s="138" t="s">
        <v>64</v>
      </c>
      <c r="AK122" s="138" t="s">
        <v>65</v>
      </c>
      <c r="AL122" s="181" t="s">
        <v>61</v>
      </c>
    </row>
    <row r="123" spans="1:38" ht="77.25" customHeight="1">
      <c r="A123" s="178" t="s">
        <v>867</v>
      </c>
      <c r="B123" s="138" t="s">
        <v>868</v>
      </c>
      <c r="C123" s="138"/>
      <c r="D123" s="138" t="s">
        <v>869</v>
      </c>
      <c r="E123" s="138"/>
      <c r="F123" s="138" t="s">
        <v>6981</v>
      </c>
      <c r="G123" s="138" t="s">
        <v>71</v>
      </c>
      <c r="H123" s="150" t="s">
        <v>123</v>
      </c>
      <c r="I123" s="150"/>
      <c r="J123" s="150"/>
      <c r="K123" s="150"/>
      <c r="L123" s="184" t="s">
        <v>56</v>
      </c>
      <c r="M123" s="138" t="s">
        <v>90</v>
      </c>
      <c r="N123" s="142" t="s">
        <v>870</v>
      </c>
      <c r="O123" s="138"/>
      <c r="P123" s="156" t="s">
        <v>871</v>
      </c>
      <c r="Q123" s="142"/>
      <c r="R123" s="151" t="b">
        <v>1</v>
      </c>
      <c r="S123" s="152" t="b">
        <v>1</v>
      </c>
      <c r="T123" s="152" t="b">
        <v>1</v>
      </c>
      <c r="U123" s="152" t="b">
        <v>1</v>
      </c>
      <c r="V123" s="152" t="b">
        <v>1</v>
      </c>
      <c r="W123" s="152"/>
      <c r="X123" s="145">
        <f>DATE(2024,10,15)+TIME(13,0,30)</f>
        <v>45580.542013888888</v>
      </c>
      <c r="Y123" s="138" t="s">
        <v>95</v>
      </c>
      <c r="Z123" s="138"/>
      <c r="AA123" s="138"/>
      <c r="AB123" s="138"/>
      <c r="AC123" s="138"/>
      <c r="AD123" s="138"/>
      <c r="AE123" s="138"/>
      <c r="AF123" s="138" t="s">
        <v>79</v>
      </c>
      <c r="AG123" s="138" t="s">
        <v>80</v>
      </c>
      <c r="AH123" s="145">
        <f>DATE(2024,10,15)+TIME(19,37,54)</f>
        <v>45580.817986111113</v>
      </c>
      <c r="AI123" s="138"/>
      <c r="AJ123" s="138"/>
      <c r="AK123" s="138" t="s">
        <v>65</v>
      </c>
      <c r="AL123" s="181" t="s">
        <v>61</v>
      </c>
    </row>
    <row r="124" spans="1:38" ht="77.25" customHeight="1">
      <c r="A124" s="178" t="s">
        <v>162</v>
      </c>
      <c r="B124" s="138" t="s">
        <v>872</v>
      </c>
      <c r="C124" s="138" t="s">
        <v>873</v>
      </c>
      <c r="D124" s="138" t="s">
        <v>874</v>
      </c>
      <c r="E124" s="138" t="s">
        <v>875</v>
      </c>
      <c r="F124" s="138" t="s">
        <v>876</v>
      </c>
      <c r="G124" s="138" t="s">
        <v>185</v>
      </c>
      <c r="H124" s="150" t="s">
        <v>123</v>
      </c>
      <c r="I124" s="150"/>
      <c r="J124" s="150"/>
      <c r="K124" s="150"/>
      <c r="L124" s="184" t="s">
        <v>89</v>
      </c>
      <c r="M124" s="138" t="s">
        <v>90</v>
      </c>
      <c r="N124" s="142" t="s">
        <v>877</v>
      </c>
      <c r="O124" s="138" t="s">
        <v>92</v>
      </c>
      <c r="P124" s="142" t="s">
        <v>878</v>
      </c>
      <c r="Q124" s="142"/>
      <c r="R124" s="151" t="b">
        <v>1</v>
      </c>
      <c r="S124" s="152" t="b">
        <v>1</v>
      </c>
      <c r="T124" s="144" t="b">
        <v>1</v>
      </c>
      <c r="U124" s="144" t="b">
        <v>0</v>
      </c>
      <c r="V124" s="144" t="b">
        <v>0</v>
      </c>
      <c r="W124" s="144"/>
      <c r="X124" s="145">
        <f>DATE(2024,10,15)+TIME(15,20,42)</f>
        <v>45580.639374999999</v>
      </c>
      <c r="Y124" s="138" t="s">
        <v>61</v>
      </c>
      <c r="Z124" s="138"/>
      <c r="AA124" s="138"/>
      <c r="AB124" s="138"/>
      <c r="AC124" s="138"/>
      <c r="AD124" s="138"/>
      <c r="AE124" s="138"/>
      <c r="AF124" s="138"/>
      <c r="AG124" s="138" t="s">
        <v>62</v>
      </c>
      <c r="AH124" s="145">
        <f>DATE(2024,10,15)+TIME(17,43,29)</f>
        <v>45580.738530092596</v>
      </c>
      <c r="AI124" s="138" t="s">
        <v>96</v>
      </c>
      <c r="AJ124" s="138" t="s">
        <v>64</v>
      </c>
      <c r="AK124" s="138" t="s">
        <v>65</v>
      </c>
      <c r="AL124" s="181" t="s">
        <v>61</v>
      </c>
    </row>
    <row r="125" spans="1:38" ht="77.25" customHeight="1">
      <c r="A125" s="178" t="s">
        <v>879</v>
      </c>
      <c r="B125" s="138" t="s">
        <v>880</v>
      </c>
      <c r="C125" s="146" t="s">
        <v>881</v>
      </c>
      <c r="D125" s="138" t="s">
        <v>874</v>
      </c>
      <c r="E125" s="138" t="s">
        <v>882</v>
      </c>
      <c r="F125" s="138" t="s">
        <v>883</v>
      </c>
      <c r="G125" s="138" t="s">
        <v>185</v>
      </c>
      <c r="H125" s="150" t="s">
        <v>123</v>
      </c>
      <c r="I125" s="150"/>
      <c r="J125" s="150"/>
      <c r="K125" s="150"/>
      <c r="L125" s="184" t="s">
        <v>56</v>
      </c>
      <c r="M125" s="138" t="s">
        <v>90</v>
      </c>
      <c r="N125" s="142" t="s">
        <v>884</v>
      </c>
      <c r="O125" s="138" t="s">
        <v>92</v>
      </c>
      <c r="P125" s="142" t="s">
        <v>885</v>
      </c>
      <c r="Q125" s="142"/>
      <c r="R125" s="151" t="b">
        <v>1</v>
      </c>
      <c r="S125" s="152" t="b">
        <v>1</v>
      </c>
      <c r="T125" s="152" t="b">
        <v>1</v>
      </c>
      <c r="U125" s="152" t="b">
        <v>1</v>
      </c>
      <c r="V125" s="152" t="b">
        <v>1</v>
      </c>
      <c r="W125" s="152"/>
      <c r="X125" s="145">
        <f>DATE(2024,10,15)+TIME(15,20,37)</f>
        <v>45580.639317129629</v>
      </c>
      <c r="Y125" s="138" t="s">
        <v>61</v>
      </c>
      <c r="Z125" s="138" t="s">
        <v>95</v>
      </c>
      <c r="AA125" s="138"/>
      <c r="AB125" s="138"/>
      <c r="AC125" s="138"/>
      <c r="AD125" s="138"/>
      <c r="AE125" s="138"/>
      <c r="AF125" s="138"/>
      <c r="AG125" s="138" t="s">
        <v>62</v>
      </c>
      <c r="AH125" s="145">
        <f>DATE(2024,10,15)+TIME(17,42,53)</f>
        <v>45580.738113425927</v>
      </c>
      <c r="AI125" s="138" t="s">
        <v>96</v>
      </c>
      <c r="AJ125" s="138" t="s">
        <v>64</v>
      </c>
      <c r="AK125" s="138" t="s">
        <v>65</v>
      </c>
      <c r="AL125" s="181" t="s">
        <v>61</v>
      </c>
    </row>
    <row r="126" spans="1:38" ht="104" customHeight="1">
      <c r="A126" s="179" t="s">
        <v>886</v>
      </c>
      <c r="B126" s="155"/>
      <c r="C126" s="165" t="s">
        <v>887</v>
      </c>
      <c r="D126" s="166" t="s">
        <v>888</v>
      </c>
      <c r="E126" s="155"/>
      <c r="F126" s="155"/>
      <c r="G126" s="138"/>
      <c r="H126" s="150" t="s">
        <v>40</v>
      </c>
      <c r="I126" s="150"/>
      <c r="J126" s="150"/>
      <c r="K126" s="150"/>
      <c r="L126" s="184" t="s">
        <v>41</v>
      </c>
      <c r="M126" s="164"/>
      <c r="N126" s="142" t="s">
        <v>42</v>
      </c>
      <c r="O126" s="138"/>
      <c r="P126" s="142"/>
      <c r="Q126" s="142"/>
      <c r="R126" s="167"/>
      <c r="S126" s="168"/>
      <c r="T126" s="144" t="b">
        <v>1</v>
      </c>
      <c r="U126" s="144" t="b">
        <v>0</v>
      </c>
      <c r="V126" s="144" t="b">
        <v>0</v>
      </c>
      <c r="W126" s="144"/>
      <c r="X126" s="169"/>
      <c r="Y126" s="155"/>
      <c r="Z126" s="138"/>
      <c r="AA126" s="138"/>
      <c r="AB126" s="138"/>
      <c r="AC126" s="155"/>
      <c r="AD126" s="155"/>
      <c r="AE126" s="155"/>
      <c r="AF126" s="155"/>
      <c r="AG126" s="155"/>
      <c r="AH126" s="155"/>
      <c r="AI126" s="155"/>
      <c r="AJ126" s="155"/>
      <c r="AK126" s="155"/>
      <c r="AL126" s="182"/>
    </row>
    <row r="127" spans="1:38" ht="77.25" customHeight="1">
      <c r="A127" s="179" t="s">
        <v>889</v>
      </c>
      <c r="B127" s="155"/>
      <c r="C127" s="165" t="s">
        <v>890</v>
      </c>
      <c r="D127" s="166" t="s">
        <v>888</v>
      </c>
      <c r="E127" s="155"/>
      <c r="F127" s="155"/>
      <c r="G127" s="138"/>
      <c r="H127" s="150" t="s">
        <v>40</v>
      </c>
      <c r="I127" s="150"/>
      <c r="J127" s="150"/>
      <c r="K127" s="150"/>
      <c r="L127" s="184" t="s">
        <v>41</v>
      </c>
      <c r="M127" s="164"/>
      <c r="N127" s="142" t="s">
        <v>42</v>
      </c>
      <c r="O127" s="138"/>
      <c r="P127" s="142"/>
      <c r="Q127" s="142"/>
      <c r="R127" s="167"/>
      <c r="S127" s="168"/>
      <c r="T127" s="144" t="b">
        <v>1</v>
      </c>
      <c r="U127" s="144" t="b">
        <v>0</v>
      </c>
      <c r="V127" s="144" t="b">
        <v>0</v>
      </c>
      <c r="W127" s="144"/>
      <c r="X127" s="169"/>
      <c r="Y127" s="155"/>
      <c r="Z127" s="138"/>
      <c r="AA127" s="138"/>
      <c r="AB127" s="138"/>
      <c r="AC127" s="155"/>
      <c r="AD127" s="155"/>
      <c r="AE127" s="155"/>
      <c r="AF127" s="155"/>
      <c r="AG127" s="155"/>
      <c r="AH127" s="155"/>
      <c r="AI127" s="155"/>
      <c r="AJ127" s="155"/>
      <c r="AK127" s="155"/>
      <c r="AL127" s="182"/>
    </row>
    <row r="128" spans="1:38" ht="77.25" customHeight="1">
      <c r="A128" s="178" t="s">
        <v>891</v>
      </c>
      <c r="B128" s="138" t="s">
        <v>892</v>
      </c>
      <c r="C128" s="138"/>
      <c r="D128" s="138" t="s">
        <v>888</v>
      </c>
      <c r="E128" s="138"/>
      <c r="F128" s="138"/>
      <c r="G128" s="138" t="s">
        <v>71</v>
      </c>
      <c r="H128" s="150" t="s">
        <v>55</v>
      </c>
      <c r="I128" s="150"/>
      <c r="J128" s="150"/>
      <c r="K128" s="150"/>
      <c r="L128" s="184" t="s">
        <v>142</v>
      </c>
      <c r="M128" s="138" t="s">
        <v>90</v>
      </c>
      <c r="N128" s="142" t="s">
        <v>893</v>
      </c>
      <c r="O128" s="138"/>
      <c r="P128" s="156" t="s">
        <v>894</v>
      </c>
      <c r="Q128" s="142"/>
      <c r="R128" s="151" t="b">
        <v>1</v>
      </c>
      <c r="S128" s="152" t="b">
        <v>1</v>
      </c>
      <c r="T128" s="152" t="b">
        <v>1</v>
      </c>
      <c r="U128" s="152" t="b">
        <v>0</v>
      </c>
      <c r="V128" s="152" t="b">
        <v>0</v>
      </c>
      <c r="W128" s="152"/>
      <c r="X128" s="145">
        <f>DATE(2024,10,15)+TIME(12,43,14)</f>
        <v>45580.530023148145</v>
      </c>
      <c r="Y128" s="138" t="s">
        <v>95</v>
      </c>
      <c r="Z128" s="138"/>
      <c r="AA128" s="138"/>
      <c r="AB128" s="138"/>
      <c r="AC128" s="138"/>
      <c r="AD128" s="138" t="s">
        <v>895</v>
      </c>
      <c r="AE128" s="138" t="s">
        <v>896</v>
      </c>
      <c r="AF128" s="138" t="s">
        <v>79</v>
      </c>
      <c r="AG128" s="138" t="s">
        <v>80</v>
      </c>
      <c r="AH128" s="145">
        <f>DATE(2024,10,15)+TIME(19,39,4)</f>
        <v>45580.818796296298</v>
      </c>
      <c r="AI128" s="138"/>
      <c r="AJ128" s="138"/>
      <c r="AK128" s="138" t="s">
        <v>65</v>
      </c>
      <c r="AL128" s="181" t="s">
        <v>61</v>
      </c>
    </row>
    <row r="129" spans="1:38" ht="77.25" customHeight="1">
      <c r="A129" s="179" t="s">
        <v>897</v>
      </c>
      <c r="B129" s="155"/>
      <c r="C129" s="165" t="s">
        <v>898</v>
      </c>
      <c r="D129" s="166" t="s">
        <v>899</v>
      </c>
      <c r="E129" s="155"/>
      <c r="F129" s="155"/>
      <c r="G129" s="138"/>
      <c r="H129" s="150" t="s">
        <v>40</v>
      </c>
      <c r="I129" s="150"/>
      <c r="J129" s="150"/>
      <c r="K129" s="150"/>
      <c r="L129" s="184" t="s">
        <v>41</v>
      </c>
      <c r="M129" s="164"/>
      <c r="N129" s="142" t="s">
        <v>42</v>
      </c>
      <c r="O129" s="138"/>
      <c r="P129" s="142"/>
      <c r="Q129" s="142"/>
      <c r="R129" s="167"/>
      <c r="S129" s="168"/>
      <c r="T129" s="144" t="b">
        <v>1</v>
      </c>
      <c r="U129" s="144" t="b">
        <v>0</v>
      </c>
      <c r="V129" s="144" t="b">
        <v>0</v>
      </c>
      <c r="W129" s="144"/>
      <c r="X129" s="169"/>
      <c r="Y129" s="155"/>
      <c r="Z129" s="138"/>
      <c r="AA129" s="138"/>
      <c r="AB129" s="138"/>
      <c r="AC129" s="155"/>
      <c r="AD129" s="155"/>
      <c r="AE129" s="155"/>
      <c r="AF129" s="155"/>
      <c r="AG129" s="155"/>
      <c r="AH129" s="155"/>
      <c r="AI129" s="155"/>
      <c r="AJ129" s="155"/>
      <c r="AK129" s="155"/>
      <c r="AL129" s="182"/>
    </row>
    <row r="130" spans="1:38" ht="77.25" customHeight="1">
      <c r="A130" s="179" t="s">
        <v>900</v>
      </c>
      <c r="B130" s="155"/>
      <c r="C130" s="165" t="s">
        <v>901</v>
      </c>
      <c r="D130" s="166" t="s">
        <v>902</v>
      </c>
      <c r="E130" s="155"/>
      <c r="F130" s="155"/>
      <c r="G130" s="138"/>
      <c r="H130" s="150" t="s">
        <v>40</v>
      </c>
      <c r="I130" s="150"/>
      <c r="J130" s="150"/>
      <c r="K130" s="150"/>
      <c r="L130" s="184" t="s">
        <v>41</v>
      </c>
      <c r="M130" s="164"/>
      <c r="N130" s="142" t="s">
        <v>42</v>
      </c>
      <c r="O130" s="138"/>
      <c r="P130" s="142"/>
      <c r="Q130" s="142"/>
      <c r="R130" s="167"/>
      <c r="S130" s="168"/>
      <c r="T130" s="144" t="b">
        <v>1</v>
      </c>
      <c r="U130" s="144" t="b">
        <v>0</v>
      </c>
      <c r="V130" s="144" t="b">
        <v>0</v>
      </c>
      <c r="W130" s="144"/>
      <c r="X130" s="169"/>
      <c r="Y130" s="155"/>
      <c r="Z130" s="138"/>
      <c r="AA130" s="138"/>
      <c r="AB130" s="138"/>
      <c r="AC130" s="155"/>
      <c r="AD130" s="155"/>
      <c r="AE130" s="155"/>
      <c r="AF130" s="155"/>
      <c r="AG130" s="155"/>
      <c r="AH130" s="155"/>
      <c r="AI130" s="155"/>
      <c r="AJ130" s="155"/>
      <c r="AK130" s="155"/>
      <c r="AL130" s="182"/>
    </row>
    <row r="131" spans="1:38" ht="77.25" customHeight="1">
      <c r="A131" s="179" t="s">
        <v>903</v>
      </c>
      <c r="B131" s="155"/>
      <c r="C131" s="165" t="s">
        <v>904</v>
      </c>
      <c r="D131" s="166" t="s">
        <v>905</v>
      </c>
      <c r="E131" s="155"/>
      <c r="F131" s="155"/>
      <c r="G131" s="138"/>
      <c r="H131" s="150" t="s">
        <v>40</v>
      </c>
      <c r="I131" s="150"/>
      <c r="J131" s="150"/>
      <c r="K131" s="150"/>
      <c r="L131" s="184" t="s">
        <v>41</v>
      </c>
      <c r="M131" s="164"/>
      <c r="N131" s="142" t="s">
        <v>42</v>
      </c>
      <c r="O131" s="138"/>
      <c r="P131" s="142"/>
      <c r="Q131" s="142"/>
      <c r="R131" s="167"/>
      <c r="S131" s="168"/>
      <c r="T131" s="144" t="b">
        <v>1</v>
      </c>
      <c r="U131" s="144" t="b">
        <v>0</v>
      </c>
      <c r="V131" s="144" t="b">
        <v>0</v>
      </c>
      <c r="W131" s="144"/>
      <c r="X131" s="169"/>
      <c r="Y131" s="155"/>
      <c r="Z131" s="138"/>
      <c r="AA131" s="138"/>
      <c r="AB131" s="138"/>
      <c r="AC131" s="155"/>
      <c r="AD131" s="155"/>
      <c r="AE131" s="155"/>
      <c r="AF131" s="155"/>
      <c r="AG131" s="155"/>
      <c r="AH131" s="155"/>
      <c r="AI131" s="155"/>
      <c r="AJ131" s="155"/>
      <c r="AK131" s="155"/>
      <c r="AL131" s="182"/>
    </row>
    <row r="132" spans="1:38" ht="77.25" customHeight="1">
      <c r="A132" s="179" t="s">
        <v>906</v>
      </c>
      <c r="B132" s="155"/>
      <c r="C132" s="165" t="s">
        <v>907</v>
      </c>
      <c r="D132" s="166" t="s">
        <v>908</v>
      </c>
      <c r="E132" s="155"/>
      <c r="F132" s="155"/>
      <c r="G132" s="138"/>
      <c r="H132" s="150" t="s">
        <v>40</v>
      </c>
      <c r="I132" s="150"/>
      <c r="J132" s="150"/>
      <c r="K132" s="150"/>
      <c r="L132" s="184" t="s">
        <v>41</v>
      </c>
      <c r="M132" s="164"/>
      <c r="N132" s="142" t="s">
        <v>42</v>
      </c>
      <c r="O132" s="138"/>
      <c r="P132" s="142"/>
      <c r="Q132" s="142"/>
      <c r="R132" s="167"/>
      <c r="S132" s="168"/>
      <c r="T132" s="144" t="b">
        <v>1</v>
      </c>
      <c r="U132" s="144" t="b">
        <v>0</v>
      </c>
      <c r="V132" s="144" t="b">
        <v>0</v>
      </c>
      <c r="W132" s="144"/>
      <c r="X132" s="169"/>
      <c r="Y132" s="155"/>
      <c r="Z132" s="138"/>
      <c r="AA132" s="138"/>
      <c r="AB132" s="138"/>
      <c r="AC132" s="155"/>
      <c r="AD132" s="155"/>
      <c r="AE132" s="155"/>
      <c r="AF132" s="155"/>
      <c r="AG132" s="155"/>
      <c r="AH132" s="155"/>
      <c r="AI132" s="155"/>
      <c r="AJ132" s="155"/>
      <c r="AK132" s="155"/>
      <c r="AL132" s="182"/>
    </row>
    <row r="133" spans="1:38" ht="77.25" customHeight="1">
      <c r="A133" s="178" t="s">
        <v>457</v>
      </c>
      <c r="B133" s="138" t="s">
        <v>909</v>
      </c>
      <c r="C133" s="146" t="s">
        <v>910</v>
      </c>
      <c r="D133" s="138" t="s">
        <v>911</v>
      </c>
      <c r="E133" s="138" t="s">
        <v>912</v>
      </c>
      <c r="F133" s="138" t="s">
        <v>913</v>
      </c>
      <c r="G133" s="138" t="s">
        <v>103</v>
      </c>
      <c r="H133" s="150" t="s">
        <v>123</v>
      </c>
      <c r="I133" s="150"/>
      <c r="J133" s="150"/>
      <c r="K133" s="150"/>
      <c r="L133" s="184"/>
      <c r="M133" s="138"/>
      <c r="N133" s="142" t="s">
        <v>914</v>
      </c>
      <c r="O133" s="138"/>
      <c r="P133" s="142"/>
      <c r="Q133" s="142"/>
      <c r="R133" s="151" t="b">
        <v>1</v>
      </c>
      <c r="S133" s="152" t="b">
        <v>1</v>
      </c>
      <c r="T133" s="152" t="b">
        <v>1</v>
      </c>
      <c r="U133" s="152" t="b">
        <v>1</v>
      </c>
      <c r="V133" s="152" t="b">
        <v>0</v>
      </c>
      <c r="W133" s="152"/>
      <c r="X133" s="145">
        <f>DATE(2024,10,15)+TIME(12,15,34)</f>
        <v>45580.510810185187</v>
      </c>
      <c r="Y133" s="138" t="s">
        <v>95</v>
      </c>
      <c r="Z133" s="138"/>
      <c r="AA133" s="138"/>
      <c r="AB133" s="138"/>
      <c r="AC133" s="138"/>
      <c r="AD133" s="138"/>
      <c r="AE133" s="138"/>
      <c r="AF133" s="138"/>
      <c r="AG133" s="138" t="s">
        <v>62</v>
      </c>
      <c r="AH133" s="145">
        <f>DATE(2024,10,15)+TIME(12,15,40)</f>
        <v>45580.510879629626</v>
      </c>
      <c r="AI133" s="138" t="s">
        <v>253</v>
      </c>
      <c r="AJ133" s="138" t="s">
        <v>64</v>
      </c>
      <c r="AK133" s="138" t="s">
        <v>65</v>
      </c>
      <c r="AL133" s="181" t="s">
        <v>61</v>
      </c>
    </row>
    <row r="134" spans="1:38" ht="77.25" customHeight="1">
      <c r="A134" s="178" t="s">
        <v>915</v>
      </c>
      <c r="B134" s="138" t="s">
        <v>224</v>
      </c>
      <c r="C134" s="146" t="s">
        <v>916</v>
      </c>
      <c r="D134" s="138" t="s">
        <v>911</v>
      </c>
      <c r="E134" s="138" t="s">
        <v>917</v>
      </c>
      <c r="F134" s="138" t="s">
        <v>918</v>
      </c>
      <c r="G134" s="138" t="s">
        <v>103</v>
      </c>
      <c r="H134" s="150" t="s">
        <v>123</v>
      </c>
      <c r="I134" s="150"/>
      <c r="J134" s="150"/>
      <c r="K134" s="150"/>
      <c r="L134" s="184"/>
      <c r="M134" s="138"/>
      <c r="N134" s="142" t="s">
        <v>914</v>
      </c>
      <c r="O134" s="138"/>
      <c r="P134" s="142"/>
      <c r="Q134" s="142"/>
      <c r="R134" s="151" t="b">
        <v>1</v>
      </c>
      <c r="S134" s="152" t="b">
        <v>1</v>
      </c>
      <c r="T134" s="152" t="b">
        <v>1</v>
      </c>
      <c r="U134" s="152" t="b">
        <v>1</v>
      </c>
      <c r="V134" s="152" t="b">
        <v>0</v>
      </c>
      <c r="W134" s="152"/>
      <c r="X134" s="145">
        <f>DATE(2024,10,15)+TIME(12,15,41)</f>
        <v>45580.510891203703</v>
      </c>
      <c r="Y134" s="138" t="s">
        <v>95</v>
      </c>
      <c r="Z134" s="138"/>
      <c r="AA134" s="138"/>
      <c r="AB134" s="138"/>
      <c r="AC134" s="138"/>
      <c r="AD134" s="138"/>
      <c r="AE134" s="138"/>
      <c r="AF134" s="138"/>
      <c r="AG134" s="138" t="s">
        <v>62</v>
      </c>
      <c r="AH134" s="145">
        <f>DATE(2024,10,15)+TIME(12,15,49)</f>
        <v>45580.510983796295</v>
      </c>
      <c r="AI134" s="138" t="s">
        <v>708</v>
      </c>
      <c r="AJ134" s="138" t="s">
        <v>64</v>
      </c>
      <c r="AK134" s="138" t="s">
        <v>65</v>
      </c>
      <c r="AL134" s="181" t="s">
        <v>61</v>
      </c>
    </row>
    <row r="135" spans="1:38" ht="77.25" customHeight="1">
      <c r="A135" s="179" t="s">
        <v>919</v>
      </c>
      <c r="B135" s="155"/>
      <c r="C135" s="165" t="s">
        <v>920</v>
      </c>
      <c r="D135" s="166" t="s">
        <v>921</v>
      </c>
      <c r="E135" s="155"/>
      <c r="F135" s="155"/>
      <c r="G135" s="138"/>
      <c r="H135" s="150" t="s">
        <v>40</v>
      </c>
      <c r="I135" s="150"/>
      <c r="J135" s="150"/>
      <c r="K135" s="150"/>
      <c r="L135" s="184" t="s">
        <v>41</v>
      </c>
      <c r="M135" s="164"/>
      <c r="N135" s="142" t="s">
        <v>42</v>
      </c>
      <c r="O135" s="138"/>
      <c r="P135" s="142"/>
      <c r="Q135" s="142"/>
      <c r="R135" s="167"/>
      <c r="S135" s="168"/>
      <c r="T135" s="144" t="b">
        <v>1</v>
      </c>
      <c r="U135" s="144" t="b">
        <v>0</v>
      </c>
      <c r="V135" s="144" t="b">
        <v>0</v>
      </c>
      <c r="W135" s="144"/>
      <c r="X135" s="169"/>
      <c r="Y135" s="155"/>
      <c r="Z135" s="138"/>
      <c r="AA135" s="138"/>
      <c r="AB135" s="138"/>
      <c r="AC135" s="155"/>
      <c r="AD135" s="155"/>
      <c r="AE135" s="155"/>
      <c r="AF135" s="155"/>
      <c r="AG135" s="155"/>
      <c r="AH135" s="155"/>
      <c r="AI135" s="155"/>
      <c r="AJ135" s="155"/>
      <c r="AK135" s="155"/>
      <c r="AL135" s="182"/>
    </row>
    <row r="136" spans="1:38" ht="77.25" customHeight="1">
      <c r="A136" s="179" t="s">
        <v>922</v>
      </c>
      <c r="B136" s="155"/>
      <c r="C136" s="165" t="s">
        <v>923</v>
      </c>
      <c r="D136" s="166" t="s">
        <v>921</v>
      </c>
      <c r="E136" s="155"/>
      <c r="F136" s="155"/>
      <c r="G136" s="138"/>
      <c r="H136" s="150" t="s">
        <v>40</v>
      </c>
      <c r="I136" s="150"/>
      <c r="J136" s="150"/>
      <c r="K136" s="150"/>
      <c r="L136" s="184" t="s">
        <v>41</v>
      </c>
      <c r="M136" s="164"/>
      <c r="N136" s="142" t="s">
        <v>42</v>
      </c>
      <c r="O136" s="138"/>
      <c r="P136" s="142"/>
      <c r="Q136" s="142"/>
      <c r="R136" s="167"/>
      <c r="S136" s="168"/>
      <c r="T136" s="144" t="b">
        <v>1</v>
      </c>
      <c r="U136" s="144" t="b">
        <v>0</v>
      </c>
      <c r="V136" s="144" t="b">
        <v>0</v>
      </c>
      <c r="W136" s="144"/>
      <c r="X136" s="169"/>
      <c r="Y136" s="155"/>
      <c r="Z136" s="138"/>
      <c r="AA136" s="138"/>
      <c r="AB136" s="138"/>
      <c r="AC136" s="155"/>
      <c r="AD136" s="155"/>
      <c r="AE136" s="155"/>
      <c r="AF136" s="155"/>
      <c r="AG136" s="155"/>
      <c r="AH136" s="155"/>
      <c r="AI136" s="155"/>
      <c r="AJ136" s="155"/>
      <c r="AK136" s="155"/>
      <c r="AL136" s="182"/>
    </row>
    <row r="137" spans="1:38" ht="77.25" customHeight="1">
      <c r="A137" s="179" t="s">
        <v>924</v>
      </c>
      <c r="B137" s="155"/>
      <c r="C137" s="165" t="s">
        <v>925</v>
      </c>
      <c r="D137" s="166"/>
      <c r="E137" s="155"/>
      <c r="F137" s="155"/>
      <c r="G137" s="138"/>
      <c r="H137" s="150" t="s">
        <v>40</v>
      </c>
      <c r="I137" s="150"/>
      <c r="J137" s="150"/>
      <c r="K137" s="150"/>
      <c r="L137" s="184" t="s">
        <v>41</v>
      </c>
      <c r="M137" s="164"/>
      <c r="N137" s="142" t="s">
        <v>42</v>
      </c>
      <c r="O137" s="138"/>
      <c r="P137" s="142"/>
      <c r="Q137" s="142"/>
      <c r="R137" s="167"/>
      <c r="S137" s="168"/>
      <c r="T137" s="144" t="b">
        <v>1</v>
      </c>
      <c r="U137" s="144" t="b">
        <v>0</v>
      </c>
      <c r="V137" s="144" t="b">
        <v>0</v>
      </c>
      <c r="W137" s="144"/>
      <c r="X137" s="169"/>
      <c r="Y137" s="155"/>
      <c r="Z137" s="138"/>
      <c r="AA137" s="138"/>
      <c r="AB137" s="138"/>
      <c r="AC137" s="155"/>
      <c r="AD137" s="155"/>
      <c r="AE137" s="155"/>
      <c r="AF137" s="155"/>
      <c r="AG137" s="155"/>
      <c r="AH137" s="155"/>
      <c r="AI137" s="155"/>
      <c r="AJ137" s="155"/>
      <c r="AK137" s="155"/>
      <c r="AL137" s="182"/>
    </row>
    <row r="138" spans="1:38" ht="77.25" customHeight="1">
      <c r="A138" s="179" t="s">
        <v>926</v>
      </c>
      <c r="B138" s="155"/>
      <c r="C138" s="165" t="s">
        <v>927</v>
      </c>
      <c r="D138" s="166"/>
      <c r="E138" s="155"/>
      <c r="F138" s="155"/>
      <c r="G138" s="138"/>
      <c r="H138" s="150" t="s">
        <v>40</v>
      </c>
      <c r="I138" s="150"/>
      <c r="J138" s="150"/>
      <c r="K138" s="150"/>
      <c r="L138" s="184" t="s">
        <v>41</v>
      </c>
      <c r="M138" s="164"/>
      <c r="N138" s="142" t="s">
        <v>42</v>
      </c>
      <c r="O138" s="138"/>
      <c r="P138" s="142"/>
      <c r="Q138" s="142"/>
      <c r="R138" s="167"/>
      <c r="S138" s="168"/>
      <c r="T138" s="144" t="b">
        <v>1</v>
      </c>
      <c r="U138" s="144" t="b">
        <v>0</v>
      </c>
      <c r="V138" s="144" t="b">
        <v>0</v>
      </c>
      <c r="W138" s="144"/>
      <c r="X138" s="169"/>
      <c r="Y138" s="155"/>
      <c r="Z138" s="138"/>
      <c r="AA138" s="138"/>
      <c r="AB138" s="138"/>
      <c r="AC138" s="155"/>
      <c r="AD138" s="155"/>
      <c r="AE138" s="155"/>
      <c r="AF138" s="155"/>
      <c r="AG138" s="155"/>
      <c r="AH138" s="155"/>
      <c r="AI138" s="155"/>
      <c r="AJ138" s="155"/>
      <c r="AK138" s="155"/>
      <c r="AL138" s="182"/>
    </row>
    <row r="139" spans="1:38" ht="77.25" customHeight="1">
      <c r="A139" s="205" t="s">
        <v>928</v>
      </c>
      <c r="B139" s="206"/>
      <c r="C139" s="207" t="s">
        <v>929</v>
      </c>
      <c r="D139" s="208"/>
      <c r="E139" s="206"/>
      <c r="F139" s="206"/>
      <c r="G139" s="173"/>
      <c r="H139" s="175" t="s">
        <v>40</v>
      </c>
      <c r="I139" s="175"/>
      <c r="J139" s="175"/>
      <c r="K139" s="175"/>
      <c r="L139" s="185" t="s">
        <v>41</v>
      </c>
      <c r="M139" s="209"/>
      <c r="N139" s="174" t="s">
        <v>42</v>
      </c>
      <c r="O139" s="173"/>
      <c r="P139" s="174"/>
      <c r="Q139" s="174"/>
      <c r="R139" s="210"/>
      <c r="S139" s="211"/>
      <c r="T139" s="144" t="b">
        <v>1</v>
      </c>
      <c r="U139" s="213" t="b">
        <v>0</v>
      </c>
      <c r="V139" s="213" t="b">
        <v>0</v>
      </c>
      <c r="W139" s="213"/>
      <c r="X139" s="212"/>
      <c r="Y139" s="206"/>
      <c r="Z139" s="173"/>
      <c r="AA139" s="173"/>
      <c r="AB139" s="173"/>
      <c r="AC139" s="206"/>
      <c r="AD139" s="206"/>
      <c r="AE139" s="206"/>
      <c r="AF139" s="206"/>
      <c r="AG139" s="206"/>
      <c r="AH139" s="206"/>
      <c r="AI139" s="206"/>
      <c r="AJ139" s="206"/>
      <c r="AK139" s="206"/>
      <c r="AL139" s="202"/>
    </row>
    <row r="140" spans="1:38" ht="77.25" customHeight="1">
      <c r="A140" s="214"/>
      <c r="B140" s="206"/>
      <c r="C140" s="206"/>
      <c r="D140" s="206"/>
      <c r="E140" s="206"/>
      <c r="F140" s="206"/>
      <c r="G140" s="173"/>
      <c r="H140" s="175"/>
      <c r="I140" s="175"/>
      <c r="J140" s="175"/>
      <c r="K140" s="175"/>
      <c r="L140" s="185"/>
      <c r="M140" s="209"/>
      <c r="N140" s="174"/>
      <c r="O140" s="173"/>
      <c r="P140" s="174"/>
      <c r="Q140" s="174"/>
      <c r="R140" s="210"/>
      <c r="S140" s="211"/>
      <c r="T140" s="215" t="b">
        <v>0</v>
      </c>
      <c r="U140" s="213" t="b">
        <v>0</v>
      </c>
      <c r="V140" s="213" t="b">
        <v>0</v>
      </c>
      <c r="W140" s="213"/>
      <c r="X140" s="216"/>
      <c r="Y140" s="206"/>
      <c r="Z140" s="173"/>
      <c r="AA140" s="173"/>
      <c r="AB140" s="173"/>
      <c r="AC140" s="206"/>
      <c r="AD140" s="206"/>
      <c r="AE140" s="206"/>
      <c r="AF140" s="206"/>
      <c r="AG140" s="206"/>
      <c r="AH140" s="206"/>
      <c r="AI140" s="206"/>
      <c r="AJ140" s="206"/>
      <c r="AK140" s="206"/>
      <c r="AL140" s="202"/>
    </row>
  </sheetData>
  <phoneticPr fontId="39" type="noConversion"/>
  <hyperlinks>
    <hyperlink ref="Q76" r:id="rId1" xr:uid="{224BE18A-0C80-41D9-B170-D5179C7A1EA1}"/>
    <hyperlink ref="Q89" r:id="rId2" xr:uid="{EEF8F1A8-5CBA-4EFE-A96D-854D891A4A01}"/>
    <hyperlink ref="C110" r:id="rId3" xr:uid="{D4A629ED-866A-4896-BC49-DE9E90B70DE9}"/>
    <hyperlink ref="C41" r:id="rId4" xr:uid="{8D098831-B72E-48BE-A1AC-4EDA6C4B723D}"/>
    <hyperlink ref="C42" r:id="rId5" xr:uid="{D4B181C2-5009-4A70-8E83-D4A91A201BDC}"/>
    <hyperlink ref="C95" r:id="rId6" xr:uid="{67EA0139-0F70-4178-AE62-02190AB93002}"/>
    <hyperlink ref="C91" r:id="rId7" xr:uid="{02506073-B782-44BE-87F8-BD6ADC3C1526}"/>
    <hyperlink ref="C94" r:id="rId8" xr:uid="{367E6A6E-5D37-42CD-BFF8-1F73D3D880F3}"/>
    <hyperlink ref="C22" r:id="rId9" xr:uid="{4BBDA2D8-16BF-43EF-866F-79A76EF21762}"/>
    <hyperlink ref="C23" r:id="rId10" xr:uid="{7EE8F55E-4872-4029-B0A4-B2E0394A87E5}"/>
    <hyperlink ref="C24" r:id="rId11" xr:uid="{BAAC6AF3-249D-4774-B40C-3DB402DD6F44}"/>
    <hyperlink ref="C46" r:id="rId12" xr:uid="{E0713279-64F7-4031-AA12-6498D964B832}"/>
    <hyperlink ref="C89" r:id="rId13" xr:uid="{9AA9CEF6-48C2-47E3-A54D-7C535D8C56AB}"/>
    <hyperlink ref="C99" r:id="rId14" xr:uid="{ECB46AFB-0CBA-4DD8-B590-81DEBE0DAE20}"/>
    <hyperlink ref="C100" r:id="rId15" xr:uid="{326F88C9-72C2-4103-AA89-E6DE974E4F9A}"/>
    <hyperlink ref="C125" r:id="rId16" xr:uid="{7DE2F6AD-E034-4000-9BEC-64271DAB4388}"/>
    <hyperlink ref="C107" r:id="rId17" xr:uid="{7E9DE373-F071-4748-B9AA-AFA51ABA1687}"/>
    <hyperlink ref="C118" r:id="rId18" xr:uid="{68E53CB0-4862-4C2E-9C6C-B5D4E1EE98F2}"/>
    <hyperlink ref="C64" r:id="rId19" xr:uid="{AF521084-9025-47AA-A8AE-93B971713C93}"/>
    <hyperlink ref="C97" r:id="rId20" xr:uid="{0893CE3F-5B6D-4F70-BBBC-0789CA889C48}"/>
    <hyperlink ref="C122" r:id="rId21" xr:uid="{E9BDB988-497E-4D9F-9D5E-43728F1FEC52}"/>
    <hyperlink ref="C106" r:id="rId22" xr:uid="{C7DC66E8-D1E6-410E-BD90-7F0150342304}"/>
    <hyperlink ref="C11" r:id="rId23" xr:uid="{665881D2-43F4-4DED-9A4D-7C4ADAD77004}"/>
    <hyperlink ref="C21" r:id="rId24" xr:uid="{1159BD31-F37A-497F-AA1E-7C5AA11450F8}"/>
    <hyperlink ref="C47" r:id="rId25" xr:uid="{DCBBB074-E5FF-415F-9E46-74E17F810114}"/>
    <hyperlink ref="C8" r:id="rId26" xr:uid="{9C8134BF-8837-4E5B-A30A-03993F8AE698}"/>
    <hyperlink ref="C29" r:id="rId27" xr:uid="{08C0096A-BD70-4EE3-A17A-C3D77831FFB3}"/>
    <hyperlink ref="C63" r:id="rId28" xr:uid="{79C2EDE6-3DCE-49A1-A5A9-A56715B1C7F0}"/>
    <hyperlink ref="C133" r:id="rId29" xr:uid="{54334DDB-4D52-4FBB-A622-7FDA918B764A}"/>
    <hyperlink ref="C134" r:id="rId30" xr:uid="{C72E232D-41DB-4A79-A438-67471FB6A16B}"/>
    <hyperlink ref="C132" r:id="rId31" xr:uid="{A72165B3-95E2-436B-8423-DDFE431DE469}"/>
    <hyperlink ref="C39" r:id="rId32" xr:uid="{B6065282-A606-403B-89D8-1513C1DE23B6}"/>
    <hyperlink ref="C15" r:id="rId33" xr:uid="{0D11A3A0-2124-494A-A652-E3FE03E3789F}"/>
    <hyperlink ref="C131" r:id="rId34" xr:uid="{7903D484-F35A-4F8C-8C81-0EB38EFA5BAE}"/>
    <hyperlink ref="C88" r:id="rId35" xr:uid="{5346255E-1786-4B98-A894-AFC500063FAD}"/>
    <hyperlink ref="C4" r:id="rId36" xr:uid="{D8F7469E-671C-4C1B-8639-ACAA58B22E1D}"/>
    <hyperlink ref="C53" r:id="rId37" xr:uid="{F0EAD461-75DC-4280-B328-E94E481D89D5}"/>
    <hyperlink ref="C35" r:id="rId38" xr:uid="{10C7DD84-EF3C-448F-A5C2-E0E5B114718A}"/>
    <hyperlink ref="C126" r:id="rId39" xr:uid="{B0D1F757-571D-4D15-AE82-A11D86B45402}"/>
    <hyperlink ref="C16" r:id="rId40" xr:uid="{D3FC9E89-C3A5-4F83-8F0D-D0BE4EAB5B57}"/>
    <hyperlink ref="C17" r:id="rId41" xr:uid="{62B6B194-4EFD-4569-9642-43F700F17290}"/>
    <hyperlink ref="C137" r:id="rId42" xr:uid="{F774EFC5-5E28-4DA9-AD7F-F8EB02CA0AA8}"/>
    <hyperlink ref="C130" r:id="rId43" xr:uid="{0361B875-B555-4F2E-A524-3769C3829FBB}"/>
    <hyperlink ref="C73" r:id="rId44" xr:uid="{84551630-C3CE-43FB-82BB-78226082FD81}"/>
    <hyperlink ref="C2" r:id="rId45" xr:uid="{81BD0165-B926-4D08-A9E2-1F8343DC7A07}"/>
    <hyperlink ref="C3" r:id="rId46" xr:uid="{BD0A1A8D-9EB3-48F1-9720-96554C47FADE}"/>
    <hyperlink ref="C10" r:id="rId47" xr:uid="{A19E377D-D65B-4E75-B4A2-ACEA2EF50643}"/>
    <hyperlink ref="C28" r:id="rId48" xr:uid="{A8D777F3-57DD-4514-90F7-4913CDAADE8A}"/>
    <hyperlink ref="C90" r:id="rId49" xr:uid="{1237F642-C2DF-4D00-8F38-262EDC602E17}"/>
    <hyperlink ref="C20" r:id="rId50" xr:uid="{3146D8E0-A4AB-40F8-8828-2D24168AD3AA}"/>
    <hyperlink ref="C129" r:id="rId51" xr:uid="{608E1732-8F7F-4C52-AFA3-E9894D44A96A}"/>
    <hyperlink ref="C138" r:id="rId52" xr:uid="{8B1D750C-98FC-45B6-8029-91C2D3038EB6}"/>
    <hyperlink ref="C18" r:id="rId53" xr:uid="{0014BC05-4908-4A7B-90C3-CE0F5333289F}"/>
    <hyperlink ref="C127" r:id="rId54" xr:uid="{9D3E2682-3340-46A6-A831-EC26B63F01FF}"/>
    <hyperlink ref="C65" r:id="rId55" xr:uid="{04BFB952-5D9A-4E6E-B54C-37D0D4538403}"/>
    <hyperlink ref="C117" r:id="rId56" xr:uid="{16E87317-D7E1-4436-9FDD-0718F9EADF21}"/>
    <hyperlink ref="C139" r:id="rId57" xr:uid="{FD8D79DC-FFBC-4F01-8148-8ECA24449413}"/>
    <hyperlink ref="C135" r:id="rId58" xr:uid="{60E21964-5DBF-49C7-AE7A-14811C78938C}"/>
    <hyperlink ref="C136" r:id="rId59" xr:uid="{F76C93AE-96E7-458F-97E4-AA707E3C9FB7}"/>
    <hyperlink ref="C71" r:id="rId60" xr:uid="{C237D736-8294-4BF3-8CA4-D06BB757EABC}"/>
    <hyperlink ref="C60" r:id="rId61" xr:uid="{66A9C453-11C4-4C50-8328-EE8FEF8A1D75}"/>
    <hyperlink ref="C72" r:id="rId62" xr:uid="{2696DF77-E84E-4641-A035-91CD02B7E3C8}"/>
    <hyperlink ref="C36" r:id="rId63" xr:uid="{940FDD18-6297-476F-A712-118A9E730149}"/>
    <hyperlink ref="C59" r:id="rId64" xr:uid="{2ACA18B2-1A6A-4593-840A-8A9EFAEE3487}"/>
    <hyperlink ref="C13" r:id="rId65" xr:uid="{FF8F13F2-3D38-A347-A44B-781F907740CA}"/>
    <hyperlink ref="C96" r:id="rId66" xr:uid="{6DB6CF4E-D676-024C-A590-2D4A75339450}"/>
  </hyperlinks>
  <pageMargins left="0.7" right="0.7" top="0.75" bottom="0.75" header="0.3" footer="0.3"/>
  <pageSetup orientation="portrait" horizontalDpi="0" verticalDpi="0"/>
  <tableParts count="1">
    <tablePart r:id="rId6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1356C-3E55-6E4F-AFD7-C231A081AD64}">
  <sheetPr>
    <tabColor theme="9" tint="0.59999389629810485"/>
  </sheetPr>
  <dimension ref="A1:AE143"/>
  <sheetViews>
    <sheetView topLeftCell="A43" zoomScaleNormal="50" workbookViewId="0">
      <selection activeCell="E48" sqref="E48"/>
    </sheetView>
  </sheetViews>
  <sheetFormatPr baseColWidth="10" defaultColWidth="10.83203125" defaultRowHeight="33"/>
  <cols>
    <col min="1" max="1" width="13" customWidth="1"/>
    <col min="2" max="2" width="10.33203125" customWidth="1"/>
    <col min="3" max="3" width="14.1640625" customWidth="1"/>
    <col min="4" max="4" width="14.33203125" customWidth="1"/>
    <col min="5" max="5" width="12.5" customWidth="1"/>
    <col min="6" max="6" width="13.1640625" customWidth="1"/>
    <col min="7" max="7" width="15.1640625" style="76" customWidth="1"/>
    <col min="8" max="8" width="20.5" customWidth="1"/>
    <col min="9" max="9" width="17" customWidth="1"/>
    <col min="10" max="10" width="50.83203125" customWidth="1"/>
    <col min="11" max="11" width="11.83203125" style="76" customWidth="1"/>
    <col min="12" max="12" width="22.1640625" style="77" customWidth="1"/>
    <col min="13" max="13" width="64.83203125" style="78" customWidth="1"/>
    <col min="14" max="14" width="24" style="77" customWidth="1"/>
    <col min="15" max="15" width="28" style="77" customWidth="1"/>
    <col min="16" max="16" width="28.83203125" style="87" customWidth="1"/>
    <col min="17" max="17" width="19.5" style="77" customWidth="1"/>
    <col min="19" max="19" width="39.5" customWidth="1"/>
    <col min="20" max="20" width="26.5" style="33" customWidth="1"/>
    <col min="21" max="21" width="24.33203125" customWidth="1"/>
    <col min="22" max="22" width="17" customWidth="1"/>
    <col min="23" max="23" width="9.1640625" customWidth="1"/>
    <col min="25" max="25" width="31.1640625" customWidth="1"/>
    <col min="27" max="27" width="32.33203125" bestFit="1" customWidth="1"/>
    <col min="28" max="28" width="22" bestFit="1" customWidth="1"/>
    <col min="29" max="29" width="21.5" customWidth="1"/>
    <col min="31" max="31" width="21.6640625" customWidth="1"/>
    <col min="32" max="32" width="15.1640625" customWidth="1"/>
    <col min="35" max="35" width="15.6640625" customWidth="1"/>
    <col min="36" max="36" width="13.83203125" bestFit="1" customWidth="1"/>
    <col min="37" max="37" width="16.6640625" customWidth="1"/>
  </cols>
  <sheetData>
    <row r="1" spans="1:31" s="68" customFormat="1" ht="77" customHeight="1">
      <c r="A1" s="117" t="s">
        <v>0</v>
      </c>
      <c r="B1" s="117" t="s">
        <v>1</v>
      </c>
      <c r="C1" s="117" t="s">
        <v>2</v>
      </c>
      <c r="D1" s="117" t="s">
        <v>3</v>
      </c>
      <c r="E1" s="117" t="s">
        <v>4</v>
      </c>
      <c r="F1" s="117" t="s">
        <v>5</v>
      </c>
      <c r="G1" s="117" t="s">
        <v>6</v>
      </c>
      <c r="H1" s="64" t="s">
        <v>7</v>
      </c>
      <c r="I1" s="117" t="s">
        <v>12</v>
      </c>
      <c r="J1" s="64" t="s">
        <v>13</v>
      </c>
      <c r="K1" s="64" t="s">
        <v>11</v>
      </c>
      <c r="L1" s="117" t="s">
        <v>14</v>
      </c>
      <c r="M1" s="64" t="s">
        <v>15</v>
      </c>
      <c r="N1" s="64" t="s">
        <v>16</v>
      </c>
      <c r="O1" s="64" t="s">
        <v>17</v>
      </c>
      <c r="P1" s="64" t="s">
        <v>18</v>
      </c>
      <c r="Q1" s="117" t="s">
        <v>22</v>
      </c>
      <c r="R1" s="117" t="s">
        <v>23</v>
      </c>
      <c r="S1" s="117" t="s">
        <v>24</v>
      </c>
      <c r="T1" s="117" t="s">
        <v>25</v>
      </c>
      <c r="U1" s="117" t="s">
        <v>26</v>
      </c>
      <c r="V1" s="117" t="s">
        <v>27</v>
      </c>
      <c r="W1" s="117" t="s">
        <v>28</v>
      </c>
      <c r="X1" s="117" t="s">
        <v>29</v>
      </c>
      <c r="Y1" s="117" t="s">
        <v>30</v>
      </c>
      <c r="Z1" s="117" t="s">
        <v>31</v>
      </c>
      <c r="AA1" s="117" t="s">
        <v>32</v>
      </c>
      <c r="AB1" s="117" t="s">
        <v>33</v>
      </c>
      <c r="AC1" s="117" t="s">
        <v>34</v>
      </c>
      <c r="AD1" s="117" t="s">
        <v>35</v>
      </c>
      <c r="AE1" s="117" t="s">
        <v>36</v>
      </c>
    </row>
    <row r="2" spans="1:31" s="33" customFormat="1" ht="204">
      <c r="A2" s="136" t="s">
        <v>556</v>
      </c>
      <c r="B2" s="73" t="s">
        <v>557</v>
      </c>
      <c r="C2" s="73" t="s">
        <v>558</v>
      </c>
      <c r="D2" s="73" t="s">
        <v>559</v>
      </c>
      <c r="E2" s="73" t="s">
        <v>560</v>
      </c>
      <c r="F2" s="73"/>
      <c r="G2" s="73" t="s">
        <v>561</v>
      </c>
      <c r="H2" s="88" t="s">
        <v>55</v>
      </c>
      <c r="I2" s="73" t="s">
        <v>90</v>
      </c>
      <c r="J2" s="92" t="s">
        <v>562</v>
      </c>
      <c r="K2" s="89" t="s">
        <v>177</v>
      </c>
      <c r="L2" s="73" t="s">
        <v>220</v>
      </c>
      <c r="M2" s="92" t="s">
        <v>563</v>
      </c>
      <c r="N2" s="65" t="s">
        <v>187</v>
      </c>
      <c r="O2" s="90" t="b">
        <v>1</v>
      </c>
      <c r="P2" s="91" t="b">
        <v>1</v>
      </c>
      <c r="Q2" s="75">
        <f>DATE(2024,10,15)+TIME(16,31,50)</f>
        <v>45580.688773148147</v>
      </c>
      <c r="R2" s="73" t="s">
        <v>61</v>
      </c>
      <c r="S2" s="73" t="s">
        <v>61</v>
      </c>
      <c r="T2" s="73" t="s">
        <v>222</v>
      </c>
      <c r="U2" s="73" t="s">
        <v>78</v>
      </c>
      <c r="V2" s="73"/>
      <c r="W2" s="73"/>
      <c r="X2" s="73"/>
      <c r="Y2" s="73" t="s">
        <v>79</v>
      </c>
      <c r="Z2" s="73" t="s">
        <v>80</v>
      </c>
      <c r="AA2" s="75">
        <f>DATE(2024,10,15)+TIME(17,19,30)</f>
        <v>45580.721875000003</v>
      </c>
      <c r="AB2" s="73"/>
      <c r="AC2" s="73"/>
      <c r="AD2" s="73" t="s">
        <v>65</v>
      </c>
      <c r="AE2" s="73" t="s">
        <v>61</v>
      </c>
    </row>
    <row r="3" spans="1:31" s="33" customFormat="1" ht="174">
      <c r="A3" s="137" t="s">
        <v>751</v>
      </c>
      <c r="B3" s="115" t="s">
        <v>752</v>
      </c>
      <c r="C3" s="118" t="s">
        <v>753</v>
      </c>
      <c r="D3" s="115" t="s">
        <v>754</v>
      </c>
      <c r="E3" s="115" t="s">
        <v>755</v>
      </c>
      <c r="F3" s="115" t="s">
        <v>756</v>
      </c>
      <c r="G3" s="115" t="s">
        <v>757</v>
      </c>
      <c r="H3" s="119" t="s">
        <v>88</v>
      </c>
      <c r="I3" s="115" t="s">
        <v>57</v>
      </c>
      <c r="J3" s="110" t="s">
        <v>758</v>
      </c>
      <c r="K3" s="111" t="s">
        <v>177</v>
      </c>
      <c r="L3" s="115" t="s">
        <v>759</v>
      </c>
      <c r="M3" s="110" t="s">
        <v>930</v>
      </c>
      <c r="N3" s="110"/>
      <c r="O3" s="120" t="s">
        <v>94</v>
      </c>
      <c r="P3" s="121" t="s">
        <v>94</v>
      </c>
      <c r="Q3" s="116">
        <f>DATE(2024,10,14)+TIME(11,4,21)</f>
        <v>45579.461354166669</v>
      </c>
      <c r="R3" s="115" t="s">
        <v>61</v>
      </c>
      <c r="S3" s="115" t="s">
        <v>61</v>
      </c>
      <c r="T3" s="115"/>
      <c r="U3" s="115"/>
      <c r="V3" s="115"/>
      <c r="W3" s="115"/>
      <c r="X3" s="115"/>
      <c r="Y3" s="115"/>
      <c r="Z3" s="115" t="s">
        <v>62</v>
      </c>
      <c r="AA3" s="116">
        <f>DATE(2024,10,14)+TIME(11,5,43)</f>
        <v>45579.46230324074</v>
      </c>
      <c r="AB3" s="115"/>
      <c r="AC3" s="115" t="s">
        <v>761</v>
      </c>
      <c r="AD3" s="115" t="s">
        <v>65</v>
      </c>
      <c r="AE3" s="115" t="s">
        <v>61</v>
      </c>
    </row>
    <row r="4" spans="1:31" ht="89">
      <c r="A4" s="136" t="s">
        <v>171</v>
      </c>
      <c r="B4" s="73" t="s">
        <v>172</v>
      </c>
      <c r="C4" s="100" t="s">
        <v>173</v>
      </c>
      <c r="D4" s="73" t="s">
        <v>174</v>
      </c>
      <c r="E4" s="73" t="s">
        <v>175</v>
      </c>
      <c r="F4" s="73" t="s">
        <v>176</v>
      </c>
      <c r="G4" s="73" t="s">
        <v>103</v>
      </c>
      <c r="H4" s="65" t="s">
        <v>104</v>
      </c>
      <c r="I4" s="73"/>
      <c r="J4" s="65" t="s">
        <v>178</v>
      </c>
      <c r="K4" s="66" t="s">
        <v>177</v>
      </c>
      <c r="L4" s="73"/>
      <c r="M4" s="65"/>
      <c r="N4" s="65"/>
      <c r="O4" s="81" t="b">
        <v>0</v>
      </c>
      <c r="P4" s="85" t="b">
        <v>0</v>
      </c>
      <c r="Q4" s="75">
        <f>DATE(2024,10,16)+TIME(13,58,44)</f>
        <v>45581.582453703704</v>
      </c>
      <c r="R4" s="73" t="s">
        <v>95</v>
      </c>
      <c r="S4" s="73"/>
      <c r="T4" s="73"/>
      <c r="U4" s="73"/>
      <c r="V4" s="73"/>
      <c r="W4" s="73"/>
      <c r="X4" s="73"/>
      <c r="Y4" s="73"/>
      <c r="Z4" s="73" t="s">
        <v>62</v>
      </c>
      <c r="AA4" s="75">
        <f>DATE(2024,10,16)+TIME(13,58,57)</f>
        <v>45581.582604166666</v>
      </c>
      <c r="AB4" s="73" t="s">
        <v>96</v>
      </c>
      <c r="AC4" s="73" t="s">
        <v>64</v>
      </c>
      <c r="AD4" s="73" t="s">
        <v>65</v>
      </c>
      <c r="AE4" s="73" t="s">
        <v>61</v>
      </c>
    </row>
    <row r="5" spans="1:31" ht="55">
      <c r="A5" s="136" t="s">
        <v>363</v>
      </c>
      <c r="B5" s="73" t="s">
        <v>364</v>
      </c>
      <c r="C5" s="100" t="s">
        <v>365</v>
      </c>
      <c r="D5" s="73" t="s">
        <v>366</v>
      </c>
      <c r="E5" s="73" t="s">
        <v>367</v>
      </c>
      <c r="F5" s="73" t="s">
        <v>368</v>
      </c>
      <c r="G5" s="73" t="s">
        <v>103</v>
      </c>
      <c r="H5" s="65" t="s">
        <v>104</v>
      </c>
      <c r="I5" s="73" t="s">
        <v>90</v>
      </c>
      <c r="J5" s="65" t="s">
        <v>369</v>
      </c>
      <c r="K5" s="66" t="s">
        <v>177</v>
      </c>
      <c r="L5" s="73" t="s">
        <v>231</v>
      </c>
      <c r="M5" s="65"/>
      <c r="N5" s="65"/>
      <c r="O5" s="81" t="b">
        <v>0</v>
      </c>
      <c r="P5" s="85" t="b">
        <v>0</v>
      </c>
      <c r="Q5" s="75">
        <f>DATE(2024,10,15)+TIME(8,6,27)</f>
        <v>45580.337812500002</v>
      </c>
      <c r="R5" s="73" t="s">
        <v>61</v>
      </c>
      <c r="S5" s="73" t="s">
        <v>61</v>
      </c>
      <c r="T5" s="73" t="s">
        <v>108</v>
      </c>
      <c r="U5" s="73" t="s">
        <v>61</v>
      </c>
      <c r="V5" s="73"/>
      <c r="W5" s="73"/>
      <c r="X5" s="73"/>
      <c r="Y5" s="73"/>
      <c r="Z5" s="73" t="s">
        <v>62</v>
      </c>
      <c r="AA5" s="75">
        <f>DATE(2024,10,15)+TIME(8,8,31)</f>
        <v>45580.339247685188</v>
      </c>
      <c r="AB5" s="73" t="s">
        <v>370</v>
      </c>
      <c r="AC5" s="73" t="s">
        <v>64</v>
      </c>
      <c r="AD5" s="73" t="s">
        <v>65</v>
      </c>
      <c r="AE5" s="73" t="s">
        <v>61</v>
      </c>
    </row>
    <row r="6" spans="1:31" ht="55">
      <c r="A6" s="1" t="s">
        <v>539</v>
      </c>
      <c r="B6" s="1" t="s">
        <v>540</v>
      </c>
      <c r="C6" s="1" t="s">
        <v>541</v>
      </c>
      <c r="D6" s="1" t="s">
        <v>542</v>
      </c>
      <c r="E6" s="1" t="s">
        <v>543</v>
      </c>
      <c r="F6" s="1" t="s">
        <v>544</v>
      </c>
      <c r="G6" s="1" t="s">
        <v>185</v>
      </c>
      <c r="H6" s="71" t="s">
        <v>123</v>
      </c>
      <c r="I6" s="1"/>
      <c r="J6" s="71" t="s">
        <v>545</v>
      </c>
      <c r="K6" s="72" t="s">
        <v>177</v>
      </c>
      <c r="L6" s="1"/>
      <c r="M6" s="71" t="s">
        <v>546</v>
      </c>
      <c r="N6" s="71" t="s">
        <v>547</v>
      </c>
      <c r="O6" s="80" t="b">
        <v>1</v>
      </c>
      <c r="P6" s="84" t="b">
        <v>1</v>
      </c>
      <c r="Q6" s="2">
        <f>DATE(2024,10,17)+TIME(14,28,3)</f>
        <v>45582.602812500001</v>
      </c>
      <c r="R6" s="1" t="s">
        <v>95</v>
      </c>
      <c r="S6" s="1"/>
      <c r="T6" s="1"/>
      <c r="U6" s="1"/>
      <c r="V6" s="1"/>
      <c r="W6" s="1"/>
      <c r="X6" s="1"/>
      <c r="Y6" s="1"/>
      <c r="Z6" s="1" t="s">
        <v>62</v>
      </c>
      <c r="AA6" s="2">
        <f>DATE(2024,10,17)+TIME(14,28,9)</f>
        <v>45582.602881944447</v>
      </c>
      <c r="AB6" s="1" t="s">
        <v>548</v>
      </c>
      <c r="AC6" s="1" t="s">
        <v>64</v>
      </c>
      <c r="AD6" s="1" t="s">
        <v>65</v>
      </c>
      <c r="AE6" s="1" t="s">
        <v>61</v>
      </c>
    </row>
    <row r="7" spans="1:31" ht="123">
      <c r="A7" s="1" t="s">
        <v>549</v>
      </c>
      <c r="B7" s="1" t="s">
        <v>550</v>
      </c>
      <c r="C7" s="1" t="s">
        <v>551</v>
      </c>
      <c r="D7" s="1" t="s">
        <v>542</v>
      </c>
      <c r="E7" s="1" t="s">
        <v>216</v>
      </c>
      <c r="F7" s="1" t="s">
        <v>552</v>
      </c>
      <c r="G7" s="1" t="s">
        <v>185</v>
      </c>
      <c r="H7" s="65" t="s">
        <v>123</v>
      </c>
      <c r="I7" s="1"/>
      <c r="J7" s="65" t="s">
        <v>553</v>
      </c>
      <c r="K7" s="66" t="s">
        <v>177</v>
      </c>
      <c r="L7" s="1"/>
      <c r="M7" s="65" t="s">
        <v>554</v>
      </c>
      <c r="N7" s="67" t="s">
        <v>555</v>
      </c>
      <c r="O7" s="82" t="b">
        <v>1</v>
      </c>
      <c r="P7" s="85" t="b">
        <v>1</v>
      </c>
      <c r="Q7" s="2">
        <f>DATE(2024,10,17)+TIME(14,27,51)</f>
        <v>45582.602673611109</v>
      </c>
      <c r="R7" s="1" t="s">
        <v>95</v>
      </c>
      <c r="S7" s="1"/>
      <c r="T7" s="1"/>
      <c r="U7" s="1"/>
      <c r="V7" s="1"/>
      <c r="W7" s="1"/>
      <c r="X7" s="1"/>
      <c r="Y7" s="1"/>
      <c r="Z7" s="1" t="s">
        <v>62</v>
      </c>
      <c r="AA7" s="2">
        <f>DATE(2024,10,17)+TIME(14,27,58)</f>
        <v>45582.602754629632</v>
      </c>
      <c r="AB7" s="1" t="s">
        <v>370</v>
      </c>
      <c r="AC7" s="1" t="s">
        <v>64</v>
      </c>
      <c r="AD7" s="1" t="s">
        <v>65</v>
      </c>
      <c r="AE7" s="1" t="s">
        <v>61</v>
      </c>
    </row>
    <row r="8" spans="1:31" ht="55">
      <c r="A8" s="1" t="s">
        <v>564</v>
      </c>
      <c r="B8" s="1" t="s">
        <v>565</v>
      </c>
      <c r="C8" s="1" t="s">
        <v>566</v>
      </c>
      <c r="D8" s="1" t="s">
        <v>559</v>
      </c>
      <c r="E8" s="1" t="s">
        <v>567</v>
      </c>
      <c r="F8" s="1" t="s">
        <v>568</v>
      </c>
      <c r="G8" s="1" t="s">
        <v>103</v>
      </c>
      <c r="H8" s="65" t="s">
        <v>123</v>
      </c>
      <c r="I8" s="1"/>
      <c r="J8" s="65"/>
      <c r="K8" s="66" t="s">
        <v>177</v>
      </c>
      <c r="L8" s="1"/>
      <c r="M8" s="65" t="s">
        <v>569</v>
      </c>
      <c r="N8" s="65" t="s">
        <v>187</v>
      </c>
      <c r="O8" s="81" t="b">
        <v>1</v>
      </c>
      <c r="P8" s="85" t="b">
        <v>1</v>
      </c>
      <c r="Q8" s="2">
        <f>DATE(2024,10,16)+TIME(10,14,55)</f>
        <v>45581.427025462966</v>
      </c>
      <c r="R8" s="1" t="s">
        <v>95</v>
      </c>
      <c r="S8" s="1"/>
      <c r="T8" s="1"/>
      <c r="U8" s="1"/>
      <c r="V8" s="1"/>
      <c r="W8" s="1"/>
      <c r="X8" s="1"/>
      <c r="Y8" s="1"/>
      <c r="Z8" s="1" t="s">
        <v>62</v>
      </c>
      <c r="AA8" s="2">
        <f>DATE(2024,10,16)+TIME(10,15,0)</f>
        <v>45581.427083333336</v>
      </c>
      <c r="AB8" s="1" t="s">
        <v>570</v>
      </c>
      <c r="AC8" s="1" t="s">
        <v>64</v>
      </c>
      <c r="AD8" s="1" t="s">
        <v>65</v>
      </c>
      <c r="AE8" s="1" t="s">
        <v>61</v>
      </c>
    </row>
    <row r="9" spans="1:31" ht="55">
      <c r="A9" s="1" t="s">
        <v>571</v>
      </c>
      <c r="B9" s="1" t="s">
        <v>572</v>
      </c>
      <c r="C9" s="1" t="s">
        <v>573</v>
      </c>
      <c r="D9" s="1" t="s">
        <v>559</v>
      </c>
      <c r="E9" s="1" t="s">
        <v>567</v>
      </c>
      <c r="F9" s="1" t="s">
        <v>567</v>
      </c>
      <c r="G9" s="1" t="s">
        <v>103</v>
      </c>
      <c r="H9" s="65" t="s">
        <v>123</v>
      </c>
      <c r="I9" s="1"/>
      <c r="J9" s="65"/>
      <c r="K9" s="66" t="s">
        <v>177</v>
      </c>
      <c r="L9" s="1"/>
      <c r="M9" s="65" t="s">
        <v>569</v>
      </c>
      <c r="N9" s="65" t="s">
        <v>187</v>
      </c>
      <c r="O9" s="81" t="b">
        <v>1</v>
      </c>
      <c r="P9" s="85" t="b">
        <v>1</v>
      </c>
      <c r="Q9" s="2">
        <f>DATE(2024,10,16)+TIME(10,14,48)</f>
        <v>45581.426944444444</v>
      </c>
      <c r="R9" s="1" t="s">
        <v>95</v>
      </c>
      <c r="S9" s="1"/>
      <c r="T9" s="1"/>
      <c r="U9" s="1"/>
      <c r="V9" s="1"/>
      <c r="W9" s="1"/>
      <c r="X9" s="1"/>
      <c r="Y9" s="1"/>
      <c r="Z9" s="1" t="s">
        <v>62</v>
      </c>
      <c r="AA9" s="2">
        <f>DATE(2024,10,16)+TIME(10,14,54)</f>
        <v>45581.42701388889</v>
      </c>
      <c r="AB9" s="1" t="s">
        <v>570</v>
      </c>
      <c r="AC9" s="1" t="s">
        <v>64</v>
      </c>
      <c r="AD9" s="1" t="s">
        <v>65</v>
      </c>
      <c r="AE9" s="1" t="s">
        <v>61</v>
      </c>
    </row>
    <row r="10" spans="1:31" ht="55">
      <c r="A10" s="1" t="s">
        <v>348</v>
      </c>
      <c r="B10" s="1" t="s">
        <v>574</v>
      </c>
      <c r="C10" s="1" t="s">
        <v>575</v>
      </c>
      <c r="D10" s="1" t="s">
        <v>559</v>
      </c>
      <c r="E10" s="1" t="s">
        <v>576</v>
      </c>
      <c r="F10" s="1" t="s">
        <v>576</v>
      </c>
      <c r="G10" s="1" t="s">
        <v>103</v>
      </c>
      <c r="H10" s="69" t="s">
        <v>123</v>
      </c>
      <c r="I10" s="1"/>
      <c r="J10" s="69"/>
      <c r="K10" s="70" t="s">
        <v>177</v>
      </c>
      <c r="L10" s="1"/>
      <c r="M10" s="69" t="s">
        <v>569</v>
      </c>
      <c r="N10" s="69" t="s">
        <v>187</v>
      </c>
      <c r="O10" s="79" t="b">
        <v>1</v>
      </c>
      <c r="P10" s="83" t="b">
        <v>1</v>
      </c>
      <c r="Q10" s="2">
        <f>DATE(2024,10,16)+TIME(10,15,0)</f>
        <v>45581.427083333336</v>
      </c>
      <c r="R10" s="1" t="s">
        <v>95</v>
      </c>
      <c r="S10" s="1"/>
      <c r="T10" s="1"/>
      <c r="U10" s="1"/>
      <c r="V10" s="1"/>
      <c r="W10" s="1"/>
      <c r="X10" s="1"/>
      <c r="Y10" s="1"/>
      <c r="Z10" s="1" t="s">
        <v>62</v>
      </c>
      <c r="AA10" s="2">
        <f>DATE(2024,10,16)+TIME(10,15,5)</f>
        <v>45581.427141203705</v>
      </c>
      <c r="AB10" s="1" t="s">
        <v>570</v>
      </c>
      <c r="AC10" s="1" t="s">
        <v>64</v>
      </c>
      <c r="AD10" s="1" t="s">
        <v>65</v>
      </c>
      <c r="AE10" s="1" t="s">
        <v>61</v>
      </c>
    </row>
    <row r="11" spans="1:31" ht="38">
      <c r="A11" s="73" t="s">
        <v>607</v>
      </c>
      <c r="B11" s="73" t="s">
        <v>608</v>
      </c>
      <c r="C11" s="73" t="s">
        <v>609</v>
      </c>
      <c r="D11" s="73" t="s">
        <v>604</v>
      </c>
      <c r="E11" s="73" t="s">
        <v>610</v>
      </c>
      <c r="F11" s="73" t="s">
        <v>611</v>
      </c>
      <c r="G11" s="73" t="s">
        <v>209</v>
      </c>
      <c r="H11" s="65" t="s">
        <v>172</v>
      </c>
      <c r="I11" s="73" t="s">
        <v>90</v>
      </c>
      <c r="J11" s="65" t="s">
        <v>612</v>
      </c>
      <c r="K11" s="66" t="s">
        <v>177</v>
      </c>
      <c r="L11" s="73" t="s">
        <v>92</v>
      </c>
      <c r="M11" s="18" t="s">
        <v>931</v>
      </c>
      <c r="N11" s="65"/>
      <c r="O11" s="81" t="b">
        <v>0</v>
      </c>
      <c r="P11" s="85" t="b">
        <v>0</v>
      </c>
      <c r="Q11" s="75">
        <f>DATE(2024,10,15)+TIME(11,14,41)</f>
        <v>45580.468530092592</v>
      </c>
      <c r="R11" s="73" t="s">
        <v>61</v>
      </c>
      <c r="S11" s="73" t="s">
        <v>95</v>
      </c>
      <c r="T11" s="73"/>
      <c r="U11" s="73"/>
      <c r="V11" s="73"/>
      <c r="W11" s="73"/>
      <c r="X11" s="73"/>
      <c r="Y11" s="73"/>
      <c r="Z11" s="73" t="s">
        <v>62</v>
      </c>
      <c r="AA11" s="75">
        <f>DATE(2024,10,15)+TIME(17,43,48)</f>
        <v>45580.738749999997</v>
      </c>
      <c r="AB11" s="73" t="s">
        <v>127</v>
      </c>
      <c r="AC11" s="73" t="s">
        <v>64</v>
      </c>
      <c r="AD11" s="73" t="s">
        <v>65</v>
      </c>
      <c r="AE11" s="73" t="s">
        <v>61</v>
      </c>
    </row>
    <row r="12" spans="1:31" ht="55">
      <c r="A12" s="108" t="s">
        <v>223</v>
      </c>
      <c r="B12" s="108" t="s">
        <v>224</v>
      </c>
      <c r="C12" s="108" t="s">
        <v>225</v>
      </c>
      <c r="D12" s="108" t="s">
        <v>226</v>
      </c>
      <c r="E12" s="108" t="s">
        <v>227</v>
      </c>
      <c r="F12" s="108" t="s">
        <v>228</v>
      </c>
      <c r="G12" s="108" t="s">
        <v>209</v>
      </c>
      <c r="H12" s="69" t="s">
        <v>210</v>
      </c>
      <c r="I12" s="108" t="s">
        <v>105</v>
      </c>
      <c r="J12" s="69" t="s">
        <v>230</v>
      </c>
      <c r="K12" s="70" t="s">
        <v>56</v>
      </c>
      <c r="L12" s="108" t="s">
        <v>231</v>
      </c>
      <c r="M12" s="69"/>
      <c r="N12" s="69"/>
      <c r="O12" s="79" t="b">
        <v>0</v>
      </c>
      <c r="P12" s="83" t="s">
        <v>94</v>
      </c>
      <c r="Q12" s="109">
        <f>DATE(2024,10,16)+TIME(11,29,8)</f>
        <v>45581.478564814817</v>
      </c>
      <c r="R12" s="108" t="s">
        <v>61</v>
      </c>
      <c r="S12" s="108" t="s">
        <v>95</v>
      </c>
      <c r="T12" s="108"/>
      <c r="U12" s="108"/>
      <c r="V12" s="108"/>
      <c r="W12" s="108"/>
      <c r="X12" s="108"/>
      <c r="Y12" s="108"/>
      <c r="Z12" s="108" t="s">
        <v>62</v>
      </c>
      <c r="AA12" s="109">
        <f>DATE(2024,10,16)+TIME(11,56,20)</f>
        <v>45581.497453703705</v>
      </c>
      <c r="AB12" s="108"/>
      <c r="AC12" s="108" t="s">
        <v>232</v>
      </c>
      <c r="AD12" s="108" t="s">
        <v>65</v>
      </c>
      <c r="AE12" s="108" t="s">
        <v>61</v>
      </c>
    </row>
    <row r="13" spans="1:31" ht="123">
      <c r="A13" s="73" t="s">
        <v>932</v>
      </c>
      <c r="B13" s="73" t="s">
        <v>933</v>
      </c>
      <c r="C13" s="73" t="s">
        <v>934</v>
      </c>
      <c r="D13" s="73" t="s">
        <v>935</v>
      </c>
      <c r="E13" s="73"/>
      <c r="F13" s="73"/>
      <c r="G13" s="73" t="s">
        <v>71</v>
      </c>
      <c r="H13" s="88" t="s">
        <v>55</v>
      </c>
      <c r="I13" s="73" t="s">
        <v>90</v>
      </c>
      <c r="J13" s="88" t="s">
        <v>936</v>
      </c>
      <c r="K13" s="89" t="s">
        <v>56</v>
      </c>
      <c r="L13" s="73" t="s">
        <v>937</v>
      </c>
      <c r="M13" s="92" t="s">
        <v>938</v>
      </c>
      <c r="N13" s="88"/>
      <c r="O13" s="90" t="b">
        <v>1</v>
      </c>
      <c r="P13" s="91" t="b">
        <v>0</v>
      </c>
      <c r="Q13" s="75">
        <f>DATE(2024,10,15)+TIME(11,49,59)</f>
        <v>45580.493043981478</v>
      </c>
      <c r="R13" s="73" t="s">
        <v>61</v>
      </c>
      <c r="S13" s="73" t="s">
        <v>61</v>
      </c>
      <c r="T13" s="73" t="s">
        <v>78</v>
      </c>
      <c r="U13" s="73" t="s">
        <v>78</v>
      </c>
      <c r="V13" s="73"/>
      <c r="W13" s="73"/>
      <c r="X13" s="73"/>
      <c r="Y13" s="73" t="s">
        <v>327</v>
      </c>
      <c r="Z13" s="73" t="s">
        <v>80</v>
      </c>
      <c r="AA13" s="75">
        <f>DATE(2024,10,15)+TIME(12,19,45)</f>
        <v>45580.513715277775</v>
      </c>
      <c r="AB13" s="73"/>
      <c r="AC13" s="73"/>
      <c r="AD13" s="73" t="s">
        <v>65</v>
      </c>
      <c r="AE13" s="73" t="s">
        <v>61</v>
      </c>
    </row>
    <row r="14" spans="1:31" ht="89">
      <c r="A14" s="73" t="s">
        <v>48</v>
      </c>
      <c r="B14" s="73" t="s">
        <v>49</v>
      </c>
      <c r="C14" s="73" t="s">
        <v>50</v>
      </c>
      <c r="D14" s="73" t="s">
        <v>51</v>
      </c>
      <c r="E14" s="73" t="s">
        <v>52</v>
      </c>
      <c r="F14" s="73" t="s">
        <v>53</v>
      </c>
      <c r="G14" s="73" t="s">
        <v>54</v>
      </c>
      <c r="H14" s="88" t="s">
        <v>55</v>
      </c>
      <c r="I14" s="73" t="s">
        <v>57</v>
      </c>
      <c r="J14" s="88" t="s">
        <v>58</v>
      </c>
      <c r="K14" s="89" t="s">
        <v>56</v>
      </c>
      <c r="L14" s="73" t="s">
        <v>59</v>
      </c>
      <c r="M14" s="93" t="s">
        <v>60</v>
      </c>
      <c r="N14" s="88"/>
      <c r="O14" s="90" t="b">
        <v>1</v>
      </c>
      <c r="P14" s="91" t="b">
        <v>1</v>
      </c>
      <c r="Q14" s="75">
        <f>DATE(2024,10,15)+TIME(10,49,18)</f>
        <v>45580.450902777775</v>
      </c>
      <c r="R14" s="73" t="s">
        <v>61</v>
      </c>
      <c r="S14" s="73"/>
      <c r="T14" s="73"/>
      <c r="U14" s="73"/>
      <c r="V14" s="73"/>
      <c r="W14" s="73"/>
      <c r="X14" s="73"/>
      <c r="Y14" s="73"/>
      <c r="Z14" s="73" t="s">
        <v>62</v>
      </c>
      <c r="AA14" s="75">
        <f>DATE(2024,10,15)+TIME(11,2,31)</f>
        <v>45580.460081018522</v>
      </c>
      <c r="AB14" s="73" t="s">
        <v>63</v>
      </c>
      <c r="AC14" s="73" t="s">
        <v>64</v>
      </c>
      <c r="AD14" s="73" t="s">
        <v>65</v>
      </c>
      <c r="AE14" s="73" t="s">
        <v>61</v>
      </c>
    </row>
    <row r="15" spans="1:31" ht="55">
      <c r="A15" s="122" t="s">
        <v>97</v>
      </c>
      <c r="B15" s="122" t="s">
        <v>98</v>
      </c>
      <c r="C15" s="125" t="s">
        <v>99</v>
      </c>
      <c r="D15" s="122" t="s">
        <v>100</v>
      </c>
      <c r="E15" s="122" t="s">
        <v>101</v>
      </c>
      <c r="F15" s="122" t="s">
        <v>102</v>
      </c>
      <c r="G15" s="122" t="s">
        <v>103</v>
      </c>
      <c r="H15" s="71" t="s">
        <v>104</v>
      </c>
      <c r="I15" s="122" t="s">
        <v>105</v>
      </c>
      <c r="J15" s="71" t="s">
        <v>106</v>
      </c>
      <c r="K15" s="72" t="s">
        <v>56</v>
      </c>
      <c r="L15" s="122" t="s">
        <v>107</v>
      </c>
      <c r="M15" s="71"/>
      <c r="N15" s="71"/>
      <c r="O15" s="80" t="b">
        <v>0</v>
      </c>
      <c r="P15" s="84" t="b">
        <v>0</v>
      </c>
      <c r="Q15" s="123">
        <f>DATE(2024,10,15)+TIME(13,31,54)</f>
        <v>45580.563819444447</v>
      </c>
      <c r="R15" s="122" t="s">
        <v>61</v>
      </c>
      <c r="S15" s="122" t="s">
        <v>61</v>
      </c>
      <c r="T15" s="122" t="s">
        <v>108</v>
      </c>
      <c r="U15" s="122"/>
      <c r="V15" s="122"/>
      <c r="W15" s="122"/>
      <c r="X15" s="122"/>
      <c r="Y15" s="122"/>
      <c r="Z15" s="122" t="s">
        <v>62</v>
      </c>
      <c r="AA15" s="123">
        <f>DATE(2024,10,15)+TIME(13,33,37)</f>
        <v>45580.565011574072</v>
      </c>
      <c r="AB15" s="122" t="s">
        <v>96</v>
      </c>
      <c r="AC15" s="122" t="s">
        <v>64</v>
      </c>
      <c r="AD15" s="122" t="s">
        <v>65</v>
      </c>
      <c r="AE15" s="122" t="s">
        <v>61</v>
      </c>
    </row>
    <row r="16" spans="1:31" ht="72">
      <c r="A16" s="1" t="s">
        <v>179</v>
      </c>
      <c r="B16" s="1" t="s">
        <v>180</v>
      </c>
      <c r="C16" s="94" t="s">
        <v>181</v>
      </c>
      <c r="D16" s="1" t="s">
        <v>182</v>
      </c>
      <c r="E16" s="1" t="s">
        <v>183</v>
      </c>
      <c r="F16" s="1" t="s">
        <v>184</v>
      </c>
      <c r="G16" s="1" t="s">
        <v>185</v>
      </c>
      <c r="H16" s="71" t="s">
        <v>123</v>
      </c>
      <c r="I16" s="1" t="s">
        <v>90</v>
      </c>
      <c r="J16" s="71" t="s">
        <v>186</v>
      </c>
      <c r="K16" s="72" t="s">
        <v>56</v>
      </c>
      <c r="L16" s="1" t="s">
        <v>92</v>
      </c>
      <c r="M16" s="71"/>
      <c r="N16" s="71" t="s">
        <v>187</v>
      </c>
      <c r="O16" s="80" t="b">
        <v>1</v>
      </c>
      <c r="P16" s="84" t="b">
        <v>1</v>
      </c>
      <c r="Q16" s="2">
        <f>DATE(2024,10,16)+TIME(13,21,24)</f>
        <v>45581.556527777779</v>
      </c>
      <c r="R16" s="1" t="s">
        <v>61</v>
      </c>
      <c r="S16" s="1" t="s">
        <v>95</v>
      </c>
      <c r="T16" s="1"/>
      <c r="U16" s="1"/>
      <c r="V16" s="1"/>
      <c r="W16" s="1"/>
      <c r="X16" s="1"/>
      <c r="Y16" s="1"/>
      <c r="Z16" s="1" t="s">
        <v>62</v>
      </c>
      <c r="AA16" s="2">
        <f>DATE(2024,10,17)+TIME(13,12,29)</f>
        <v>45582.550335648149</v>
      </c>
      <c r="AB16" s="1" t="s">
        <v>63</v>
      </c>
      <c r="AC16" s="1" t="s">
        <v>64</v>
      </c>
      <c r="AD16" s="1" t="s">
        <v>65</v>
      </c>
      <c r="AE16" s="1" t="s">
        <v>61</v>
      </c>
    </row>
    <row r="17" spans="1:31" ht="54">
      <c r="A17" s="1" t="s">
        <v>188</v>
      </c>
      <c r="B17" s="1" t="s">
        <v>189</v>
      </c>
      <c r="C17" s="94" t="s">
        <v>190</v>
      </c>
      <c r="D17" s="1" t="s">
        <v>191</v>
      </c>
      <c r="E17" s="1" t="s">
        <v>192</v>
      </c>
      <c r="F17" s="1" t="s">
        <v>193</v>
      </c>
      <c r="G17" s="1" t="s">
        <v>185</v>
      </c>
      <c r="H17" s="65" t="s">
        <v>123</v>
      </c>
      <c r="I17" s="1" t="s">
        <v>90</v>
      </c>
      <c r="J17" s="65" t="s">
        <v>194</v>
      </c>
      <c r="K17" s="66" t="s">
        <v>56</v>
      </c>
      <c r="L17" s="1" t="s">
        <v>92</v>
      </c>
      <c r="M17" s="65" t="s">
        <v>195</v>
      </c>
      <c r="N17" s="65" t="s">
        <v>187</v>
      </c>
      <c r="O17" s="81" t="b">
        <v>1</v>
      </c>
      <c r="P17" s="86" t="b">
        <v>1</v>
      </c>
      <c r="Q17" s="2">
        <f>DATE(2024,10,16)+TIME(13,21,29)</f>
        <v>45581.556585648148</v>
      </c>
      <c r="R17" s="1" t="s">
        <v>61</v>
      </c>
      <c r="S17" s="1" t="s">
        <v>95</v>
      </c>
      <c r="T17" s="1"/>
      <c r="U17" s="1"/>
      <c r="V17" s="1"/>
      <c r="W17" s="1"/>
      <c r="X17" s="1"/>
      <c r="Y17" s="1"/>
      <c r="Z17" s="1" t="s">
        <v>62</v>
      </c>
      <c r="AA17" s="2">
        <f>DATE(2024,10,17)+TIME(13,12,2)</f>
        <v>45582.550023148149</v>
      </c>
      <c r="AB17" s="1" t="s">
        <v>63</v>
      </c>
      <c r="AC17" s="1" t="s">
        <v>64</v>
      </c>
      <c r="AD17" s="1" t="s">
        <v>65</v>
      </c>
      <c r="AE17" s="1" t="s">
        <v>61</v>
      </c>
    </row>
    <row r="18" spans="1:31" ht="37">
      <c r="A18" s="1" t="s">
        <v>196</v>
      </c>
      <c r="B18" s="1" t="s">
        <v>197</v>
      </c>
      <c r="C18" s="94" t="s">
        <v>198</v>
      </c>
      <c r="D18" s="1" t="s">
        <v>199</v>
      </c>
      <c r="E18" s="1" t="s">
        <v>85</v>
      </c>
      <c r="F18" s="1" t="s">
        <v>200</v>
      </c>
      <c r="G18" s="1" t="s">
        <v>185</v>
      </c>
      <c r="H18" s="69" t="s">
        <v>123</v>
      </c>
      <c r="I18" s="1" t="s">
        <v>90</v>
      </c>
      <c r="J18" s="69" t="s">
        <v>201</v>
      </c>
      <c r="K18" s="70" t="s">
        <v>56</v>
      </c>
      <c r="L18" s="1" t="s">
        <v>92</v>
      </c>
      <c r="M18" s="69" t="s">
        <v>202</v>
      </c>
      <c r="N18" s="69" t="s">
        <v>187</v>
      </c>
      <c r="O18" s="79" t="b">
        <v>1</v>
      </c>
      <c r="P18" s="103" t="b">
        <v>1</v>
      </c>
      <c r="Q18" s="2">
        <f>DATE(2024,10,15)+TIME(15,47,8)</f>
        <v>45580.657731481479</v>
      </c>
      <c r="R18" s="1" t="s">
        <v>61</v>
      </c>
      <c r="S18" s="1" t="s">
        <v>95</v>
      </c>
      <c r="T18" s="1"/>
      <c r="U18" s="1"/>
      <c r="V18" s="1"/>
      <c r="W18" s="1"/>
      <c r="X18" s="1"/>
      <c r="Y18" s="1"/>
      <c r="Z18" s="1" t="s">
        <v>62</v>
      </c>
      <c r="AA18" s="2">
        <f>DATE(2024,10,15)+TIME(17,38,59)</f>
        <v>45580.735405092593</v>
      </c>
      <c r="AB18" s="1" t="s">
        <v>63</v>
      </c>
      <c r="AC18" s="1" t="s">
        <v>64</v>
      </c>
      <c r="AD18" s="1" t="s">
        <v>65</v>
      </c>
      <c r="AE18" s="1" t="s">
        <v>61</v>
      </c>
    </row>
    <row r="19" spans="1:31" ht="106">
      <c r="A19" s="73" t="s">
        <v>66</v>
      </c>
      <c r="B19" s="73" t="s">
        <v>67</v>
      </c>
      <c r="C19" s="73" t="s">
        <v>68</v>
      </c>
      <c r="D19" s="73" t="s">
        <v>69</v>
      </c>
      <c r="E19" s="73" t="s">
        <v>70</v>
      </c>
      <c r="F19" s="73"/>
      <c r="G19" s="73" t="s">
        <v>71</v>
      </c>
      <c r="H19" s="65" t="s">
        <v>55</v>
      </c>
      <c r="I19" s="73" t="s">
        <v>74</v>
      </c>
      <c r="J19" s="65" t="s">
        <v>75</v>
      </c>
      <c r="K19" s="66" t="s">
        <v>56</v>
      </c>
      <c r="L19" s="73" t="s">
        <v>76</v>
      </c>
      <c r="M19" s="93" t="s">
        <v>77</v>
      </c>
      <c r="N19" s="65"/>
      <c r="O19" s="81" t="b">
        <v>1</v>
      </c>
      <c r="P19" s="85" t="b">
        <v>1</v>
      </c>
      <c r="Q19" s="75">
        <f>DATE(2024,10,15)+TIME(13,0,54)</f>
        <v>45580.542291666665</v>
      </c>
      <c r="R19" s="73" t="s">
        <v>61</v>
      </c>
      <c r="S19" s="73" t="s">
        <v>61</v>
      </c>
      <c r="T19" s="73" t="s">
        <v>78</v>
      </c>
      <c r="U19" s="73" t="s">
        <v>78</v>
      </c>
      <c r="V19" s="73"/>
      <c r="W19" s="73"/>
      <c r="X19" s="73"/>
      <c r="Y19" s="73" t="s">
        <v>79</v>
      </c>
      <c r="Z19" s="73" t="s">
        <v>80</v>
      </c>
      <c r="AA19" s="75">
        <f>DATE(2024,10,15)+TIME(19,37,10)</f>
        <v>45580.817476851851</v>
      </c>
      <c r="AB19" s="73"/>
      <c r="AC19" s="73"/>
      <c r="AD19" s="73" t="s">
        <v>65</v>
      </c>
      <c r="AE19" s="73" t="s">
        <v>61</v>
      </c>
    </row>
    <row r="20" spans="1:31" ht="89">
      <c r="A20" s="1" t="s">
        <v>236</v>
      </c>
      <c r="B20" s="1" t="s">
        <v>237</v>
      </c>
      <c r="C20" s="94" t="s">
        <v>238</v>
      </c>
      <c r="D20" s="1" t="s">
        <v>239</v>
      </c>
      <c r="E20" s="1" t="s">
        <v>240</v>
      </c>
      <c r="F20" s="63" t="s">
        <v>241</v>
      </c>
      <c r="G20" s="1" t="s">
        <v>87</v>
      </c>
      <c r="H20" s="110" t="s">
        <v>104</v>
      </c>
      <c r="I20" s="1" t="s">
        <v>105</v>
      </c>
      <c r="J20" s="110" t="s">
        <v>242</v>
      </c>
      <c r="K20" s="111" t="s">
        <v>56</v>
      </c>
      <c r="L20" s="1" t="s">
        <v>92</v>
      </c>
      <c r="M20" s="110"/>
      <c r="N20" s="110"/>
      <c r="O20" s="113" t="s">
        <v>94</v>
      </c>
      <c r="P20" s="114" t="b">
        <v>0</v>
      </c>
      <c r="Q20" s="2">
        <f>DATE(2024,10,14)+TIME(11,1,54)</f>
        <v>45579.459652777776</v>
      </c>
      <c r="R20" s="1" t="s">
        <v>61</v>
      </c>
      <c r="S20" s="1" t="s">
        <v>95</v>
      </c>
      <c r="T20" s="1"/>
      <c r="U20" s="1"/>
      <c r="V20" s="1"/>
      <c r="W20" s="1"/>
      <c r="X20" s="1"/>
      <c r="Y20" s="1"/>
      <c r="Z20" s="1" t="s">
        <v>62</v>
      </c>
      <c r="AA20" s="2">
        <f>DATE(2024,10,14)+TIME(11,2,28)</f>
        <v>45579.460046296299</v>
      </c>
      <c r="AB20" s="1"/>
      <c r="AC20" s="1" t="s">
        <v>243</v>
      </c>
      <c r="AD20" s="1" t="s">
        <v>65</v>
      </c>
      <c r="AE20" s="1" t="s">
        <v>61</v>
      </c>
    </row>
    <row r="21" spans="1:31" ht="55">
      <c r="A21" s="73" t="s">
        <v>475</v>
      </c>
      <c r="B21" s="73" t="s">
        <v>476</v>
      </c>
      <c r="C21" s="100" t="s">
        <v>477</v>
      </c>
      <c r="D21" s="73" t="s">
        <v>478</v>
      </c>
      <c r="E21" s="73" t="s">
        <v>344</v>
      </c>
      <c r="F21" s="73" t="s">
        <v>479</v>
      </c>
      <c r="G21" s="73" t="s">
        <v>167</v>
      </c>
      <c r="H21" s="65" t="s">
        <v>172</v>
      </c>
      <c r="I21" s="73" t="s">
        <v>90</v>
      </c>
      <c r="J21" s="65" t="s">
        <v>480</v>
      </c>
      <c r="K21" s="66" t="s">
        <v>56</v>
      </c>
      <c r="L21" s="73" t="s">
        <v>481</v>
      </c>
      <c r="M21" s="65" t="s">
        <v>482</v>
      </c>
      <c r="N21" s="65"/>
      <c r="O21" s="81" t="b">
        <v>0</v>
      </c>
      <c r="P21" s="85" t="b">
        <v>0</v>
      </c>
      <c r="Q21" s="75">
        <f>DATE(2024,10,15)+TIME(11,38,2)</f>
        <v>45580.48474537037</v>
      </c>
      <c r="R21" s="73" t="s">
        <v>61</v>
      </c>
      <c r="S21" s="73" t="s">
        <v>61</v>
      </c>
      <c r="T21" s="73" t="s">
        <v>108</v>
      </c>
      <c r="U21" s="73" t="s">
        <v>61</v>
      </c>
      <c r="V21" s="73"/>
      <c r="W21" s="73"/>
      <c r="X21" s="73"/>
      <c r="Y21" s="73"/>
      <c r="Z21" s="73" t="s">
        <v>62</v>
      </c>
      <c r="AA21" s="75">
        <f>DATE(2024,10,15)+TIME(11,47,58)</f>
        <v>45580.491643518515</v>
      </c>
      <c r="AB21" s="73" t="s">
        <v>63</v>
      </c>
      <c r="AC21" s="73" t="s">
        <v>64</v>
      </c>
      <c r="AD21" s="73" t="s">
        <v>65</v>
      </c>
      <c r="AE21" s="73" t="s">
        <v>61</v>
      </c>
    </row>
    <row r="22" spans="1:31" ht="38">
      <c r="A22" s="73" t="s">
        <v>466</v>
      </c>
      <c r="B22" s="73" t="s">
        <v>467</v>
      </c>
      <c r="C22" s="100" t="s">
        <v>468</v>
      </c>
      <c r="D22" s="73" t="s">
        <v>469</v>
      </c>
      <c r="E22" s="73" t="s">
        <v>470</v>
      </c>
      <c r="F22" s="73" t="s">
        <v>471</v>
      </c>
      <c r="G22" s="73" t="s">
        <v>185</v>
      </c>
      <c r="H22" s="65" t="s">
        <v>123</v>
      </c>
      <c r="I22" s="73" t="s">
        <v>105</v>
      </c>
      <c r="J22" s="65" t="s">
        <v>472</v>
      </c>
      <c r="K22" s="66" t="s">
        <v>56</v>
      </c>
      <c r="L22" s="73" t="s">
        <v>92</v>
      </c>
      <c r="M22" s="65" t="s">
        <v>473</v>
      </c>
      <c r="N22" s="65"/>
      <c r="O22" s="81" t="b">
        <v>1</v>
      </c>
      <c r="P22" s="85" t="b">
        <v>1</v>
      </c>
      <c r="Q22" s="75">
        <f>DATE(2024,10,15)+TIME(10,31,11)</f>
        <v>45580.438321759262</v>
      </c>
      <c r="R22" s="73" t="s">
        <v>61</v>
      </c>
      <c r="S22" s="73" t="s">
        <v>95</v>
      </c>
      <c r="T22" s="73"/>
      <c r="U22" s="73"/>
      <c r="V22" s="73"/>
      <c r="W22" s="73"/>
      <c r="X22" s="73"/>
      <c r="Y22" s="73"/>
      <c r="Z22" s="73" t="s">
        <v>62</v>
      </c>
      <c r="AA22" s="75">
        <f>DATE(2024,10,15)+TIME(11,6,41)</f>
        <v>45580.46297453704</v>
      </c>
      <c r="AB22" s="73" t="s">
        <v>474</v>
      </c>
      <c r="AC22" s="73" t="s">
        <v>64</v>
      </c>
      <c r="AD22" s="73" t="s">
        <v>65</v>
      </c>
      <c r="AE22" s="73" t="s">
        <v>61</v>
      </c>
    </row>
    <row r="23" spans="1:31" ht="55">
      <c r="A23" s="73" t="s">
        <v>589</v>
      </c>
      <c r="B23" s="73" t="s">
        <v>590</v>
      </c>
      <c r="C23" s="73" t="s">
        <v>591</v>
      </c>
      <c r="D23" s="73" t="s">
        <v>580</v>
      </c>
      <c r="E23" s="73" t="s">
        <v>344</v>
      </c>
      <c r="F23" s="73" t="s">
        <v>592</v>
      </c>
      <c r="G23" s="73" t="s">
        <v>167</v>
      </c>
      <c r="H23" s="65" t="s">
        <v>172</v>
      </c>
      <c r="I23" s="73" t="s">
        <v>90</v>
      </c>
      <c r="J23" s="65" t="s">
        <v>582</v>
      </c>
      <c r="K23" s="66" t="s">
        <v>56</v>
      </c>
      <c r="L23" s="73" t="s">
        <v>481</v>
      </c>
      <c r="M23" s="104" t="s">
        <v>583</v>
      </c>
      <c r="N23" s="65"/>
      <c r="O23" s="81" t="b">
        <v>0</v>
      </c>
      <c r="P23" s="85" t="b">
        <v>0</v>
      </c>
      <c r="Q23" s="75">
        <f>DATE(2024,10,17)+TIME(11,57,39)</f>
        <v>45582.498368055552</v>
      </c>
      <c r="R23" s="73" t="s">
        <v>95</v>
      </c>
      <c r="S23" s="73"/>
      <c r="T23" s="73"/>
      <c r="U23" s="73"/>
      <c r="V23" s="73"/>
      <c r="W23" s="73"/>
      <c r="X23" s="73"/>
      <c r="Y23" s="73"/>
      <c r="Z23" s="73" t="s">
        <v>62</v>
      </c>
      <c r="AA23" s="75">
        <f>DATE(2024,10,17)+TIME(11,57,43)</f>
        <v>45582.498414351852</v>
      </c>
      <c r="AB23" s="73" t="s">
        <v>127</v>
      </c>
      <c r="AC23" s="73" t="s">
        <v>64</v>
      </c>
      <c r="AD23" s="73" t="s">
        <v>65</v>
      </c>
      <c r="AE23" s="73" t="s">
        <v>61</v>
      </c>
    </row>
    <row r="24" spans="1:31" ht="38">
      <c r="A24" s="73" t="s">
        <v>507</v>
      </c>
      <c r="B24" s="73" t="s">
        <v>508</v>
      </c>
      <c r="C24" s="73" t="s">
        <v>509</v>
      </c>
      <c r="D24" s="73" t="s">
        <v>510</v>
      </c>
      <c r="E24" s="73" t="s">
        <v>511</v>
      </c>
      <c r="F24" s="73" t="s">
        <v>512</v>
      </c>
      <c r="G24" s="73" t="s">
        <v>103</v>
      </c>
      <c r="H24" s="65" t="s">
        <v>513</v>
      </c>
      <c r="I24" s="73" t="s">
        <v>90</v>
      </c>
      <c r="J24" s="65" t="s">
        <v>500</v>
      </c>
      <c r="K24" s="66" t="s">
        <v>56</v>
      </c>
      <c r="L24" s="73" t="s">
        <v>514</v>
      </c>
      <c r="M24" s="65"/>
      <c r="N24" s="65"/>
      <c r="O24" s="81" t="b">
        <v>0</v>
      </c>
      <c r="P24" s="85" t="s">
        <v>94</v>
      </c>
      <c r="Q24" s="75">
        <f>DATE(2024,10,15)+TIME(10,14,53)</f>
        <v>45580.427002314813</v>
      </c>
      <c r="R24" s="73" t="s">
        <v>61</v>
      </c>
      <c r="S24" s="73" t="s">
        <v>61</v>
      </c>
      <c r="T24" s="73" t="s">
        <v>78</v>
      </c>
      <c r="U24" s="73" t="s">
        <v>78</v>
      </c>
      <c r="V24" s="73"/>
      <c r="W24" s="73"/>
      <c r="X24" s="73"/>
      <c r="Y24" s="73"/>
      <c r="Z24" s="73" t="s">
        <v>62</v>
      </c>
      <c r="AA24" s="75">
        <f>DATE(2024,10,15)+TIME(11,22,24)</f>
        <v>45580.47388888889</v>
      </c>
      <c r="AB24" s="73" t="s">
        <v>96</v>
      </c>
      <c r="AC24" s="73" t="s">
        <v>64</v>
      </c>
      <c r="AD24" s="73" t="s">
        <v>65</v>
      </c>
      <c r="AE24" s="73" t="s">
        <v>61</v>
      </c>
    </row>
    <row r="25" spans="1:31" ht="54">
      <c r="A25" s="73" t="s">
        <v>531</v>
      </c>
      <c r="B25" s="73" t="s">
        <v>532</v>
      </c>
      <c r="C25" s="73" t="s">
        <v>533</v>
      </c>
      <c r="D25" s="73" t="s">
        <v>530</v>
      </c>
      <c r="E25" s="73" t="s">
        <v>296</v>
      </c>
      <c r="F25" s="73" t="s">
        <v>534</v>
      </c>
      <c r="G25" s="73" t="s">
        <v>103</v>
      </c>
      <c r="H25" s="65" t="s">
        <v>677</v>
      </c>
      <c r="I25" s="73" t="s">
        <v>90</v>
      </c>
      <c r="J25" s="65" t="s">
        <v>535</v>
      </c>
      <c r="K25" s="66" t="s">
        <v>56</v>
      </c>
      <c r="L25" s="73" t="s">
        <v>536</v>
      </c>
      <c r="M25" s="65" t="s">
        <v>537</v>
      </c>
      <c r="N25" s="65" t="s">
        <v>538</v>
      </c>
      <c r="O25" s="81" t="b">
        <v>1</v>
      </c>
      <c r="P25" s="81" t="b">
        <v>1</v>
      </c>
      <c r="Q25" s="75">
        <f>DATE(2024,10,15)+TIME(11,59,16)</f>
        <v>45580.499490740738</v>
      </c>
      <c r="R25" s="73" t="s">
        <v>61</v>
      </c>
      <c r="S25" s="73" t="s">
        <v>61</v>
      </c>
      <c r="T25" s="73" t="s">
        <v>78</v>
      </c>
      <c r="U25" s="73" t="s">
        <v>78</v>
      </c>
      <c r="V25" s="73"/>
      <c r="W25" s="73"/>
      <c r="X25" s="73"/>
      <c r="Y25" s="73"/>
      <c r="Z25" s="73" t="s">
        <v>62</v>
      </c>
      <c r="AA25" s="75">
        <f>DATE(2024,10,15)+TIME(12,15,10)</f>
        <v>45580.51053240741</v>
      </c>
      <c r="AB25" s="73" t="s">
        <v>63</v>
      </c>
      <c r="AC25" s="73" t="s">
        <v>64</v>
      </c>
      <c r="AD25" s="73" t="s">
        <v>65</v>
      </c>
      <c r="AE25" s="73" t="s">
        <v>61</v>
      </c>
    </row>
    <row r="26" spans="1:31" ht="55">
      <c r="A26" s="1" t="s">
        <v>577</v>
      </c>
      <c r="B26" s="1" t="s">
        <v>578</v>
      </c>
      <c r="C26" s="1" t="s">
        <v>579</v>
      </c>
      <c r="D26" s="1" t="s">
        <v>580</v>
      </c>
      <c r="E26" s="1" t="s">
        <v>344</v>
      </c>
      <c r="F26" s="1" t="s">
        <v>581</v>
      </c>
      <c r="G26" s="1" t="s">
        <v>167</v>
      </c>
      <c r="H26" s="110" t="s">
        <v>172</v>
      </c>
      <c r="I26" s="1" t="s">
        <v>90</v>
      </c>
      <c r="J26" s="110" t="s">
        <v>582</v>
      </c>
      <c r="K26" s="111" t="s">
        <v>56</v>
      </c>
      <c r="L26" s="1" t="s">
        <v>481</v>
      </c>
      <c r="M26" s="192" t="s">
        <v>583</v>
      </c>
      <c r="N26" s="110"/>
      <c r="O26" s="113" t="b">
        <v>0</v>
      </c>
      <c r="P26" s="114" t="b">
        <v>0</v>
      </c>
      <c r="Q26" s="2">
        <f>DATE(2024,10,15)+TIME(10,17,21)</f>
        <v>45580.428715277776</v>
      </c>
      <c r="R26" s="1" t="s">
        <v>61</v>
      </c>
      <c r="S26" s="1" t="s">
        <v>95</v>
      </c>
      <c r="T26" s="1"/>
      <c r="U26" s="1"/>
      <c r="V26" s="1"/>
      <c r="W26" s="1"/>
      <c r="X26" s="1"/>
      <c r="Y26" s="1"/>
      <c r="Z26" s="1" t="s">
        <v>62</v>
      </c>
      <c r="AA26" s="2">
        <f>DATE(2024,10,17)+TIME(11,27,23)</f>
        <v>45582.477349537039</v>
      </c>
      <c r="AB26" s="1" t="s">
        <v>63</v>
      </c>
      <c r="AC26" s="1" t="s">
        <v>64</v>
      </c>
      <c r="AD26" s="1" t="s">
        <v>65</v>
      </c>
      <c r="AE26" s="1" t="s">
        <v>61</v>
      </c>
    </row>
    <row r="27" spans="1:31" ht="89">
      <c r="A27" s="108" t="s">
        <v>213</v>
      </c>
      <c r="B27" s="108" t="s">
        <v>214</v>
      </c>
      <c r="C27" s="108"/>
      <c r="D27" s="108" t="s">
        <v>215</v>
      </c>
      <c r="E27" s="108" t="s">
        <v>216</v>
      </c>
      <c r="F27" s="108"/>
      <c r="G27" s="108" t="s">
        <v>71</v>
      </c>
      <c r="H27" s="69" t="s">
        <v>55</v>
      </c>
      <c r="I27" s="108" t="s">
        <v>90</v>
      </c>
      <c r="J27" s="69" t="s">
        <v>219</v>
      </c>
      <c r="K27" s="70" t="s">
        <v>56</v>
      </c>
      <c r="L27" s="108" t="s">
        <v>220</v>
      </c>
      <c r="M27" s="193" t="s">
        <v>221</v>
      </c>
      <c r="N27" s="69"/>
      <c r="O27" s="79" t="b">
        <v>1</v>
      </c>
      <c r="P27" s="83" t="b">
        <v>1</v>
      </c>
      <c r="Q27" s="109">
        <f>DATE(2024,10,14)+TIME(15,4,39)</f>
        <v>45579.628229166665</v>
      </c>
      <c r="R27" s="108" t="s">
        <v>61</v>
      </c>
      <c r="S27" s="108" t="s">
        <v>61</v>
      </c>
      <c r="T27" s="108" t="s">
        <v>222</v>
      </c>
      <c r="U27" s="108" t="s">
        <v>61</v>
      </c>
      <c r="V27" s="108"/>
      <c r="W27" s="108"/>
      <c r="X27" s="108"/>
      <c r="Y27" s="108" t="s">
        <v>79</v>
      </c>
      <c r="Z27" s="108" t="s">
        <v>80</v>
      </c>
      <c r="AA27" s="109">
        <f>DATE(2024,10,14)+TIME(16,49,32)</f>
        <v>45579.701064814813</v>
      </c>
      <c r="AB27" s="108"/>
      <c r="AC27" s="108"/>
      <c r="AD27" s="108" t="s">
        <v>65</v>
      </c>
      <c r="AE27" s="108" t="s">
        <v>61</v>
      </c>
    </row>
    <row r="28" spans="1:31" ht="89">
      <c r="A28" s="73" t="s">
        <v>777</v>
      </c>
      <c r="B28" s="73" t="s">
        <v>778</v>
      </c>
      <c r="C28" s="100" t="s">
        <v>779</v>
      </c>
      <c r="D28" s="73" t="s">
        <v>780</v>
      </c>
      <c r="E28" s="73" t="s">
        <v>781</v>
      </c>
      <c r="F28" s="73"/>
      <c r="G28" s="73" t="s">
        <v>71</v>
      </c>
      <c r="H28" s="65" t="s">
        <v>55</v>
      </c>
      <c r="I28" s="73" t="s">
        <v>90</v>
      </c>
      <c r="J28" s="65" t="s">
        <v>783</v>
      </c>
      <c r="K28" s="66" t="s">
        <v>56</v>
      </c>
      <c r="L28" s="73" t="s">
        <v>784</v>
      </c>
      <c r="M28" s="93" t="s">
        <v>785</v>
      </c>
      <c r="N28" s="65"/>
      <c r="O28" s="81" t="b">
        <v>1</v>
      </c>
      <c r="P28" s="85" t="b">
        <v>1</v>
      </c>
      <c r="Q28" s="75">
        <f>DATE(2024,10,15)+TIME(15,44,8)</f>
        <v>45580.655648148146</v>
      </c>
      <c r="R28" s="73" t="s">
        <v>61</v>
      </c>
      <c r="S28" s="73" t="s">
        <v>61</v>
      </c>
      <c r="T28" s="73" t="s">
        <v>222</v>
      </c>
      <c r="U28" s="73" t="s">
        <v>61</v>
      </c>
      <c r="V28" s="73"/>
      <c r="W28" s="73"/>
      <c r="X28" s="73"/>
      <c r="Y28" s="73" t="s">
        <v>79</v>
      </c>
      <c r="Z28" s="73" t="s">
        <v>80</v>
      </c>
      <c r="AA28" s="75">
        <f>DATE(2024,10,15)+TIME(17,20,50)</f>
        <v>45580.722800925927</v>
      </c>
      <c r="AB28" s="73"/>
      <c r="AC28" s="73"/>
      <c r="AD28" s="73" t="s">
        <v>65</v>
      </c>
      <c r="AE28" s="73" t="s">
        <v>61</v>
      </c>
    </row>
    <row r="29" spans="1:31" ht="55">
      <c r="A29" s="73" t="s">
        <v>584</v>
      </c>
      <c r="B29" s="73" t="s">
        <v>585</v>
      </c>
      <c r="C29" s="73" t="s">
        <v>586</v>
      </c>
      <c r="D29" s="73" t="s">
        <v>580</v>
      </c>
      <c r="E29" s="73" t="s">
        <v>587</v>
      </c>
      <c r="F29" s="73" t="s">
        <v>588</v>
      </c>
      <c r="G29" s="73" t="s">
        <v>167</v>
      </c>
      <c r="H29" s="65" t="s">
        <v>172</v>
      </c>
      <c r="I29" s="73" t="s">
        <v>90</v>
      </c>
      <c r="J29" s="65" t="s">
        <v>582</v>
      </c>
      <c r="K29" s="66" t="s">
        <v>56</v>
      </c>
      <c r="L29" s="73" t="s">
        <v>481</v>
      </c>
      <c r="M29" s="104" t="s">
        <v>583</v>
      </c>
      <c r="N29" s="65"/>
      <c r="O29" s="81" t="b">
        <v>0</v>
      </c>
      <c r="P29" s="85" t="b">
        <v>0</v>
      </c>
      <c r="Q29" s="75">
        <f>DATE(2024,10,15)+TIME(10,17,35)</f>
        <v>45580.428877314815</v>
      </c>
      <c r="R29" s="73" t="s">
        <v>95</v>
      </c>
      <c r="S29" s="73"/>
      <c r="T29" s="73"/>
      <c r="U29" s="73"/>
      <c r="V29" s="73"/>
      <c r="W29" s="73"/>
      <c r="X29" s="73"/>
      <c r="Y29" s="73"/>
      <c r="Z29" s="73" t="s">
        <v>62</v>
      </c>
      <c r="AA29" s="75">
        <f>DATE(2024,10,15)+TIME(10,17,46)</f>
        <v>45580.42900462963</v>
      </c>
      <c r="AB29" s="73" t="s">
        <v>63</v>
      </c>
      <c r="AC29" s="73" t="s">
        <v>64</v>
      </c>
      <c r="AD29" s="73" t="s">
        <v>65</v>
      </c>
      <c r="AE29" s="73" t="s">
        <v>61</v>
      </c>
    </row>
    <row r="30" spans="1:31" ht="89">
      <c r="A30" s="122" t="s">
        <v>809</v>
      </c>
      <c r="B30" s="122" t="s">
        <v>810</v>
      </c>
      <c r="C30" s="122" t="s">
        <v>104</v>
      </c>
      <c r="D30" s="122" t="s">
        <v>811</v>
      </c>
      <c r="E30" s="122" t="s">
        <v>812</v>
      </c>
      <c r="F30" s="122" t="s">
        <v>813</v>
      </c>
      <c r="G30" s="122" t="s">
        <v>167</v>
      </c>
      <c r="H30" s="71" t="s">
        <v>172</v>
      </c>
      <c r="I30" s="122" t="s">
        <v>105</v>
      </c>
      <c r="J30" s="71" t="s">
        <v>814</v>
      </c>
      <c r="K30" s="72" t="s">
        <v>56</v>
      </c>
      <c r="L30" s="122"/>
      <c r="M30" s="71" t="s">
        <v>815</v>
      </c>
      <c r="N30" s="71"/>
      <c r="O30" s="80" t="b">
        <v>0</v>
      </c>
      <c r="P30" s="84" t="b">
        <v>0</v>
      </c>
      <c r="Q30" s="123">
        <f>DATE(2024,10,14)+TIME(17,33,59)</f>
        <v>45579.731932870367</v>
      </c>
      <c r="R30" s="122" t="s">
        <v>61</v>
      </c>
      <c r="S30" s="122" t="s">
        <v>61</v>
      </c>
      <c r="T30" s="122"/>
      <c r="U30" s="122"/>
      <c r="V30" s="122"/>
      <c r="W30" s="122"/>
      <c r="X30" s="122"/>
      <c r="Y30" s="122"/>
      <c r="Z30" s="122" t="s">
        <v>62</v>
      </c>
      <c r="AA30" s="123">
        <f>DATE(2024,10,14)+TIME(17,34,40)</f>
        <v>45579.732407407406</v>
      </c>
      <c r="AB30" s="122" t="s">
        <v>96</v>
      </c>
      <c r="AC30" s="122" t="s">
        <v>64</v>
      </c>
      <c r="AD30" s="122" t="s">
        <v>65</v>
      </c>
      <c r="AE30" s="122" t="s">
        <v>61</v>
      </c>
    </row>
    <row r="31" spans="1:31" ht="55">
      <c r="A31" s="73" t="s">
        <v>816</v>
      </c>
      <c r="B31" s="73" t="s">
        <v>817</v>
      </c>
      <c r="C31" s="73" t="s">
        <v>818</v>
      </c>
      <c r="D31" s="73" t="s">
        <v>811</v>
      </c>
      <c r="E31" s="73" t="s">
        <v>819</v>
      </c>
      <c r="F31" s="73" t="s">
        <v>820</v>
      </c>
      <c r="G31" s="73" t="s">
        <v>167</v>
      </c>
      <c r="H31" s="65" t="s">
        <v>172</v>
      </c>
      <c r="I31" s="73" t="s">
        <v>57</v>
      </c>
      <c r="J31" s="65" t="s">
        <v>821</v>
      </c>
      <c r="K31" s="66" t="s">
        <v>56</v>
      </c>
      <c r="L31" s="73"/>
      <c r="M31" s="65" t="s">
        <v>815</v>
      </c>
      <c r="N31" s="65"/>
      <c r="O31" s="81" t="b">
        <v>0</v>
      </c>
      <c r="P31" s="85" t="b">
        <v>0</v>
      </c>
      <c r="Q31" s="75">
        <f>DATE(2024,10,14)+TIME(17,34,46)</f>
        <v>45579.732476851852</v>
      </c>
      <c r="R31" s="73" t="s">
        <v>61</v>
      </c>
      <c r="S31" s="73" t="s">
        <v>61</v>
      </c>
      <c r="T31" s="73" t="s">
        <v>108</v>
      </c>
      <c r="U31" s="73" t="s">
        <v>61</v>
      </c>
      <c r="V31" s="73" t="s">
        <v>820</v>
      </c>
      <c r="W31" s="73"/>
      <c r="X31" s="73"/>
      <c r="Y31" s="73"/>
      <c r="Z31" s="73" t="s">
        <v>62</v>
      </c>
      <c r="AA31" s="75">
        <f>DATE(2024,10,15)+TIME(11,1,39)</f>
        <v>45580.459479166668</v>
      </c>
      <c r="AB31" s="73" t="s">
        <v>127</v>
      </c>
      <c r="AC31" s="73" t="s">
        <v>64</v>
      </c>
      <c r="AD31" s="73" t="s">
        <v>65</v>
      </c>
      <c r="AE31" s="73" t="s">
        <v>61</v>
      </c>
    </row>
    <row r="32" spans="1:31" ht="106">
      <c r="A32" s="73" t="s">
        <v>625</v>
      </c>
      <c r="B32" s="73" t="s">
        <v>626</v>
      </c>
      <c r="C32" s="100" t="s">
        <v>627</v>
      </c>
      <c r="D32" s="73" t="s">
        <v>628</v>
      </c>
      <c r="E32" s="73" t="s">
        <v>629</v>
      </c>
      <c r="F32" s="73" t="s">
        <v>630</v>
      </c>
      <c r="G32" s="73" t="s">
        <v>185</v>
      </c>
      <c r="H32" s="65" t="s">
        <v>123</v>
      </c>
      <c r="I32" s="73" t="s">
        <v>90</v>
      </c>
      <c r="J32" s="65" t="s">
        <v>631</v>
      </c>
      <c r="K32" s="66" t="s">
        <v>56</v>
      </c>
      <c r="L32" s="73" t="s">
        <v>92</v>
      </c>
      <c r="M32" s="65" t="s">
        <v>632</v>
      </c>
      <c r="N32" s="67" t="s">
        <v>555</v>
      </c>
      <c r="O32" s="82" t="b">
        <v>1</v>
      </c>
      <c r="P32" s="85" t="b">
        <v>1</v>
      </c>
      <c r="Q32" s="75">
        <f>DATE(2024,10,17)+TIME(13,1,48)</f>
        <v>45582.542916666665</v>
      </c>
      <c r="R32" s="73" t="s">
        <v>61</v>
      </c>
      <c r="S32" s="73" t="s">
        <v>95</v>
      </c>
      <c r="T32" s="73"/>
      <c r="U32" s="73"/>
      <c r="V32" s="73"/>
      <c r="W32" s="73"/>
      <c r="X32" s="73"/>
      <c r="Y32" s="73"/>
      <c r="Z32" s="73" t="s">
        <v>62</v>
      </c>
      <c r="AA32" s="75">
        <f>DATE(2024,10,17)+TIME(13,10,43)</f>
        <v>45582.549108796295</v>
      </c>
      <c r="AB32" s="73" t="s">
        <v>570</v>
      </c>
      <c r="AC32" s="73" t="s">
        <v>64</v>
      </c>
      <c r="AD32" s="73" t="s">
        <v>65</v>
      </c>
      <c r="AE32" s="73" t="s">
        <v>61</v>
      </c>
    </row>
    <row r="33" spans="1:31" ht="174">
      <c r="A33" s="1" t="s">
        <v>680</v>
      </c>
      <c r="B33" s="1" t="s">
        <v>681</v>
      </c>
      <c r="C33" s="102" t="s">
        <v>682</v>
      </c>
      <c r="D33" s="1" t="s">
        <v>683</v>
      </c>
      <c r="E33" s="1" t="s">
        <v>684</v>
      </c>
      <c r="F33" s="1" t="s">
        <v>685</v>
      </c>
      <c r="G33" s="1" t="s">
        <v>134</v>
      </c>
      <c r="H33" s="110" t="s">
        <v>40</v>
      </c>
      <c r="I33" s="1" t="s">
        <v>90</v>
      </c>
      <c r="J33" s="110"/>
      <c r="K33" s="111" t="s">
        <v>56</v>
      </c>
      <c r="L33" s="1" t="s">
        <v>686</v>
      </c>
      <c r="M33" s="110" t="s">
        <v>687</v>
      </c>
      <c r="N33" s="110"/>
      <c r="O33" s="113" t="b">
        <v>0</v>
      </c>
      <c r="P33" s="114" t="b">
        <v>0</v>
      </c>
      <c r="Q33" s="2">
        <f>DATE(2024,10,16)+TIME(10,8,5)</f>
        <v>45581.422280092593</v>
      </c>
      <c r="R33" s="1" t="s">
        <v>61</v>
      </c>
      <c r="S33" s="1" t="s">
        <v>61</v>
      </c>
      <c r="T33" s="1" t="s">
        <v>78</v>
      </c>
      <c r="U33" s="1" t="s">
        <v>78</v>
      </c>
      <c r="V33" s="1"/>
      <c r="W33" s="1"/>
      <c r="X33" s="1"/>
      <c r="Y33" s="1"/>
      <c r="Z33" s="1" t="s">
        <v>62</v>
      </c>
      <c r="AA33" s="2">
        <f>DATE(2024,10,16)+TIME(10,14,3)</f>
        <v>45581.426423611112</v>
      </c>
      <c r="AB33" s="1" t="s">
        <v>688</v>
      </c>
      <c r="AC33" s="1" t="s">
        <v>64</v>
      </c>
      <c r="AD33" s="1" t="s">
        <v>65</v>
      </c>
      <c r="AE33" s="1" t="s">
        <v>61</v>
      </c>
    </row>
    <row r="34" spans="1:31" ht="140">
      <c r="A34" s="73" t="s">
        <v>767</v>
      </c>
      <c r="B34" s="73" t="s">
        <v>768</v>
      </c>
      <c r="C34" s="73" t="s">
        <v>769</v>
      </c>
      <c r="D34" s="73" t="s">
        <v>770</v>
      </c>
      <c r="E34" s="73" t="s">
        <v>771</v>
      </c>
      <c r="F34" s="73"/>
      <c r="G34" s="73" t="s">
        <v>772</v>
      </c>
      <c r="H34" s="88" t="s">
        <v>782</v>
      </c>
      <c r="I34" s="73" t="s">
        <v>90</v>
      </c>
      <c r="J34" s="88" t="s">
        <v>774</v>
      </c>
      <c r="K34" s="89" t="s">
        <v>56</v>
      </c>
      <c r="L34" s="191" t="s">
        <v>775</v>
      </c>
      <c r="M34" s="93" t="s">
        <v>776</v>
      </c>
      <c r="N34" s="88"/>
      <c r="O34" s="90" t="b">
        <v>1</v>
      </c>
      <c r="P34" s="91" t="b">
        <v>1</v>
      </c>
      <c r="Q34" s="75">
        <f>DATE(2024,10,15)+TIME(15,43,56)</f>
        <v>45580.655509259261</v>
      </c>
      <c r="R34" s="73" t="s">
        <v>61</v>
      </c>
      <c r="S34" s="73" t="s">
        <v>61</v>
      </c>
      <c r="T34" s="73" t="s">
        <v>222</v>
      </c>
      <c r="U34" s="73" t="s">
        <v>78</v>
      </c>
      <c r="V34" s="73"/>
      <c r="W34" s="73"/>
      <c r="X34" s="73"/>
      <c r="Y34" s="73" t="s">
        <v>79</v>
      </c>
      <c r="Z34" s="73" t="s">
        <v>80</v>
      </c>
      <c r="AA34" s="75">
        <f>DATE(2024,10,15)+TIME(16,48,59)</f>
        <v>45580.700682870367</v>
      </c>
      <c r="AB34" s="73"/>
      <c r="AC34" s="73"/>
      <c r="AD34" s="73" t="s">
        <v>65</v>
      </c>
      <c r="AE34" s="73" t="s">
        <v>61</v>
      </c>
    </row>
    <row r="35" spans="1:31" ht="123">
      <c r="A35" s="1" t="s">
        <v>825</v>
      </c>
      <c r="B35" s="1" t="s">
        <v>826</v>
      </c>
      <c r="C35" s="102" t="s">
        <v>827</v>
      </c>
      <c r="D35" s="1" t="s">
        <v>828</v>
      </c>
      <c r="E35" s="1" t="s">
        <v>829</v>
      </c>
      <c r="F35" s="1" t="s">
        <v>830</v>
      </c>
      <c r="G35" s="1" t="s">
        <v>103</v>
      </c>
      <c r="H35" s="110" t="s">
        <v>210</v>
      </c>
      <c r="I35" s="1" t="s">
        <v>105</v>
      </c>
      <c r="J35" s="110" t="s">
        <v>831</v>
      </c>
      <c r="K35" s="111" t="s">
        <v>56</v>
      </c>
      <c r="L35" s="1" t="s">
        <v>832</v>
      </c>
      <c r="M35" s="110"/>
      <c r="N35" s="110"/>
      <c r="O35" s="113" t="b">
        <v>0</v>
      </c>
      <c r="P35" s="114" t="s">
        <v>94</v>
      </c>
      <c r="Q35" s="2">
        <f>DATE(2024,10,15)+TIME(11,33,33)</f>
        <v>45580.481631944444</v>
      </c>
      <c r="R35" s="1" t="s">
        <v>61</v>
      </c>
      <c r="S35" s="1" t="s">
        <v>95</v>
      </c>
      <c r="T35" s="1"/>
      <c r="U35" s="1"/>
      <c r="V35" s="1"/>
      <c r="W35" s="1"/>
      <c r="X35" s="1"/>
      <c r="Y35" s="1"/>
      <c r="Z35" s="1" t="s">
        <v>62</v>
      </c>
      <c r="AA35" s="2">
        <f>DATE(2024,10,15)+TIME(11,39,32)</f>
        <v>45580.48578703704</v>
      </c>
      <c r="AB35" s="1" t="s">
        <v>63</v>
      </c>
      <c r="AC35" s="1" t="s">
        <v>64</v>
      </c>
      <c r="AD35" s="1" t="s">
        <v>65</v>
      </c>
      <c r="AE35" s="1" t="s">
        <v>61</v>
      </c>
    </row>
    <row r="36" spans="1:31" ht="89">
      <c r="A36" s="108" t="s">
        <v>867</v>
      </c>
      <c r="B36" s="108" t="s">
        <v>868</v>
      </c>
      <c r="C36" s="108"/>
      <c r="D36" s="108" t="s">
        <v>869</v>
      </c>
      <c r="E36" s="108"/>
      <c r="F36" s="108"/>
      <c r="G36" s="108" t="s">
        <v>71</v>
      </c>
      <c r="H36" s="69" t="s">
        <v>55</v>
      </c>
      <c r="I36" s="108" t="s">
        <v>90</v>
      </c>
      <c r="J36" s="69" t="s">
        <v>870</v>
      </c>
      <c r="K36" s="70" t="s">
        <v>56</v>
      </c>
      <c r="L36" s="108"/>
      <c r="M36" s="193" t="s">
        <v>871</v>
      </c>
      <c r="N36" s="69"/>
      <c r="O36" s="79" t="b">
        <v>1</v>
      </c>
      <c r="P36" s="83" t="b">
        <v>1</v>
      </c>
      <c r="Q36" s="109">
        <f>DATE(2024,10,15)+TIME(13,0,30)</f>
        <v>45580.542013888888</v>
      </c>
      <c r="R36" s="108" t="s">
        <v>95</v>
      </c>
      <c r="S36" s="108"/>
      <c r="T36" s="108"/>
      <c r="U36" s="108"/>
      <c r="V36" s="108"/>
      <c r="W36" s="108"/>
      <c r="X36" s="108"/>
      <c r="Y36" s="108" t="s">
        <v>79</v>
      </c>
      <c r="Z36" s="108" t="s">
        <v>80</v>
      </c>
      <c r="AA36" s="109">
        <f>DATE(2024,10,15)+TIME(19,37,54)</f>
        <v>45580.817986111113</v>
      </c>
      <c r="AB36" s="108"/>
      <c r="AC36" s="108"/>
      <c r="AD36" s="108" t="s">
        <v>65</v>
      </c>
      <c r="AE36" s="108" t="s">
        <v>61</v>
      </c>
    </row>
    <row r="37" spans="1:31" ht="72">
      <c r="A37" s="73" t="s">
        <v>858</v>
      </c>
      <c r="B37" s="73" t="s">
        <v>859</v>
      </c>
      <c r="C37" s="100" t="s">
        <v>860</v>
      </c>
      <c r="D37" s="73" t="s">
        <v>861</v>
      </c>
      <c r="E37" s="73" t="s">
        <v>862</v>
      </c>
      <c r="F37" s="73" t="s">
        <v>863</v>
      </c>
      <c r="G37" s="73" t="s">
        <v>134</v>
      </c>
      <c r="H37" s="65" t="s">
        <v>40</v>
      </c>
      <c r="I37" s="73" t="s">
        <v>90</v>
      </c>
      <c r="J37" s="65" t="s">
        <v>864</v>
      </c>
      <c r="K37" s="66" t="s">
        <v>56</v>
      </c>
      <c r="L37" s="73" t="s">
        <v>865</v>
      </c>
      <c r="M37" s="65" t="s">
        <v>866</v>
      </c>
      <c r="N37" s="65"/>
      <c r="O37" s="81" t="b">
        <v>0</v>
      </c>
      <c r="P37" s="85" t="b">
        <v>0</v>
      </c>
      <c r="Q37" s="75">
        <f>DATE(2024,10,15)+TIME(15,37,14)</f>
        <v>45580.650856481479</v>
      </c>
      <c r="R37" s="73" t="s">
        <v>61</v>
      </c>
      <c r="S37" s="73" t="s">
        <v>95</v>
      </c>
      <c r="T37" s="73"/>
      <c r="U37" s="73"/>
      <c r="V37" s="73"/>
      <c r="W37" s="73"/>
      <c r="X37" s="73"/>
      <c r="Y37" s="73"/>
      <c r="Z37" s="73" t="s">
        <v>62</v>
      </c>
      <c r="AA37" s="75">
        <f>DATE(2024,10,15)+TIME(17,46,25)</f>
        <v>45580.740567129629</v>
      </c>
      <c r="AB37" s="73" t="s">
        <v>96</v>
      </c>
      <c r="AC37" s="73" t="s">
        <v>64</v>
      </c>
      <c r="AD37" s="73" t="s">
        <v>65</v>
      </c>
      <c r="AE37" s="73" t="s">
        <v>61</v>
      </c>
    </row>
    <row r="38" spans="1:31" ht="72">
      <c r="A38" s="122" t="s">
        <v>879</v>
      </c>
      <c r="B38" s="122" t="s">
        <v>880</v>
      </c>
      <c r="C38" s="125" t="s">
        <v>881</v>
      </c>
      <c r="D38" s="122" t="s">
        <v>874</v>
      </c>
      <c r="E38" s="122" t="s">
        <v>882</v>
      </c>
      <c r="F38" s="122" t="s">
        <v>883</v>
      </c>
      <c r="G38" s="122" t="s">
        <v>185</v>
      </c>
      <c r="H38" s="71" t="s">
        <v>123</v>
      </c>
      <c r="I38" s="122" t="s">
        <v>90</v>
      </c>
      <c r="J38" s="71" t="s">
        <v>884</v>
      </c>
      <c r="K38" s="72" t="s">
        <v>56</v>
      </c>
      <c r="L38" s="122" t="s">
        <v>92</v>
      </c>
      <c r="M38" s="71" t="s">
        <v>885</v>
      </c>
      <c r="N38" s="71"/>
      <c r="O38" s="80" t="b">
        <v>1</v>
      </c>
      <c r="P38" s="84" t="b">
        <v>1</v>
      </c>
      <c r="Q38" s="123">
        <f>DATE(2024,10,15)+TIME(15,20,37)</f>
        <v>45580.639317129629</v>
      </c>
      <c r="R38" s="122" t="s">
        <v>61</v>
      </c>
      <c r="S38" s="122" t="s">
        <v>95</v>
      </c>
      <c r="T38" s="122"/>
      <c r="U38" s="122"/>
      <c r="V38" s="122"/>
      <c r="W38" s="122"/>
      <c r="X38" s="122"/>
      <c r="Y38" s="122"/>
      <c r="Z38" s="122" t="s">
        <v>62</v>
      </c>
      <c r="AA38" s="123">
        <f>DATE(2024,10,15)+TIME(17,42,53)</f>
        <v>45580.738113425927</v>
      </c>
      <c r="AB38" s="122" t="s">
        <v>96</v>
      </c>
      <c r="AC38" s="122" t="s">
        <v>64</v>
      </c>
      <c r="AD38" s="122" t="s">
        <v>65</v>
      </c>
      <c r="AE38" s="122" t="s">
        <v>61</v>
      </c>
    </row>
    <row r="39" spans="1:31" ht="55">
      <c r="A39" s="1" t="s">
        <v>301</v>
      </c>
      <c r="B39" s="1" t="s">
        <v>302</v>
      </c>
      <c r="C39" s="1" t="s">
        <v>303</v>
      </c>
      <c r="D39" s="1" t="s">
        <v>304</v>
      </c>
      <c r="E39" s="1" t="s">
        <v>305</v>
      </c>
      <c r="F39" s="1" t="s">
        <v>306</v>
      </c>
      <c r="G39" s="1" t="s">
        <v>209</v>
      </c>
      <c r="H39" s="110" t="s">
        <v>210</v>
      </c>
      <c r="I39" s="1" t="s">
        <v>307</v>
      </c>
      <c r="J39" s="110" t="s">
        <v>308</v>
      </c>
      <c r="K39" s="111" t="s">
        <v>56</v>
      </c>
      <c r="L39" s="1" t="s">
        <v>309</v>
      </c>
      <c r="M39" s="110"/>
      <c r="N39" s="110"/>
      <c r="O39" s="113" t="b">
        <v>0</v>
      </c>
      <c r="P39" s="114" t="s">
        <v>94</v>
      </c>
      <c r="Q39" s="2">
        <f>DATE(2024,10,16)+TIME(10,12,31)</f>
        <v>45581.425358796296</v>
      </c>
      <c r="R39" s="1" t="s">
        <v>61</v>
      </c>
      <c r="S39" s="1" t="s">
        <v>95</v>
      </c>
      <c r="T39" s="1"/>
      <c r="U39" s="1"/>
      <c r="V39" s="1"/>
      <c r="W39" s="1"/>
      <c r="X39" s="1"/>
      <c r="Y39" s="1"/>
      <c r="Z39" s="1" t="s">
        <v>62</v>
      </c>
      <c r="AA39" s="2">
        <f>DATE(2024,10,16)+TIME(10,15,53)</f>
        <v>45581.42769675926</v>
      </c>
      <c r="AB39" s="1" t="s">
        <v>63</v>
      </c>
      <c r="AC39" s="1" t="s">
        <v>64</v>
      </c>
      <c r="AD39" s="1" t="s">
        <v>65</v>
      </c>
      <c r="AE39" s="1" t="s">
        <v>61</v>
      </c>
    </row>
    <row r="40" spans="1:31" ht="38">
      <c r="A40" s="73" t="s">
        <v>709</v>
      </c>
      <c r="B40" s="73" t="s">
        <v>743</v>
      </c>
      <c r="C40" s="100" t="s">
        <v>744</v>
      </c>
      <c r="D40" s="73" t="s">
        <v>745</v>
      </c>
      <c r="E40" s="73" t="s">
        <v>746</v>
      </c>
      <c r="F40" s="73" t="s">
        <v>747</v>
      </c>
      <c r="G40" s="73" t="s">
        <v>209</v>
      </c>
      <c r="H40" s="65" t="s">
        <v>40</v>
      </c>
      <c r="I40" s="73" t="s">
        <v>90</v>
      </c>
      <c r="J40" s="65" t="s">
        <v>748</v>
      </c>
      <c r="K40" s="66" t="s">
        <v>56</v>
      </c>
      <c r="L40" s="73" t="s">
        <v>309</v>
      </c>
      <c r="M40" s="65" t="s">
        <v>749</v>
      </c>
      <c r="N40" s="65"/>
      <c r="O40" s="81" t="b">
        <v>0</v>
      </c>
      <c r="P40" s="85" t="b">
        <v>0</v>
      </c>
      <c r="Q40" s="75">
        <f>DATE(2024,10,16)+TIME(10,17,26)</f>
        <v>45581.428773148145</v>
      </c>
      <c r="R40" s="73" t="s">
        <v>61</v>
      </c>
      <c r="S40" s="73" t="s">
        <v>95</v>
      </c>
      <c r="T40" s="73"/>
      <c r="U40" s="73"/>
      <c r="V40" s="73"/>
      <c r="W40" s="73"/>
      <c r="X40" s="73"/>
      <c r="Y40" s="73"/>
      <c r="Z40" s="73" t="s">
        <v>62</v>
      </c>
      <c r="AA40" s="75">
        <f>DATE(2024,10,16)+TIME(10,19,0)</f>
        <v>45581.429861111108</v>
      </c>
      <c r="AB40" s="73" t="s">
        <v>750</v>
      </c>
      <c r="AC40" s="73" t="s">
        <v>64</v>
      </c>
      <c r="AD40" s="73" t="s">
        <v>65</v>
      </c>
      <c r="AE40" s="73" t="s">
        <v>61</v>
      </c>
    </row>
    <row r="41" spans="1:31" ht="89">
      <c r="A41" s="73" t="s">
        <v>117</v>
      </c>
      <c r="B41" s="73" t="s">
        <v>118</v>
      </c>
      <c r="C41" s="100" t="s">
        <v>119</v>
      </c>
      <c r="D41" s="73" t="s">
        <v>120</v>
      </c>
      <c r="E41" s="73" t="s">
        <v>121</v>
      </c>
      <c r="F41" s="73" t="s">
        <v>122</v>
      </c>
      <c r="G41" s="73" t="s">
        <v>103</v>
      </c>
      <c r="H41" s="65" t="s">
        <v>40</v>
      </c>
      <c r="I41" s="73" t="s">
        <v>124</v>
      </c>
      <c r="J41" s="65" t="s">
        <v>125</v>
      </c>
      <c r="K41" s="66" t="s">
        <v>56</v>
      </c>
      <c r="L41" s="73" t="s">
        <v>107</v>
      </c>
      <c r="M41" s="65" t="s">
        <v>126</v>
      </c>
      <c r="N41" s="65"/>
      <c r="O41" s="81" t="b">
        <v>0</v>
      </c>
      <c r="P41" s="85" t="b">
        <v>0</v>
      </c>
      <c r="Q41" s="75">
        <f>DATE(2024,10,15)+TIME(7,58,41)</f>
        <v>45580.332418981481</v>
      </c>
      <c r="R41" s="73" t="s">
        <v>61</v>
      </c>
      <c r="S41" s="73" t="s">
        <v>95</v>
      </c>
      <c r="T41" s="73"/>
      <c r="U41" s="73"/>
      <c r="V41" s="73"/>
      <c r="W41" s="73"/>
      <c r="X41" s="73"/>
      <c r="Y41" s="73"/>
      <c r="Z41" s="73" t="s">
        <v>62</v>
      </c>
      <c r="AA41" s="75">
        <f>DATE(2024,10,15)+TIME(8,0,21)</f>
        <v>45580.33357638889</v>
      </c>
      <c r="AB41" s="73" t="s">
        <v>127</v>
      </c>
      <c r="AC41" s="73" t="s">
        <v>64</v>
      </c>
      <c r="AD41" s="73" t="s">
        <v>65</v>
      </c>
      <c r="AE41" s="73" t="s">
        <v>61</v>
      </c>
    </row>
    <row r="42" spans="1:31" ht="38">
      <c r="A42" s="73" t="s">
        <v>267</v>
      </c>
      <c r="B42" s="73" t="s">
        <v>268</v>
      </c>
      <c r="C42" s="73" t="s">
        <v>269</v>
      </c>
      <c r="D42" s="73" t="s">
        <v>270</v>
      </c>
      <c r="E42" s="73" t="s">
        <v>271</v>
      </c>
      <c r="F42" s="74" t="s">
        <v>272</v>
      </c>
      <c r="G42" s="73" t="s">
        <v>209</v>
      </c>
      <c r="H42" s="65" t="s">
        <v>210</v>
      </c>
      <c r="I42" s="73" t="s">
        <v>273</v>
      </c>
      <c r="J42" s="65" t="s">
        <v>274</v>
      </c>
      <c r="K42" s="66" t="s">
        <v>142</v>
      </c>
      <c r="L42" s="73" t="s">
        <v>275</v>
      </c>
      <c r="M42" s="65"/>
      <c r="N42" s="65"/>
      <c r="O42" s="81" t="b">
        <v>0</v>
      </c>
      <c r="P42" s="85" t="s">
        <v>94</v>
      </c>
      <c r="Q42" s="75">
        <f>DATE(2024,10,15)+TIME(9,35,48)</f>
        <v>45580.399861111109</v>
      </c>
      <c r="R42" s="73" t="s">
        <v>61</v>
      </c>
      <c r="S42" s="73" t="s">
        <v>95</v>
      </c>
      <c r="T42" s="73"/>
      <c r="U42" s="73"/>
      <c r="V42" s="73" t="s">
        <v>276</v>
      </c>
      <c r="W42" s="73"/>
      <c r="X42" s="73"/>
      <c r="Y42" s="73"/>
      <c r="Z42" s="73" t="s">
        <v>62</v>
      </c>
      <c r="AA42" s="75">
        <f>DATE(2024,10,15)+TIME(17,43,48)</f>
        <v>45580.738749999997</v>
      </c>
      <c r="AB42" s="73"/>
      <c r="AC42" s="73" t="s">
        <v>277</v>
      </c>
      <c r="AD42" s="73" t="s">
        <v>65</v>
      </c>
      <c r="AE42" s="73" t="s">
        <v>61</v>
      </c>
    </row>
    <row r="43" spans="1:31" ht="106">
      <c r="A43" s="1" t="s">
        <v>833</v>
      </c>
      <c r="B43" s="1" t="s">
        <v>834</v>
      </c>
      <c r="C43" s="1" t="s">
        <v>835</v>
      </c>
      <c r="D43" s="1" t="s">
        <v>836</v>
      </c>
      <c r="E43" s="1" t="s">
        <v>837</v>
      </c>
      <c r="F43" s="1" t="s">
        <v>838</v>
      </c>
      <c r="G43" s="1" t="s">
        <v>103</v>
      </c>
      <c r="H43" s="65" t="s">
        <v>210</v>
      </c>
      <c r="I43" s="1" t="s">
        <v>90</v>
      </c>
      <c r="J43" s="65" t="s">
        <v>839</v>
      </c>
      <c r="K43" s="66" t="s">
        <v>142</v>
      </c>
      <c r="L43" s="1" t="s">
        <v>840</v>
      </c>
      <c r="M43" s="65"/>
      <c r="N43" s="65"/>
      <c r="O43" s="81" t="b">
        <v>0</v>
      </c>
      <c r="P43" s="85" t="s">
        <v>94</v>
      </c>
      <c r="Q43" s="2">
        <f>DATE(2024,10,15)+TIME(10,42,37)</f>
        <v>45580.446261574078</v>
      </c>
      <c r="R43" s="1" t="s">
        <v>61</v>
      </c>
      <c r="S43" s="1" t="s">
        <v>95</v>
      </c>
      <c r="T43" s="1"/>
      <c r="U43" s="1"/>
      <c r="V43" s="1"/>
      <c r="W43" s="1"/>
      <c r="X43" s="1"/>
      <c r="Y43" s="1"/>
      <c r="Z43" s="1" t="s">
        <v>62</v>
      </c>
      <c r="AA43" s="2">
        <f>DATE(2024,10,15)+TIME(11,21,31)</f>
        <v>45580.473275462966</v>
      </c>
      <c r="AB43" s="1" t="s">
        <v>96</v>
      </c>
      <c r="AC43" s="1" t="s">
        <v>64</v>
      </c>
      <c r="AD43" s="1" t="s">
        <v>65</v>
      </c>
      <c r="AE43" s="1" t="s">
        <v>61</v>
      </c>
    </row>
    <row r="44" spans="1:31" ht="88">
      <c r="A44" s="73" t="s">
        <v>136</v>
      </c>
      <c r="B44" s="73" t="s">
        <v>137</v>
      </c>
      <c r="C44" s="73" t="s">
        <v>138</v>
      </c>
      <c r="D44" s="73" t="s">
        <v>139</v>
      </c>
      <c r="E44" s="73" t="s">
        <v>140</v>
      </c>
      <c r="F44" s="73" t="s">
        <v>141</v>
      </c>
      <c r="G44" s="73" t="s">
        <v>87</v>
      </c>
      <c r="H44" s="65" t="s">
        <v>88</v>
      </c>
      <c r="I44" s="73" t="s">
        <v>143</v>
      </c>
      <c r="J44" s="65" t="s">
        <v>144</v>
      </c>
      <c r="K44" s="66" t="s">
        <v>142</v>
      </c>
      <c r="L44" s="73" t="s">
        <v>92</v>
      </c>
      <c r="M44" s="65" t="s">
        <v>93</v>
      </c>
      <c r="N44" s="65"/>
      <c r="O44" s="101" t="s">
        <v>94</v>
      </c>
      <c r="P44" s="101" t="s">
        <v>94</v>
      </c>
      <c r="Q44" s="75">
        <f>DATE(2024,10,14)+TIME(11,15,57)</f>
        <v>45579.469409722224</v>
      </c>
      <c r="R44" s="73" t="s">
        <v>61</v>
      </c>
      <c r="S44" s="73" t="s">
        <v>95</v>
      </c>
      <c r="T44" s="73"/>
      <c r="U44" s="73"/>
      <c r="V44" s="73"/>
      <c r="W44" s="73"/>
      <c r="X44" s="73"/>
      <c r="Y44" s="73"/>
      <c r="Z44" s="73" t="s">
        <v>62</v>
      </c>
      <c r="AA44" s="75">
        <f>DATE(2024,10,14)+TIME(11,16,53)</f>
        <v>45579.470057870371</v>
      </c>
      <c r="AB44" s="73" t="s">
        <v>146</v>
      </c>
      <c r="AC44" s="73" t="s">
        <v>64</v>
      </c>
      <c r="AD44" s="73" t="s">
        <v>65</v>
      </c>
      <c r="AE44" s="73" t="s">
        <v>61</v>
      </c>
    </row>
    <row r="45" spans="1:31" ht="72">
      <c r="A45" s="73" t="s">
        <v>203</v>
      </c>
      <c r="B45" s="73" t="s">
        <v>204</v>
      </c>
      <c r="C45" s="73" t="s">
        <v>205</v>
      </c>
      <c r="D45" s="73" t="s">
        <v>206</v>
      </c>
      <c r="E45" s="73" t="s">
        <v>207</v>
      </c>
      <c r="F45" s="73" t="s">
        <v>208</v>
      </c>
      <c r="G45" s="73" t="s">
        <v>209</v>
      </c>
      <c r="H45" s="65" t="s">
        <v>210</v>
      </c>
      <c r="I45" s="73" t="s">
        <v>90</v>
      </c>
      <c r="J45" s="65" t="s">
        <v>212</v>
      </c>
      <c r="K45" s="66" t="s">
        <v>142</v>
      </c>
      <c r="L45" s="73" t="s">
        <v>92</v>
      </c>
      <c r="M45" s="65"/>
      <c r="N45" s="65"/>
      <c r="O45" s="81" t="b">
        <v>0</v>
      </c>
      <c r="P45" s="85" t="s">
        <v>94</v>
      </c>
      <c r="Q45" s="75">
        <f>DATE(2024,10,16)+TIME(10,21,17)</f>
        <v>45581.431446759256</v>
      </c>
      <c r="R45" s="73" t="s">
        <v>61</v>
      </c>
      <c r="S45" s="73" t="s">
        <v>95</v>
      </c>
      <c r="T45" s="73"/>
      <c r="U45" s="73"/>
      <c r="V45" s="73"/>
      <c r="W45" s="73"/>
      <c r="X45" s="73"/>
      <c r="Y45" s="73"/>
      <c r="Z45" s="73" t="s">
        <v>62</v>
      </c>
      <c r="AA45" s="75">
        <f>DATE(2024,10,16)+TIME(10,30,39)</f>
        <v>45581.437951388885</v>
      </c>
      <c r="AB45" s="73" t="s">
        <v>63</v>
      </c>
      <c r="AC45" s="73" t="s">
        <v>64</v>
      </c>
      <c r="AD45" s="73" t="s">
        <v>65</v>
      </c>
      <c r="AE45" s="73" t="s">
        <v>61</v>
      </c>
    </row>
    <row r="46" spans="1:31" ht="38">
      <c r="A46" s="108" t="s">
        <v>313</v>
      </c>
      <c r="B46" s="108" t="s">
        <v>314</v>
      </c>
      <c r="C46" s="108" t="s">
        <v>315</v>
      </c>
      <c r="D46" s="108" t="s">
        <v>316</v>
      </c>
      <c r="E46" s="108" t="s">
        <v>317</v>
      </c>
      <c r="F46" s="108" t="s">
        <v>318</v>
      </c>
      <c r="G46" s="108" t="s">
        <v>209</v>
      </c>
      <c r="H46" s="69" t="s">
        <v>40</v>
      </c>
      <c r="I46" s="108" t="s">
        <v>124</v>
      </c>
      <c r="J46" s="69" t="s">
        <v>319</v>
      </c>
      <c r="K46" s="70" t="s">
        <v>142</v>
      </c>
      <c r="L46" s="108" t="s">
        <v>92</v>
      </c>
      <c r="M46" s="69"/>
      <c r="N46" s="69"/>
      <c r="O46" s="79" t="b">
        <v>0</v>
      </c>
      <c r="P46" s="83" t="b">
        <v>0</v>
      </c>
      <c r="Q46" s="109">
        <f>DATE(2024,10,16)+TIME(12,3,2)</f>
        <v>45581.502106481479</v>
      </c>
      <c r="R46" s="108" t="s">
        <v>61</v>
      </c>
      <c r="S46" s="108" t="s">
        <v>95</v>
      </c>
      <c r="T46" s="108"/>
      <c r="U46" s="108"/>
      <c r="V46" s="108"/>
      <c r="W46" s="108"/>
      <c r="X46" s="108"/>
      <c r="Y46" s="108"/>
      <c r="Z46" s="108" t="s">
        <v>62</v>
      </c>
      <c r="AA46" s="109">
        <f>DATE(2024,10,16)+TIME(13,42,33)</f>
        <v>45581.571215277778</v>
      </c>
      <c r="AB46" s="108" t="s">
        <v>135</v>
      </c>
      <c r="AC46" s="108" t="s">
        <v>64</v>
      </c>
      <c r="AD46" s="108" t="s">
        <v>65</v>
      </c>
      <c r="AE46" s="108" t="s">
        <v>61</v>
      </c>
    </row>
    <row r="47" spans="1:31" ht="38">
      <c r="A47" s="73" t="s">
        <v>348</v>
      </c>
      <c r="B47" s="73" t="s">
        <v>349</v>
      </c>
      <c r="C47" s="73" t="s">
        <v>350</v>
      </c>
      <c r="D47" s="73" t="s">
        <v>351</v>
      </c>
      <c r="E47" s="73" t="s">
        <v>352</v>
      </c>
      <c r="F47" s="73" t="s">
        <v>353</v>
      </c>
      <c r="G47" s="73" t="s">
        <v>103</v>
      </c>
      <c r="H47" s="65" t="s">
        <v>210</v>
      </c>
      <c r="I47" s="73" t="s">
        <v>90</v>
      </c>
      <c r="J47" s="65"/>
      <c r="K47" s="66" t="s">
        <v>142</v>
      </c>
      <c r="L47" s="73" t="s">
        <v>354</v>
      </c>
      <c r="M47" s="65"/>
      <c r="N47" s="65"/>
      <c r="O47" s="81" t="b">
        <v>0</v>
      </c>
      <c r="P47" s="85" t="s">
        <v>94</v>
      </c>
      <c r="Q47" s="75">
        <f>DATE(2024,10,15)+TIME(10,9,53)</f>
        <v>45580.423530092594</v>
      </c>
      <c r="R47" s="73" t="s">
        <v>61</v>
      </c>
      <c r="S47" s="73" t="s">
        <v>95</v>
      </c>
      <c r="T47" s="73"/>
      <c r="U47" s="73"/>
      <c r="V47" s="73"/>
      <c r="W47" s="73"/>
      <c r="X47" s="73"/>
      <c r="Y47" s="73"/>
      <c r="Z47" s="73" t="s">
        <v>62</v>
      </c>
      <c r="AA47" s="75">
        <f>DATE(2024,10,15)+TIME(11,23,11)</f>
        <v>45580.474432870367</v>
      </c>
      <c r="AB47" s="73" t="s">
        <v>63</v>
      </c>
      <c r="AC47" s="73" t="s">
        <v>64</v>
      </c>
      <c r="AD47" s="73" t="s">
        <v>65</v>
      </c>
      <c r="AE47" s="73" t="s">
        <v>61</v>
      </c>
    </row>
    <row r="48" spans="1:31" ht="157">
      <c r="A48" s="122" t="s">
        <v>841</v>
      </c>
      <c r="B48" s="122" t="s">
        <v>842</v>
      </c>
      <c r="C48" s="122" t="s">
        <v>843</v>
      </c>
      <c r="D48" s="122" t="s">
        <v>844</v>
      </c>
      <c r="E48" s="122" t="s">
        <v>216</v>
      </c>
      <c r="F48" s="122" t="s">
        <v>845</v>
      </c>
      <c r="G48" s="122" t="s">
        <v>71</v>
      </c>
      <c r="H48" s="71" t="s">
        <v>55</v>
      </c>
      <c r="I48" s="122" t="s">
        <v>105</v>
      </c>
      <c r="J48" s="71" t="s">
        <v>846</v>
      </c>
      <c r="K48" s="72" t="s">
        <v>142</v>
      </c>
      <c r="L48" s="122" t="s">
        <v>231</v>
      </c>
      <c r="M48" s="196" t="s">
        <v>847</v>
      </c>
      <c r="N48" s="71"/>
      <c r="O48" s="80" t="b">
        <v>1</v>
      </c>
      <c r="P48" s="84" t="b">
        <v>1</v>
      </c>
      <c r="Q48" s="123">
        <f>DATE(2024,10,14)+TIME(22,14,28)</f>
        <v>45579.926712962966</v>
      </c>
      <c r="R48" s="122" t="s">
        <v>61</v>
      </c>
      <c r="S48" s="122" t="s">
        <v>95</v>
      </c>
      <c r="T48" s="122"/>
      <c r="U48" s="122"/>
      <c r="V48" s="122" t="s">
        <v>848</v>
      </c>
      <c r="W48" s="122" t="s">
        <v>849</v>
      </c>
      <c r="X48" s="122" t="s">
        <v>850</v>
      </c>
      <c r="Y48" s="122" t="s">
        <v>79</v>
      </c>
      <c r="Z48" s="122" t="s">
        <v>80</v>
      </c>
      <c r="AA48" s="123">
        <f>DATE(2024,10,15)+TIME(2,49,35)</f>
        <v>45580.117766203701</v>
      </c>
      <c r="AB48" s="122"/>
      <c r="AC48" s="122"/>
      <c r="AD48" s="122" t="s">
        <v>65</v>
      </c>
      <c r="AE48" s="122" t="s">
        <v>61</v>
      </c>
    </row>
    <row r="49" spans="1:31" ht="38">
      <c r="A49" s="73" t="s">
        <v>421</v>
      </c>
      <c r="B49" s="73" t="s">
        <v>422</v>
      </c>
      <c r="C49" s="73" t="s">
        <v>423</v>
      </c>
      <c r="D49" s="73" t="s">
        <v>424</v>
      </c>
      <c r="E49" s="73" t="s">
        <v>425</v>
      </c>
      <c r="F49" s="73" t="s">
        <v>426</v>
      </c>
      <c r="G49" s="73" t="s">
        <v>185</v>
      </c>
      <c r="H49" s="65" t="s">
        <v>123</v>
      </c>
      <c r="I49" s="73" t="s">
        <v>90</v>
      </c>
      <c r="J49" s="65" t="s">
        <v>427</v>
      </c>
      <c r="K49" s="66" t="s">
        <v>142</v>
      </c>
      <c r="L49" s="73" t="s">
        <v>92</v>
      </c>
      <c r="M49" s="65" t="s">
        <v>428</v>
      </c>
      <c r="N49" s="65"/>
      <c r="O49" s="81" t="b">
        <v>1</v>
      </c>
      <c r="P49" s="85" t="b">
        <v>1</v>
      </c>
      <c r="Q49" s="75">
        <f>DATE(2024,10,15)+TIME(15,29,49)</f>
        <v>45580.64570601852</v>
      </c>
      <c r="R49" s="73" t="s">
        <v>61</v>
      </c>
      <c r="S49" s="73" t="s">
        <v>95</v>
      </c>
      <c r="T49" s="73"/>
      <c r="U49" s="73"/>
      <c r="V49" s="73"/>
      <c r="W49" s="73"/>
      <c r="X49" s="73"/>
      <c r="Y49" s="73"/>
      <c r="Z49" s="73" t="s">
        <v>62</v>
      </c>
      <c r="AA49" s="75">
        <f>DATE(2024,10,15)+TIME(17,41,17)</f>
        <v>45580.737002314818</v>
      </c>
      <c r="AB49" s="73" t="s">
        <v>63</v>
      </c>
      <c r="AC49" s="73" t="s">
        <v>64</v>
      </c>
      <c r="AD49" s="73" t="s">
        <v>65</v>
      </c>
      <c r="AE49" s="73" t="s">
        <v>61</v>
      </c>
    </row>
    <row r="50" spans="1:31" ht="72">
      <c r="A50" s="108" t="s">
        <v>436</v>
      </c>
      <c r="B50" s="108" t="s">
        <v>437</v>
      </c>
      <c r="C50" s="108" t="s">
        <v>438</v>
      </c>
      <c r="D50" s="108" t="s">
        <v>439</v>
      </c>
      <c r="E50" s="108" t="s">
        <v>440</v>
      </c>
      <c r="F50" s="108" t="s">
        <v>441</v>
      </c>
      <c r="G50" s="108" t="s">
        <v>103</v>
      </c>
      <c r="H50" s="69" t="s">
        <v>210</v>
      </c>
      <c r="I50" s="108" t="s">
        <v>90</v>
      </c>
      <c r="J50" s="69" t="s">
        <v>442</v>
      </c>
      <c r="K50" s="70" t="s">
        <v>142</v>
      </c>
      <c r="L50" s="108" t="s">
        <v>443</v>
      </c>
      <c r="M50" s="69"/>
      <c r="N50" s="69"/>
      <c r="O50" s="79" t="b">
        <v>0</v>
      </c>
      <c r="P50" s="83" t="s">
        <v>94</v>
      </c>
      <c r="Q50" s="109">
        <f>DATE(2024,10,15)+TIME(15,12,15)</f>
        <v>45580.633506944447</v>
      </c>
      <c r="R50" s="108" t="s">
        <v>61</v>
      </c>
      <c r="S50" s="108" t="s">
        <v>95</v>
      </c>
      <c r="T50" s="108"/>
      <c r="U50" s="108"/>
      <c r="V50" s="108"/>
      <c r="W50" s="108"/>
      <c r="X50" s="108"/>
      <c r="Y50" s="108"/>
      <c r="Z50" s="108" t="s">
        <v>62</v>
      </c>
      <c r="AA50" s="109">
        <f>DATE(2024,10,15)+TIME(15,18,2)</f>
        <v>45580.637523148151</v>
      </c>
      <c r="AB50" s="108" t="s">
        <v>444</v>
      </c>
      <c r="AC50" s="108" t="s">
        <v>64</v>
      </c>
      <c r="AD50" s="108" t="s">
        <v>65</v>
      </c>
      <c r="AE50" s="108" t="s">
        <v>61</v>
      </c>
    </row>
    <row r="51" spans="1:31" ht="38">
      <c r="A51" s="73" t="s">
        <v>493</v>
      </c>
      <c r="B51" s="73" t="s">
        <v>494</v>
      </c>
      <c r="C51" s="73" t="s">
        <v>495</v>
      </c>
      <c r="D51" s="73" t="s">
        <v>496</v>
      </c>
      <c r="E51" s="73" t="s">
        <v>497</v>
      </c>
      <c r="F51" s="73" t="s">
        <v>498</v>
      </c>
      <c r="G51" s="73" t="s">
        <v>103</v>
      </c>
      <c r="H51" s="65" t="s">
        <v>210</v>
      </c>
      <c r="I51" s="73" t="s">
        <v>57</v>
      </c>
      <c r="J51" s="65" t="s">
        <v>500</v>
      </c>
      <c r="K51" s="66" t="s">
        <v>142</v>
      </c>
      <c r="L51" s="73" t="s">
        <v>284</v>
      </c>
      <c r="M51" s="65"/>
      <c r="N51" s="65"/>
      <c r="O51" s="81" t="b">
        <v>0</v>
      </c>
      <c r="P51" s="85" t="s">
        <v>94</v>
      </c>
      <c r="Q51" s="75">
        <f>DATE(2024,10,15)+TIME(14,13,17)</f>
        <v>45580.592557870368</v>
      </c>
      <c r="R51" s="73" t="s">
        <v>61</v>
      </c>
      <c r="S51" s="73" t="s">
        <v>95</v>
      </c>
      <c r="T51" s="73"/>
      <c r="U51" s="73"/>
      <c r="V51" s="73"/>
      <c r="W51" s="73"/>
      <c r="X51" s="73"/>
      <c r="Y51" s="73"/>
      <c r="Z51" s="73" t="s">
        <v>62</v>
      </c>
      <c r="AA51" s="75">
        <f>DATE(2024,10,15)+TIME(14,15,47)</f>
        <v>45580.594293981485</v>
      </c>
      <c r="AB51" s="73" t="s">
        <v>501</v>
      </c>
      <c r="AC51" s="73" t="s">
        <v>64</v>
      </c>
      <c r="AD51" s="73" t="s">
        <v>65</v>
      </c>
      <c r="AE51" s="73" t="s">
        <v>61</v>
      </c>
    </row>
    <row r="52" spans="1:31" ht="68">
      <c r="A52" s="73" t="s">
        <v>292</v>
      </c>
      <c r="B52" s="73" t="s">
        <v>293</v>
      </c>
      <c r="C52" s="73" t="s">
        <v>294</v>
      </c>
      <c r="D52" s="73" t="s">
        <v>295</v>
      </c>
      <c r="E52" s="73" t="s">
        <v>296</v>
      </c>
      <c r="F52" s="73"/>
      <c r="G52" s="73" t="s">
        <v>71</v>
      </c>
      <c r="H52" s="65" t="s">
        <v>55</v>
      </c>
      <c r="I52" s="73" t="s">
        <v>90</v>
      </c>
      <c r="J52" s="65" t="s">
        <v>297</v>
      </c>
      <c r="K52" s="66" t="s">
        <v>142</v>
      </c>
      <c r="L52" s="73" t="s">
        <v>231</v>
      </c>
      <c r="M52" s="93" t="s">
        <v>298</v>
      </c>
      <c r="N52" s="65"/>
      <c r="O52" s="81" t="b">
        <v>1</v>
      </c>
      <c r="P52" s="85" t="b">
        <v>1</v>
      </c>
      <c r="Q52" s="75">
        <f>DATE(2024,10,14)+TIME(22,20,18)</f>
        <v>45579.930763888886</v>
      </c>
      <c r="R52" s="73" t="s">
        <v>61</v>
      </c>
      <c r="S52" s="73" t="s">
        <v>95</v>
      </c>
      <c r="T52" s="73"/>
      <c r="U52" s="73"/>
      <c r="V52" s="73"/>
      <c r="W52" s="73" t="s">
        <v>299</v>
      </c>
      <c r="X52" s="73" t="s">
        <v>300</v>
      </c>
      <c r="Y52" s="73" t="s">
        <v>79</v>
      </c>
      <c r="Z52" s="73" t="s">
        <v>80</v>
      </c>
      <c r="AA52" s="75">
        <f>DATE(2024,10,15)+TIME(2,39,18)</f>
        <v>45580.110625000001</v>
      </c>
      <c r="AB52" s="73"/>
      <c r="AC52" s="73"/>
      <c r="AD52" s="73" t="s">
        <v>65</v>
      </c>
      <c r="AE52" s="73" t="s">
        <v>61</v>
      </c>
    </row>
    <row r="53" spans="1:31" ht="72">
      <c r="A53" s="1" t="s">
        <v>320</v>
      </c>
      <c r="B53" s="1" t="s">
        <v>321</v>
      </c>
      <c r="C53" s="102" t="s">
        <v>322</v>
      </c>
      <c r="D53" s="1" t="s">
        <v>323</v>
      </c>
      <c r="E53" s="1"/>
      <c r="F53" s="1"/>
      <c r="G53" s="1" t="s">
        <v>71</v>
      </c>
      <c r="H53" s="110" t="s">
        <v>55</v>
      </c>
      <c r="I53" s="1" t="s">
        <v>90</v>
      </c>
      <c r="J53" s="110" t="s">
        <v>324</v>
      </c>
      <c r="K53" s="111" t="s">
        <v>142</v>
      </c>
      <c r="L53" s="1" t="s">
        <v>325</v>
      </c>
      <c r="M53" s="112" t="s">
        <v>326</v>
      </c>
      <c r="N53" s="110"/>
      <c r="O53" s="113" t="b">
        <v>1</v>
      </c>
      <c r="P53" s="114" t="b">
        <v>1</v>
      </c>
      <c r="Q53" s="2">
        <f>DATE(2024,10,15)+TIME(12,33,59)</f>
        <v>45580.523599537039</v>
      </c>
      <c r="R53" s="1" t="s">
        <v>95</v>
      </c>
      <c r="S53" s="1"/>
      <c r="T53" s="1"/>
      <c r="U53" s="1"/>
      <c r="V53" s="1"/>
      <c r="W53" s="1"/>
      <c r="X53" s="1"/>
      <c r="Y53" s="1" t="s">
        <v>327</v>
      </c>
      <c r="Z53" s="1" t="s">
        <v>80</v>
      </c>
      <c r="AA53" s="2">
        <f>DATE(2024,10,15)+TIME(12,41,56)</f>
        <v>45580.529120370367</v>
      </c>
      <c r="AB53" s="1"/>
      <c r="AC53" s="1"/>
      <c r="AD53" s="1" t="s">
        <v>65</v>
      </c>
      <c r="AE53" s="1" t="s">
        <v>61</v>
      </c>
    </row>
    <row r="54" spans="1:31" ht="38">
      <c r="A54" s="73" t="s">
        <v>702</v>
      </c>
      <c r="B54" s="73" t="s">
        <v>703</v>
      </c>
      <c r="C54" s="188" t="s">
        <v>704</v>
      </c>
      <c r="D54" s="73" t="s">
        <v>705</v>
      </c>
      <c r="E54" s="73" t="s">
        <v>85</v>
      </c>
      <c r="F54" s="73" t="s">
        <v>706</v>
      </c>
      <c r="G54" s="73" t="s">
        <v>134</v>
      </c>
      <c r="H54" s="65" t="s">
        <v>123</v>
      </c>
      <c r="I54" s="73" t="s">
        <v>382</v>
      </c>
      <c r="J54" s="65" t="s">
        <v>707</v>
      </c>
      <c r="K54" s="89" t="s">
        <v>142</v>
      </c>
      <c r="L54" s="73" t="s">
        <v>309</v>
      </c>
      <c r="M54" s="88" t="s">
        <v>362</v>
      </c>
      <c r="N54" s="88"/>
      <c r="O54" s="90" t="b">
        <v>1</v>
      </c>
      <c r="P54" s="91" t="b">
        <v>1</v>
      </c>
      <c r="Q54" s="75">
        <f>DATE(2024,10,16)+TIME(10,10,32)</f>
        <v>45581.423981481479</v>
      </c>
      <c r="R54" s="73" t="s">
        <v>61</v>
      </c>
      <c r="S54" s="73"/>
      <c r="T54" s="73"/>
      <c r="U54" s="73"/>
      <c r="V54" s="73"/>
      <c r="W54" s="73"/>
      <c r="X54" s="73"/>
      <c r="Y54" s="73"/>
      <c r="Z54" s="73" t="s">
        <v>62</v>
      </c>
      <c r="AA54" s="75">
        <f>DATE(2024,10,16)+TIME(10,14,3)</f>
        <v>45581.426423611112</v>
      </c>
      <c r="AB54" s="73" t="s">
        <v>708</v>
      </c>
      <c r="AC54" s="73" t="s">
        <v>64</v>
      </c>
      <c r="AD54" s="73" t="s">
        <v>65</v>
      </c>
      <c r="AE54" s="73" t="s">
        <v>61</v>
      </c>
    </row>
    <row r="55" spans="1:31" ht="72">
      <c r="A55" s="1" t="s">
        <v>328</v>
      </c>
      <c r="B55" s="1" t="s">
        <v>329</v>
      </c>
      <c r="C55" s="102" t="s">
        <v>330</v>
      </c>
      <c r="D55" s="1" t="s">
        <v>331</v>
      </c>
      <c r="E55" s="1" t="s">
        <v>332</v>
      </c>
      <c r="F55" s="1"/>
      <c r="G55" s="1" t="s">
        <v>71</v>
      </c>
      <c r="H55" s="65" t="s">
        <v>55</v>
      </c>
      <c r="I55" s="1" t="s">
        <v>90</v>
      </c>
      <c r="J55" s="65" t="s">
        <v>324</v>
      </c>
      <c r="K55" s="66" t="s">
        <v>142</v>
      </c>
      <c r="L55" s="1" t="s">
        <v>325</v>
      </c>
      <c r="M55" s="93" t="s">
        <v>333</v>
      </c>
      <c r="N55" s="65"/>
      <c r="O55" s="81" t="b">
        <v>1</v>
      </c>
      <c r="P55" s="85" t="b">
        <v>1</v>
      </c>
      <c r="Q55" s="2">
        <f>DATE(2024,10,15)+TIME(12,33,43)</f>
        <v>45580.523414351854</v>
      </c>
      <c r="R55" s="1" t="s">
        <v>95</v>
      </c>
      <c r="S55" s="1"/>
      <c r="T55" s="1"/>
      <c r="U55" s="1"/>
      <c r="V55" s="1"/>
      <c r="W55" s="1"/>
      <c r="X55" s="1"/>
      <c r="Y55" s="1" t="s">
        <v>79</v>
      </c>
      <c r="Z55" s="1" t="s">
        <v>80</v>
      </c>
      <c r="AA55" s="2">
        <f>DATE(2024,10,15)+TIME(12,39,34)</f>
        <v>45580.52747685185</v>
      </c>
      <c r="AB55" s="1"/>
      <c r="AC55" s="1"/>
      <c r="AD55" s="1" t="s">
        <v>65</v>
      </c>
      <c r="AE55" s="1" t="s">
        <v>61</v>
      </c>
    </row>
    <row r="56" spans="1:31" ht="37">
      <c r="A56" s="73" t="s">
        <v>656</v>
      </c>
      <c r="B56" s="73" t="s">
        <v>657</v>
      </c>
      <c r="C56" s="73" t="s">
        <v>658</v>
      </c>
      <c r="D56" s="73" t="s">
        <v>659</v>
      </c>
      <c r="E56" s="73" t="s">
        <v>660</v>
      </c>
      <c r="F56" s="73" t="s">
        <v>661</v>
      </c>
      <c r="G56" s="73" t="s">
        <v>87</v>
      </c>
      <c r="H56" s="65" t="s">
        <v>88</v>
      </c>
      <c r="I56" s="73" t="s">
        <v>90</v>
      </c>
      <c r="J56" s="65" t="s">
        <v>662</v>
      </c>
      <c r="K56" s="66" t="s">
        <v>142</v>
      </c>
      <c r="L56" s="73" t="s">
        <v>92</v>
      </c>
      <c r="M56" s="65" t="s">
        <v>93</v>
      </c>
      <c r="N56" s="65"/>
      <c r="O56" s="101" t="s">
        <v>94</v>
      </c>
      <c r="P56" s="101" t="s">
        <v>94</v>
      </c>
      <c r="Q56" s="75">
        <f>DATE(2024,10,15)+TIME(13,25,2)</f>
        <v>45580.559050925927</v>
      </c>
      <c r="R56" s="73" t="s">
        <v>61</v>
      </c>
      <c r="S56" s="73" t="s">
        <v>95</v>
      </c>
      <c r="T56" s="73" t="s">
        <v>78</v>
      </c>
      <c r="U56" s="73" t="s">
        <v>78</v>
      </c>
      <c r="V56" s="73"/>
      <c r="W56" s="73"/>
      <c r="X56" s="73"/>
      <c r="Y56" s="73"/>
      <c r="Z56" s="73" t="s">
        <v>62</v>
      </c>
      <c r="AA56" s="75">
        <f>DATE(2024,10,15)+TIME(13,25,19)</f>
        <v>45580.559247685182</v>
      </c>
      <c r="AB56" s="73" t="s">
        <v>146</v>
      </c>
      <c r="AC56" s="73" t="s">
        <v>64</v>
      </c>
      <c r="AD56" s="73" t="s">
        <v>65</v>
      </c>
      <c r="AE56" s="73" t="s">
        <v>61</v>
      </c>
    </row>
    <row r="57" spans="1:31" ht="89">
      <c r="A57" s="73" t="s">
        <v>396</v>
      </c>
      <c r="B57" s="73" t="s">
        <v>397</v>
      </c>
      <c r="C57" s="73" t="s">
        <v>398</v>
      </c>
      <c r="D57" s="73" t="s">
        <v>399</v>
      </c>
      <c r="E57" s="73" t="s">
        <v>400</v>
      </c>
      <c r="F57" s="73"/>
      <c r="G57" s="73" t="s">
        <v>71</v>
      </c>
      <c r="H57" s="65" t="s">
        <v>55</v>
      </c>
      <c r="I57" s="73" t="s">
        <v>90</v>
      </c>
      <c r="J57" s="65" t="s">
        <v>401</v>
      </c>
      <c r="K57" s="66" t="s">
        <v>142</v>
      </c>
      <c r="L57" s="73"/>
      <c r="M57" s="93" t="s">
        <v>402</v>
      </c>
      <c r="N57" s="65"/>
      <c r="O57" s="81" t="b">
        <v>1</v>
      </c>
      <c r="P57" s="85" t="b">
        <v>1</v>
      </c>
      <c r="Q57" s="75">
        <f>DATE(2024,10,15)+TIME(12,5,34)</f>
        <v>45580.503865740742</v>
      </c>
      <c r="R57" s="73" t="s">
        <v>95</v>
      </c>
      <c r="S57" s="73"/>
      <c r="T57" s="73"/>
      <c r="U57" s="73"/>
      <c r="V57" s="73"/>
      <c r="W57" s="73"/>
      <c r="X57" s="73"/>
      <c r="Y57" s="73" t="s">
        <v>79</v>
      </c>
      <c r="Z57" s="73" t="s">
        <v>80</v>
      </c>
      <c r="AA57" s="75">
        <f>DATE(2024,10,15)+TIME(12,12,31)</f>
        <v>45580.508692129632</v>
      </c>
      <c r="AB57" s="73"/>
      <c r="AC57" s="73"/>
      <c r="AD57" s="73" t="s">
        <v>65</v>
      </c>
      <c r="AE57" s="73" t="s">
        <v>61</v>
      </c>
    </row>
    <row r="58" spans="1:31" ht="72">
      <c r="A58" s="122" t="s">
        <v>406</v>
      </c>
      <c r="B58" s="122" t="s">
        <v>407</v>
      </c>
      <c r="C58" s="122" t="s">
        <v>408</v>
      </c>
      <c r="D58" s="122" t="s">
        <v>415</v>
      </c>
      <c r="E58" s="122" t="s">
        <v>416</v>
      </c>
      <c r="F58" s="122" t="s">
        <v>411</v>
      </c>
      <c r="G58" s="122" t="s">
        <v>71</v>
      </c>
      <c r="H58" s="71" t="s">
        <v>55</v>
      </c>
      <c r="I58" s="122" t="s">
        <v>90</v>
      </c>
      <c r="J58" s="71" t="s">
        <v>417</v>
      </c>
      <c r="K58" s="72" t="s">
        <v>142</v>
      </c>
      <c r="L58" s="122" t="s">
        <v>418</v>
      </c>
      <c r="M58" s="195" t="s">
        <v>402</v>
      </c>
      <c r="N58" s="71"/>
      <c r="O58" s="80" t="b">
        <v>1</v>
      </c>
      <c r="P58" s="84" t="b">
        <v>1</v>
      </c>
      <c r="Q58" s="123">
        <f>DATE(2024,10,14)+TIME(12,17,55)</f>
        <v>45579.512442129628</v>
      </c>
      <c r="R58" s="122" t="s">
        <v>61</v>
      </c>
      <c r="S58" s="122" t="s">
        <v>61</v>
      </c>
      <c r="T58" s="122" t="s">
        <v>78</v>
      </c>
      <c r="U58" s="122" t="s">
        <v>95</v>
      </c>
      <c r="V58" s="122"/>
      <c r="W58" s="122" t="s">
        <v>420</v>
      </c>
      <c r="X58" s="122"/>
      <c r="Y58" s="122" t="s">
        <v>79</v>
      </c>
      <c r="Z58" s="122" t="s">
        <v>80</v>
      </c>
      <c r="AA58" s="123">
        <f>DATE(2024,10,14)+TIME(12,27,58)</f>
        <v>45579.519421296296</v>
      </c>
      <c r="AB58" s="122"/>
      <c r="AC58" s="122"/>
      <c r="AD58" s="122" t="s">
        <v>65</v>
      </c>
      <c r="AE58" s="122" t="s">
        <v>61</v>
      </c>
    </row>
    <row r="59" spans="1:31" ht="38">
      <c r="A59" s="108" t="s">
        <v>720</v>
      </c>
      <c r="B59" s="108" t="s">
        <v>721</v>
      </c>
      <c r="C59" s="108" t="s">
        <v>722</v>
      </c>
      <c r="D59" s="108" t="s">
        <v>723</v>
      </c>
      <c r="E59" s="108" t="s">
        <v>675</v>
      </c>
      <c r="F59" s="108" t="s">
        <v>724</v>
      </c>
      <c r="G59" s="108" t="s">
        <v>103</v>
      </c>
      <c r="H59" s="69" t="s">
        <v>210</v>
      </c>
      <c r="I59" s="108" t="s">
        <v>726</v>
      </c>
      <c r="J59" s="69" t="s">
        <v>727</v>
      </c>
      <c r="K59" s="70" t="s">
        <v>142</v>
      </c>
      <c r="L59" s="108" t="s">
        <v>92</v>
      </c>
      <c r="M59" s="69"/>
      <c r="N59" s="69"/>
      <c r="O59" s="79" t="b">
        <v>0</v>
      </c>
      <c r="P59" s="83" t="b">
        <v>0</v>
      </c>
      <c r="Q59" s="109">
        <f>DATE(2024,10,15)+TIME(12,51,12)</f>
        <v>45580.535555555558</v>
      </c>
      <c r="R59" s="108" t="s">
        <v>61</v>
      </c>
      <c r="S59" s="108" t="s">
        <v>95</v>
      </c>
      <c r="T59" s="108"/>
      <c r="U59" s="108"/>
      <c r="V59" s="108"/>
      <c r="W59" s="108"/>
      <c r="X59" s="108"/>
      <c r="Y59" s="108"/>
      <c r="Z59" s="108" t="s">
        <v>62</v>
      </c>
      <c r="AA59" s="109">
        <f>DATE(2024,10,15)+TIME(13,31,32)</f>
        <v>45580.563564814816</v>
      </c>
      <c r="AB59" s="108" t="s">
        <v>63</v>
      </c>
      <c r="AC59" s="108" t="s">
        <v>64</v>
      </c>
      <c r="AD59" s="108" t="s">
        <v>65</v>
      </c>
      <c r="AE59" s="108" t="s">
        <v>61</v>
      </c>
    </row>
    <row r="60" spans="1:31" ht="55">
      <c r="A60" s="73" t="s">
        <v>728</v>
      </c>
      <c r="B60" s="73" t="s">
        <v>729</v>
      </c>
      <c r="C60" s="73" t="s">
        <v>730</v>
      </c>
      <c r="D60" s="73" t="s">
        <v>731</v>
      </c>
      <c r="E60" s="73" t="s">
        <v>732</v>
      </c>
      <c r="F60" s="73" t="s">
        <v>733</v>
      </c>
      <c r="G60" s="73" t="s">
        <v>209</v>
      </c>
      <c r="H60" s="65" t="s">
        <v>210</v>
      </c>
      <c r="I60" s="73" t="s">
        <v>90</v>
      </c>
      <c r="J60" s="65" t="s">
        <v>734</v>
      </c>
      <c r="K60" s="66" t="s">
        <v>142</v>
      </c>
      <c r="L60" s="73" t="s">
        <v>92</v>
      </c>
      <c r="M60" s="65"/>
      <c r="N60" s="65"/>
      <c r="O60" s="81" t="b">
        <v>0</v>
      </c>
      <c r="P60" s="85" t="s">
        <v>94</v>
      </c>
      <c r="Q60" s="75">
        <f>DATE(2024,10,16)+TIME(11,24,54)</f>
        <v>45581.475624999999</v>
      </c>
      <c r="R60" s="73" t="s">
        <v>61</v>
      </c>
      <c r="S60" s="73" t="s">
        <v>95</v>
      </c>
      <c r="T60" s="73"/>
      <c r="U60" s="73"/>
      <c r="V60" s="73"/>
      <c r="W60" s="73"/>
      <c r="X60" s="73"/>
      <c r="Y60" s="73"/>
      <c r="Z60" s="73" t="s">
        <v>62</v>
      </c>
      <c r="AA60" s="75">
        <f>DATE(2024,10,16)+TIME(11,40,42)</f>
        <v>45581.486597222225</v>
      </c>
      <c r="AB60" s="73" t="s">
        <v>63</v>
      </c>
      <c r="AC60" s="73" t="s">
        <v>64</v>
      </c>
      <c r="AD60" s="73" t="s">
        <v>65</v>
      </c>
      <c r="AE60" s="73" t="s">
        <v>61</v>
      </c>
    </row>
    <row r="61" spans="1:31" ht="55">
      <c r="A61" s="73" t="s">
        <v>292</v>
      </c>
      <c r="B61" s="73" t="s">
        <v>664</v>
      </c>
      <c r="C61" s="100" t="s">
        <v>665</v>
      </c>
      <c r="D61" s="73" t="s">
        <v>659</v>
      </c>
      <c r="E61" s="73" t="s">
        <v>666</v>
      </c>
      <c r="F61" s="73"/>
      <c r="G61" s="73" t="s">
        <v>71</v>
      </c>
      <c r="H61" s="65" t="s">
        <v>55</v>
      </c>
      <c r="I61" s="73" t="s">
        <v>667</v>
      </c>
      <c r="J61" s="65" t="s">
        <v>668</v>
      </c>
      <c r="K61" s="66" t="s">
        <v>142</v>
      </c>
      <c r="L61" s="73" t="s">
        <v>231</v>
      </c>
      <c r="M61" s="93" t="s">
        <v>669</v>
      </c>
      <c r="N61" s="65"/>
      <c r="O61" s="81" t="b">
        <v>1</v>
      </c>
      <c r="P61" s="85" t="b">
        <v>1</v>
      </c>
      <c r="Q61" s="75">
        <f>DATE(2024,10,14)+TIME(22,0,3)</f>
        <v>45579.916701388887</v>
      </c>
      <c r="R61" s="73" t="s">
        <v>61</v>
      </c>
      <c r="S61" s="73" t="s">
        <v>95</v>
      </c>
      <c r="T61" s="73"/>
      <c r="U61" s="73"/>
      <c r="V61" s="74" t="s">
        <v>670</v>
      </c>
      <c r="W61" s="73"/>
      <c r="X61" s="73"/>
      <c r="Y61" s="73" t="s">
        <v>79</v>
      </c>
      <c r="Z61" s="73" t="s">
        <v>80</v>
      </c>
      <c r="AA61" s="75">
        <f>DATE(2024,10,15)+TIME(2,42,20)</f>
        <v>45580.11273148148</v>
      </c>
      <c r="AB61" s="73"/>
      <c r="AC61" s="73"/>
      <c r="AD61" s="73" t="s">
        <v>65</v>
      </c>
      <c r="AE61" s="73" t="s">
        <v>61</v>
      </c>
    </row>
    <row r="62" spans="1:31" ht="72">
      <c r="A62" s="105" t="s">
        <v>939</v>
      </c>
      <c r="B62" s="105" t="s">
        <v>940</v>
      </c>
      <c r="C62" s="105" t="s">
        <v>941</v>
      </c>
      <c r="D62" s="105" t="s">
        <v>942</v>
      </c>
      <c r="E62" s="105" t="s">
        <v>943</v>
      </c>
      <c r="F62" s="105"/>
      <c r="G62" s="105" t="s">
        <v>71</v>
      </c>
      <c r="H62" s="65" t="s">
        <v>55</v>
      </c>
      <c r="I62" s="105" t="s">
        <v>90</v>
      </c>
      <c r="J62" s="95" t="s">
        <v>944</v>
      </c>
      <c r="K62" s="96" t="s">
        <v>142</v>
      </c>
      <c r="L62" s="105" t="s">
        <v>231</v>
      </c>
      <c r="M62" s="97" t="s">
        <v>945</v>
      </c>
      <c r="N62" s="95"/>
      <c r="O62" s="98" t="b">
        <v>0</v>
      </c>
      <c r="P62" s="99" t="b">
        <v>0</v>
      </c>
      <c r="Q62" s="106">
        <f>DATE(2024,10,14)+TIME(17,7,55)</f>
        <v>45579.713831018518</v>
      </c>
      <c r="R62" s="105" t="s">
        <v>61</v>
      </c>
      <c r="S62" s="105" t="s">
        <v>95</v>
      </c>
      <c r="T62" s="105"/>
      <c r="U62" s="105"/>
      <c r="V62" s="105"/>
      <c r="W62" s="105"/>
      <c r="X62" s="105"/>
      <c r="Y62" s="105" t="s">
        <v>79</v>
      </c>
      <c r="Z62" s="105" t="s">
        <v>80</v>
      </c>
      <c r="AA62" s="106">
        <f>DATE(2024,10,14)+TIME(17,22,56)</f>
        <v>45579.724259259259</v>
      </c>
      <c r="AB62" s="105"/>
      <c r="AC62" s="105"/>
      <c r="AD62" s="105" t="s">
        <v>65</v>
      </c>
      <c r="AE62" s="105" t="s">
        <v>61</v>
      </c>
    </row>
    <row r="63" spans="1:31" s="33" customFormat="1" ht="55">
      <c r="A63" s="122" t="s">
        <v>851</v>
      </c>
      <c r="B63" s="122" t="s">
        <v>608</v>
      </c>
      <c r="C63" s="122" t="s">
        <v>852</v>
      </c>
      <c r="D63" s="122" t="s">
        <v>844</v>
      </c>
      <c r="E63" s="122" t="s">
        <v>85</v>
      </c>
      <c r="F63" s="122"/>
      <c r="G63" s="122" t="s">
        <v>71</v>
      </c>
      <c r="H63" s="71" t="s">
        <v>55</v>
      </c>
      <c r="I63" s="122" t="s">
        <v>382</v>
      </c>
      <c r="J63" s="71" t="s">
        <v>853</v>
      </c>
      <c r="K63" s="72" t="s">
        <v>142</v>
      </c>
      <c r="L63" s="122" t="s">
        <v>231</v>
      </c>
      <c r="M63" s="195" t="s">
        <v>854</v>
      </c>
      <c r="N63" s="71"/>
      <c r="O63" s="80" t="b">
        <v>1</v>
      </c>
      <c r="P63" s="84" t="b">
        <v>1</v>
      </c>
      <c r="Q63" s="123">
        <f>DATE(2024,10,14)+TIME(22,11,43)</f>
        <v>45579.924803240741</v>
      </c>
      <c r="R63" s="122" t="s">
        <v>61</v>
      </c>
      <c r="S63" s="122" t="s">
        <v>95</v>
      </c>
      <c r="T63" s="122"/>
      <c r="U63" s="122"/>
      <c r="V63" s="122" t="s">
        <v>855</v>
      </c>
      <c r="W63" s="122" t="s">
        <v>856</v>
      </c>
      <c r="X63" s="122" t="s">
        <v>857</v>
      </c>
      <c r="Y63" s="122" t="s">
        <v>79</v>
      </c>
      <c r="Z63" s="122" t="s">
        <v>80</v>
      </c>
      <c r="AA63" s="123">
        <f>DATE(2024,10,15)+TIME(2,47,31)</f>
        <v>45580.116331018522</v>
      </c>
      <c r="AB63" s="122"/>
      <c r="AC63" s="122"/>
      <c r="AD63" s="122" t="s">
        <v>65</v>
      </c>
      <c r="AE63" s="122" t="s">
        <v>61</v>
      </c>
    </row>
    <row r="64" spans="1:31" ht="55">
      <c r="A64" s="108" t="s">
        <v>796</v>
      </c>
      <c r="B64" s="108" t="s">
        <v>797</v>
      </c>
      <c r="C64" s="108" t="s">
        <v>798</v>
      </c>
      <c r="D64" s="108" t="s">
        <v>799</v>
      </c>
      <c r="E64" s="108" t="s">
        <v>800</v>
      </c>
      <c r="F64" s="108" t="s">
        <v>801</v>
      </c>
      <c r="G64" s="108" t="s">
        <v>134</v>
      </c>
      <c r="H64" s="69" t="s">
        <v>40</v>
      </c>
      <c r="I64" s="108" t="s">
        <v>90</v>
      </c>
      <c r="J64" s="69"/>
      <c r="K64" s="70" t="s">
        <v>142</v>
      </c>
      <c r="L64" s="108" t="s">
        <v>92</v>
      </c>
      <c r="M64" s="69"/>
      <c r="N64" s="69"/>
      <c r="O64" s="79" t="b">
        <v>0</v>
      </c>
      <c r="P64" s="83" t="b">
        <v>0</v>
      </c>
      <c r="Q64" s="109">
        <f>DATE(2024,10,15)+TIME(15,31,34)</f>
        <v>45580.646921296298</v>
      </c>
      <c r="R64" s="108" t="s">
        <v>61</v>
      </c>
      <c r="S64" s="108" t="s">
        <v>95</v>
      </c>
      <c r="T64" s="108"/>
      <c r="U64" s="108"/>
      <c r="V64" s="108"/>
      <c r="W64" s="108"/>
      <c r="X64" s="108"/>
      <c r="Y64" s="108"/>
      <c r="Z64" s="108" t="s">
        <v>62</v>
      </c>
      <c r="AA64" s="109">
        <f>DATE(2024,10,15)+TIME(17,46,25)</f>
        <v>45580.740567129629</v>
      </c>
      <c r="AB64" s="108" t="s">
        <v>63</v>
      </c>
      <c r="AC64" s="108" t="s">
        <v>64</v>
      </c>
      <c r="AD64" s="108" t="s">
        <v>65</v>
      </c>
      <c r="AE64" s="108" t="s">
        <v>61</v>
      </c>
    </row>
    <row r="65" spans="1:31" ht="55">
      <c r="A65" s="73" t="s">
        <v>802</v>
      </c>
      <c r="B65" s="73" t="s">
        <v>803</v>
      </c>
      <c r="C65" s="73" t="s">
        <v>804</v>
      </c>
      <c r="D65" s="73" t="s">
        <v>805</v>
      </c>
      <c r="E65" s="73" t="s">
        <v>806</v>
      </c>
      <c r="F65" s="73" t="s">
        <v>807</v>
      </c>
      <c r="G65" s="73" t="s">
        <v>103</v>
      </c>
      <c r="H65" s="65" t="s">
        <v>123</v>
      </c>
      <c r="I65" s="73"/>
      <c r="J65" s="65" t="s">
        <v>808</v>
      </c>
      <c r="K65" s="66" t="s">
        <v>142</v>
      </c>
      <c r="L65" s="73"/>
      <c r="M65" s="65"/>
      <c r="N65" s="65"/>
      <c r="O65" s="81" t="b">
        <v>1</v>
      </c>
      <c r="P65" s="85" t="b">
        <v>1</v>
      </c>
      <c r="Q65" s="75">
        <f>DATE(2024,10,16)+TIME(14,43,22)</f>
        <v>45581.613449074073</v>
      </c>
      <c r="R65" s="73" t="s">
        <v>95</v>
      </c>
      <c r="S65" s="73"/>
      <c r="T65" s="73"/>
      <c r="U65" s="73"/>
      <c r="V65" s="73"/>
      <c r="W65" s="73"/>
      <c r="X65" s="73"/>
      <c r="Y65" s="73"/>
      <c r="Z65" s="73" t="s">
        <v>62</v>
      </c>
      <c r="AA65" s="75">
        <f>DATE(2024,10,16)+TIME(14,43,29)</f>
        <v>45581.613530092596</v>
      </c>
      <c r="AB65" s="73"/>
      <c r="AC65" s="73" t="s">
        <v>232</v>
      </c>
      <c r="AD65" s="73" t="s">
        <v>65</v>
      </c>
      <c r="AE65" s="73" t="s">
        <v>61</v>
      </c>
    </row>
    <row r="66" spans="1:31" ht="89">
      <c r="A66" s="73" t="s">
        <v>891</v>
      </c>
      <c r="B66" s="73" t="s">
        <v>892</v>
      </c>
      <c r="C66" s="73"/>
      <c r="D66" s="73" t="s">
        <v>888</v>
      </c>
      <c r="E66" s="73"/>
      <c r="F66" s="73"/>
      <c r="G66" s="73" t="s">
        <v>71</v>
      </c>
      <c r="H66" s="65" t="s">
        <v>55</v>
      </c>
      <c r="I66" s="73" t="s">
        <v>90</v>
      </c>
      <c r="J66" s="65" t="s">
        <v>893</v>
      </c>
      <c r="K66" s="66" t="s">
        <v>142</v>
      </c>
      <c r="L66" s="73"/>
      <c r="M66" s="93" t="s">
        <v>894</v>
      </c>
      <c r="N66" s="65"/>
      <c r="O66" s="81" t="b">
        <v>1</v>
      </c>
      <c r="P66" s="85" t="b">
        <v>1</v>
      </c>
      <c r="Q66" s="75">
        <f>DATE(2024,10,15)+TIME(12,43,14)</f>
        <v>45580.530023148145</v>
      </c>
      <c r="R66" s="73" t="s">
        <v>95</v>
      </c>
      <c r="S66" s="73"/>
      <c r="T66" s="73"/>
      <c r="U66" s="73"/>
      <c r="V66" s="73"/>
      <c r="W66" s="73" t="s">
        <v>895</v>
      </c>
      <c r="X66" s="73" t="s">
        <v>896</v>
      </c>
      <c r="Y66" s="73" t="s">
        <v>79</v>
      </c>
      <c r="Z66" s="73" t="s">
        <v>80</v>
      </c>
      <c r="AA66" s="75">
        <f>DATE(2024,10,15)+TIME(19,39,4)</f>
        <v>45580.818796296298</v>
      </c>
      <c r="AB66" s="73"/>
      <c r="AC66" s="73"/>
      <c r="AD66" s="73" t="s">
        <v>65</v>
      </c>
      <c r="AE66" s="73" t="s">
        <v>61</v>
      </c>
    </row>
    <row r="67" spans="1:31" ht="55">
      <c r="A67" s="73" t="s">
        <v>671</v>
      </c>
      <c r="B67" s="73" t="s">
        <v>672</v>
      </c>
      <c r="C67" s="73" t="s">
        <v>673</v>
      </c>
      <c r="D67" s="73" t="s">
        <v>674</v>
      </c>
      <c r="E67" s="73" t="s">
        <v>675</v>
      </c>
      <c r="F67" s="73" t="s">
        <v>676</v>
      </c>
      <c r="G67" s="73" t="s">
        <v>103</v>
      </c>
      <c r="H67" s="65" t="s">
        <v>55</v>
      </c>
      <c r="I67" s="73" t="s">
        <v>678</v>
      </c>
      <c r="J67" s="65" t="s">
        <v>679</v>
      </c>
      <c r="K67" s="66" t="s">
        <v>142</v>
      </c>
      <c r="L67" s="73" t="s">
        <v>92</v>
      </c>
      <c r="M67" s="65" t="s">
        <v>389</v>
      </c>
      <c r="N67" s="65"/>
      <c r="O67" s="81" t="b">
        <v>1</v>
      </c>
      <c r="P67" s="85" t="b">
        <v>1</v>
      </c>
      <c r="Q67" s="75">
        <f>DATE(2024,10,15)+TIME(11,54,19)</f>
        <v>45580.496053240742</v>
      </c>
      <c r="R67" s="73" t="s">
        <v>61</v>
      </c>
      <c r="S67" s="73" t="s">
        <v>95</v>
      </c>
      <c r="T67" s="73"/>
      <c r="U67" s="73"/>
      <c r="V67" s="73"/>
      <c r="W67" s="73"/>
      <c r="X67" s="73"/>
      <c r="Y67" s="73"/>
      <c r="Z67" s="73" t="s">
        <v>62</v>
      </c>
      <c r="AA67" s="75">
        <f>DATE(2024,10,15)+TIME(11,58,41)</f>
        <v>45580.499085648145</v>
      </c>
      <c r="AB67" s="73" t="s">
        <v>96</v>
      </c>
      <c r="AC67" s="73" t="s">
        <v>64</v>
      </c>
      <c r="AD67" s="73" t="s">
        <v>65</v>
      </c>
      <c r="AE67" s="73" t="s">
        <v>61</v>
      </c>
    </row>
    <row r="68" spans="1:31" ht="38">
      <c r="A68" s="1" t="s">
        <v>260</v>
      </c>
      <c r="B68" s="1" t="s">
        <v>261</v>
      </c>
      <c r="C68" s="1" t="s">
        <v>262</v>
      </c>
      <c r="D68" s="1" t="s">
        <v>263</v>
      </c>
      <c r="E68" s="1" t="s">
        <v>264</v>
      </c>
      <c r="F68" s="1" t="s">
        <v>265</v>
      </c>
      <c r="G68" s="1" t="s">
        <v>103</v>
      </c>
      <c r="H68" s="71" t="s">
        <v>55</v>
      </c>
      <c r="I68" s="1"/>
      <c r="J68" s="71"/>
      <c r="K68" s="72" t="s">
        <v>142</v>
      </c>
      <c r="L68" s="1"/>
      <c r="M68" s="71"/>
      <c r="N68" s="71"/>
      <c r="O68" s="80" t="b">
        <v>1</v>
      </c>
      <c r="P68" s="84" t="b">
        <v>1</v>
      </c>
      <c r="Q68" s="2">
        <f>DATE(2024,10,15)+TIME(17,47,39)</f>
        <v>45580.741423611114</v>
      </c>
      <c r="R68" s="1" t="s">
        <v>95</v>
      </c>
      <c r="S68" s="1"/>
      <c r="T68" s="1"/>
      <c r="U68" s="1"/>
      <c r="V68" s="1"/>
      <c r="W68" s="1"/>
      <c r="X68" s="1"/>
      <c r="Y68" s="1"/>
      <c r="Z68" s="1" t="s">
        <v>62</v>
      </c>
      <c r="AA68" s="2">
        <f>DATE(2024,10,15)+TIME(17,47,51)</f>
        <v>45580.741562499999</v>
      </c>
      <c r="AB68" s="1" t="s">
        <v>96</v>
      </c>
      <c r="AC68" s="1" t="s">
        <v>64</v>
      </c>
      <c r="AD68" s="1" t="s">
        <v>65</v>
      </c>
      <c r="AE68" s="1" t="s">
        <v>61</v>
      </c>
    </row>
    <row r="69" spans="1:31" ht="38">
      <c r="A69" s="1" t="s">
        <v>340</v>
      </c>
      <c r="B69" s="1" t="s">
        <v>341</v>
      </c>
      <c r="C69" s="1" t="s">
        <v>342</v>
      </c>
      <c r="D69" s="1" t="s">
        <v>343</v>
      </c>
      <c r="E69" s="1" t="s">
        <v>344</v>
      </c>
      <c r="F69" s="1" t="s">
        <v>345</v>
      </c>
      <c r="G69" s="1" t="s">
        <v>209</v>
      </c>
      <c r="H69" s="65" t="s">
        <v>40</v>
      </c>
      <c r="I69" s="1" t="s">
        <v>90</v>
      </c>
      <c r="J69" s="107" t="s">
        <v>346</v>
      </c>
      <c r="K69" s="66" t="s">
        <v>89</v>
      </c>
      <c r="L69" s="1" t="s">
        <v>92</v>
      </c>
      <c r="M69" s="65" t="s">
        <v>347</v>
      </c>
      <c r="N69" s="65"/>
      <c r="O69" s="81" t="b">
        <v>0</v>
      </c>
      <c r="P69" s="85" t="b">
        <v>0</v>
      </c>
      <c r="Q69" s="2">
        <f>DATE(2024,10,16)+TIME(10,7,12)</f>
        <v>45581.421666666669</v>
      </c>
      <c r="R69" s="1" t="s">
        <v>61</v>
      </c>
      <c r="S69" s="1" t="s">
        <v>95</v>
      </c>
      <c r="T69" s="1"/>
      <c r="U69" s="1"/>
      <c r="V69" s="1"/>
      <c r="W69" s="1"/>
      <c r="X69" s="1"/>
      <c r="Y69" s="1"/>
      <c r="Z69" s="1" t="s">
        <v>62</v>
      </c>
      <c r="AA69" s="2">
        <f>DATE(2024,10,16)+TIME(10,32,37)</f>
        <v>45581.439317129632</v>
      </c>
      <c r="AB69" s="1" t="s">
        <v>135</v>
      </c>
      <c r="AC69" s="1" t="s">
        <v>64</v>
      </c>
      <c r="AD69" s="1" t="s">
        <v>65</v>
      </c>
      <c r="AE69" s="1" t="s">
        <v>61</v>
      </c>
    </row>
    <row r="70" spans="1:31" ht="55">
      <c r="A70" s="1" t="s">
        <v>278</v>
      </c>
      <c r="B70" s="1" t="s">
        <v>279</v>
      </c>
      <c r="C70" s="1" t="s">
        <v>280</v>
      </c>
      <c r="D70" s="1" t="s">
        <v>281</v>
      </c>
      <c r="E70" s="1" t="s">
        <v>264</v>
      </c>
      <c r="F70" s="1" t="s">
        <v>282</v>
      </c>
      <c r="G70" s="1" t="s">
        <v>167</v>
      </c>
      <c r="H70" s="65" t="s">
        <v>172</v>
      </c>
      <c r="I70" s="1" t="s">
        <v>90</v>
      </c>
      <c r="J70" s="65" t="s">
        <v>283</v>
      </c>
      <c r="K70" s="66" t="s">
        <v>89</v>
      </c>
      <c r="L70" s="1" t="s">
        <v>284</v>
      </c>
      <c r="M70" s="65"/>
      <c r="N70" s="65"/>
      <c r="O70" s="81" t="b">
        <v>0</v>
      </c>
      <c r="P70" s="85" t="b">
        <v>0</v>
      </c>
      <c r="Q70" s="2">
        <f>DATE(2024,10,15)+TIME(10,48,25)</f>
        <v>45580.450289351851</v>
      </c>
      <c r="R70" s="1" t="s">
        <v>61</v>
      </c>
      <c r="S70" s="1" t="s">
        <v>61</v>
      </c>
      <c r="T70" s="1" t="s">
        <v>222</v>
      </c>
      <c r="U70" s="1" t="s">
        <v>61</v>
      </c>
      <c r="V70" s="1"/>
      <c r="W70" s="1"/>
      <c r="X70" s="1"/>
      <c r="Y70" s="1"/>
      <c r="Z70" s="1" t="s">
        <v>62</v>
      </c>
      <c r="AA70" s="2">
        <f>DATE(2024,10,15)+TIME(10,58,54)</f>
        <v>45580.457569444443</v>
      </c>
      <c r="AB70" s="1" t="s">
        <v>285</v>
      </c>
      <c r="AC70" s="1" t="s">
        <v>64</v>
      </c>
      <c r="AD70" s="1" t="s">
        <v>65</v>
      </c>
      <c r="AE70" s="1" t="s">
        <v>61</v>
      </c>
    </row>
    <row r="71" spans="1:31" ht="54">
      <c r="A71" s="1" t="s">
        <v>81</v>
      </c>
      <c r="B71" s="1" t="s">
        <v>82</v>
      </c>
      <c r="C71" s="1" t="s">
        <v>83</v>
      </c>
      <c r="D71" s="1" t="s">
        <v>84</v>
      </c>
      <c r="E71" s="1" t="s">
        <v>85</v>
      </c>
      <c r="F71" s="1" t="s">
        <v>86</v>
      </c>
      <c r="G71" s="1" t="s">
        <v>87</v>
      </c>
      <c r="H71" s="69" t="s">
        <v>88</v>
      </c>
      <c r="I71" s="1" t="s">
        <v>90</v>
      </c>
      <c r="J71" s="69" t="s">
        <v>91</v>
      </c>
      <c r="K71" s="70" t="s">
        <v>89</v>
      </c>
      <c r="L71" s="1" t="s">
        <v>92</v>
      </c>
      <c r="M71" s="65" t="s">
        <v>93</v>
      </c>
      <c r="N71" s="65"/>
      <c r="O71" s="79" t="s">
        <v>94</v>
      </c>
      <c r="P71" s="101" t="s">
        <v>94</v>
      </c>
      <c r="Q71" s="2">
        <f>DATE(2024,10,15)+TIME(10,39,50)</f>
        <v>45580.444328703707</v>
      </c>
      <c r="R71" s="1" t="s">
        <v>61</v>
      </c>
      <c r="S71" s="1" t="s">
        <v>95</v>
      </c>
      <c r="T71" s="1"/>
      <c r="U71" s="1"/>
      <c r="V71" s="1"/>
      <c r="W71" s="1"/>
      <c r="X71" s="1"/>
      <c r="Y71" s="1"/>
      <c r="Z71" s="1" t="s">
        <v>62</v>
      </c>
      <c r="AA71" s="2">
        <f>DATE(2024,10,15)+TIME(10,56,0)</f>
        <v>45580.455555555556</v>
      </c>
      <c r="AB71" s="1" t="s">
        <v>96</v>
      </c>
      <c r="AC71" s="1" t="s">
        <v>64</v>
      </c>
      <c r="AD71" s="1" t="s">
        <v>65</v>
      </c>
      <c r="AE71" s="1" t="s">
        <v>61</v>
      </c>
    </row>
    <row r="72" spans="1:31" ht="54">
      <c r="A72" s="73" t="s">
        <v>371</v>
      </c>
      <c r="B72" s="73" t="s">
        <v>372</v>
      </c>
      <c r="C72" s="73" t="s">
        <v>373</v>
      </c>
      <c r="D72" s="73" t="s">
        <v>374</v>
      </c>
      <c r="E72" s="73" t="s">
        <v>375</v>
      </c>
      <c r="F72" s="73" t="s">
        <v>376</v>
      </c>
      <c r="G72" s="73" t="s">
        <v>87</v>
      </c>
      <c r="H72" s="65" t="s">
        <v>88</v>
      </c>
      <c r="I72" s="73" t="s">
        <v>57</v>
      </c>
      <c r="J72" s="65" t="s">
        <v>377</v>
      </c>
      <c r="K72" s="66" t="s">
        <v>89</v>
      </c>
      <c r="L72" s="73" t="s">
        <v>92</v>
      </c>
      <c r="M72" s="65" t="s">
        <v>93</v>
      </c>
      <c r="N72" s="65"/>
      <c r="O72" s="81" t="s">
        <v>94</v>
      </c>
      <c r="P72" s="101" t="s">
        <v>94</v>
      </c>
      <c r="Q72" s="75">
        <f>DATE(2024,10,15)+TIME(13,4,27)</f>
        <v>45580.544756944444</v>
      </c>
      <c r="R72" s="73" t="s">
        <v>61</v>
      </c>
      <c r="S72" s="73" t="s">
        <v>95</v>
      </c>
      <c r="T72" s="73"/>
      <c r="U72" s="73"/>
      <c r="V72" s="73"/>
      <c r="W72" s="73"/>
      <c r="X72" s="73"/>
      <c r="Y72" s="73"/>
      <c r="Z72" s="73" t="s">
        <v>62</v>
      </c>
      <c r="AA72" s="75">
        <f>DATE(2024,10,15)+TIME(13,4,41)</f>
        <v>45580.544918981483</v>
      </c>
      <c r="AB72" s="73" t="s">
        <v>135</v>
      </c>
      <c r="AC72" s="73" t="s">
        <v>64</v>
      </c>
      <c r="AD72" s="73" t="s">
        <v>65</v>
      </c>
      <c r="AE72" s="73" t="s">
        <v>61</v>
      </c>
    </row>
    <row r="73" spans="1:31" ht="54">
      <c r="A73" s="73" t="s">
        <v>406</v>
      </c>
      <c r="B73" s="73" t="s">
        <v>407</v>
      </c>
      <c r="C73" s="73" t="s">
        <v>408</v>
      </c>
      <c r="D73" s="73" t="s">
        <v>409</v>
      </c>
      <c r="E73" s="73" t="s">
        <v>410</v>
      </c>
      <c r="F73" s="73" t="s">
        <v>411</v>
      </c>
      <c r="G73" s="73" t="s">
        <v>87</v>
      </c>
      <c r="H73" s="65" t="s">
        <v>88</v>
      </c>
      <c r="I73" s="73" t="s">
        <v>90</v>
      </c>
      <c r="J73" s="65" t="s">
        <v>412</v>
      </c>
      <c r="K73" s="66" t="s">
        <v>89</v>
      </c>
      <c r="L73" s="73" t="s">
        <v>413</v>
      </c>
      <c r="M73" s="65" t="s">
        <v>414</v>
      </c>
      <c r="N73" s="65"/>
      <c r="O73" s="81" t="s">
        <v>94</v>
      </c>
      <c r="P73" s="101" t="s">
        <v>94</v>
      </c>
      <c r="Q73" s="75">
        <f>DATE(2024,10,15)+TIME(9,43,21)</f>
        <v>45580.405104166668</v>
      </c>
      <c r="R73" s="73" t="s">
        <v>61</v>
      </c>
      <c r="S73" s="73" t="s">
        <v>95</v>
      </c>
      <c r="T73" s="73"/>
      <c r="U73" s="73"/>
      <c r="V73" s="73"/>
      <c r="W73" s="73"/>
      <c r="X73" s="73"/>
      <c r="Y73" s="73"/>
      <c r="Z73" s="73" t="s">
        <v>62</v>
      </c>
      <c r="AA73" s="75">
        <f>DATE(2024,10,15)+TIME(9,44,1)</f>
        <v>45580.40556712963</v>
      </c>
      <c r="AB73" s="73" t="s">
        <v>96</v>
      </c>
      <c r="AC73" s="73" t="s">
        <v>64</v>
      </c>
      <c r="AD73" s="73" t="s">
        <v>65</v>
      </c>
      <c r="AE73" s="73" t="s">
        <v>61</v>
      </c>
    </row>
    <row r="74" spans="1:31" ht="54">
      <c r="A74" s="1" t="s">
        <v>515</v>
      </c>
      <c r="B74" s="1" t="s">
        <v>516</v>
      </c>
      <c r="C74" s="1" t="s">
        <v>517</v>
      </c>
      <c r="D74" s="1" t="s">
        <v>518</v>
      </c>
      <c r="E74" s="1" t="s">
        <v>85</v>
      </c>
      <c r="F74" s="1" t="s">
        <v>519</v>
      </c>
      <c r="G74" s="1" t="s">
        <v>87</v>
      </c>
      <c r="H74" s="71" t="s">
        <v>88</v>
      </c>
      <c r="I74" s="1" t="s">
        <v>90</v>
      </c>
      <c r="J74" s="71" t="s">
        <v>946</v>
      </c>
      <c r="K74" s="72" t="s">
        <v>89</v>
      </c>
      <c r="L74" s="1" t="s">
        <v>521</v>
      </c>
      <c r="M74" s="65" t="s">
        <v>93</v>
      </c>
      <c r="N74" s="65"/>
      <c r="O74" s="81" t="s">
        <v>94</v>
      </c>
      <c r="P74" s="101" t="s">
        <v>94</v>
      </c>
      <c r="Q74" s="2">
        <f>DATE(2024,10,14)+TIME(11,2,32)</f>
        <v>45579.460092592592</v>
      </c>
      <c r="R74" s="1" t="s">
        <v>61</v>
      </c>
      <c r="S74" s="1" t="s">
        <v>95</v>
      </c>
      <c r="T74" s="1"/>
      <c r="U74" s="1"/>
      <c r="V74" s="1"/>
      <c r="W74" s="1"/>
      <c r="X74" s="1"/>
      <c r="Y74" s="1"/>
      <c r="Z74" s="1" t="s">
        <v>62</v>
      </c>
      <c r="AA74" s="2">
        <f>DATE(2024,10,14)+TIME(11,3,30)</f>
        <v>45579.460763888892</v>
      </c>
      <c r="AB74" s="1" t="s">
        <v>146</v>
      </c>
      <c r="AC74" s="1" t="s">
        <v>64</v>
      </c>
      <c r="AD74" s="1" t="s">
        <v>65</v>
      </c>
      <c r="AE74" s="1" t="s">
        <v>61</v>
      </c>
    </row>
    <row r="75" spans="1:31" ht="54">
      <c r="A75" s="1" t="s">
        <v>643</v>
      </c>
      <c r="B75" s="1" t="s">
        <v>644</v>
      </c>
      <c r="C75" s="1" t="s">
        <v>645</v>
      </c>
      <c r="D75" s="1" t="s">
        <v>646</v>
      </c>
      <c r="E75" s="1" t="s">
        <v>647</v>
      </c>
      <c r="F75" s="1" t="s">
        <v>648</v>
      </c>
      <c r="G75" s="1" t="s">
        <v>87</v>
      </c>
      <c r="H75" s="65" t="s">
        <v>88</v>
      </c>
      <c r="I75" s="1" t="s">
        <v>649</v>
      </c>
      <c r="J75" s="65" t="s">
        <v>650</v>
      </c>
      <c r="K75" s="66" t="s">
        <v>89</v>
      </c>
      <c r="L75" s="1"/>
      <c r="M75" s="65" t="s">
        <v>93</v>
      </c>
      <c r="N75" s="65"/>
      <c r="O75" s="81" t="s">
        <v>94</v>
      </c>
      <c r="P75" s="101" t="s">
        <v>94</v>
      </c>
      <c r="Q75" s="2">
        <f>DATE(2024,10,15)+TIME(10,48,35)</f>
        <v>45580.45040509259</v>
      </c>
      <c r="R75" s="1" t="s">
        <v>95</v>
      </c>
      <c r="S75" s="1"/>
      <c r="T75" s="1"/>
      <c r="U75" s="1"/>
      <c r="V75" s="1"/>
      <c r="W75" s="1"/>
      <c r="X75" s="1"/>
      <c r="Y75" s="1"/>
      <c r="Z75" s="1" t="s">
        <v>62</v>
      </c>
      <c r="AA75" s="2">
        <f>DATE(2024,10,15)+TIME(10,55,58)</f>
        <v>45580.45553240741</v>
      </c>
      <c r="AB75" s="1" t="s">
        <v>63</v>
      </c>
      <c r="AC75" s="1" t="s">
        <v>64</v>
      </c>
      <c r="AD75" s="1" t="s">
        <v>65</v>
      </c>
      <c r="AE75" s="1" t="s">
        <v>61</v>
      </c>
    </row>
    <row r="76" spans="1:31" ht="54">
      <c r="A76" s="1" t="s">
        <v>594</v>
      </c>
      <c r="B76" s="1" t="s">
        <v>595</v>
      </c>
      <c r="C76" s="1" t="s">
        <v>596</v>
      </c>
      <c r="D76" s="1" t="s">
        <v>597</v>
      </c>
      <c r="E76" s="1" t="s">
        <v>598</v>
      </c>
      <c r="F76" s="1" t="s">
        <v>599</v>
      </c>
      <c r="G76" s="1" t="s">
        <v>103</v>
      </c>
      <c r="H76" s="65" t="s">
        <v>88</v>
      </c>
      <c r="I76" s="1"/>
      <c r="J76" s="65"/>
      <c r="K76" s="66" t="s">
        <v>89</v>
      </c>
      <c r="L76" s="1"/>
      <c r="M76" s="65" t="s">
        <v>93</v>
      </c>
      <c r="N76" s="65"/>
      <c r="O76" s="101" t="s">
        <v>94</v>
      </c>
      <c r="P76" s="101" t="s">
        <v>94</v>
      </c>
      <c r="Q76" s="2">
        <f>DATE(2024,10,16)+TIME(10,18,8)</f>
        <v>45581.429259259261</v>
      </c>
      <c r="R76" s="1" t="s">
        <v>95</v>
      </c>
      <c r="S76" s="1"/>
      <c r="T76" s="1"/>
      <c r="U76" s="1"/>
      <c r="V76" s="1"/>
      <c r="W76" s="1"/>
      <c r="X76" s="1"/>
      <c r="Y76" s="1"/>
      <c r="Z76" s="1" t="s">
        <v>62</v>
      </c>
      <c r="AA76" s="2">
        <f>DATE(2024,10,16)+TIME(10,27,47)</f>
        <v>45581.435960648145</v>
      </c>
      <c r="AB76" s="1" t="s">
        <v>600</v>
      </c>
      <c r="AC76" s="1" t="s">
        <v>64</v>
      </c>
      <c r="AD76" s="1" t="s">
        <v>65</v>
      </c>
      <c r="AE76" s="1" t="s">
        <v>61</v>
      </c>
    </row>
    <row r="77" spans="1:31" ht="37">
      <c r="A77" s="1" t="s">
        <v>601</v>
      </c>
      <c r="B77" s="1" t="s">
        <v>602</v>
      </c>
      <c r="C77" s="1" t="s">
        <v>603</v>
      </c>
      <c r="D77" s="1" t="s">
        <v>604</v>
      </c>
      <c r="E77" s="1" t="s">
        <v>296</v>
      </c>
      <c r="F77" s="1" t="s">
        <v>605</v>
      </c>
      <c r="G77" s="1" t="s">
        <v>185</v>
      </c>
      <c r="H77" s="69" t="s">
        <v>88</v>
      </c>
      <c r="I77" s="1" t="s">
        <v>90</v>
      </c>
      <c r="J77" s="69" t="s">
        <v>606</v>
      </c>
      <c r="K77" s="70" t="s">
        <v>89</v>
      </c>
      <c r="L77" s="1" t="s">
        <v>92</v>
      </c>
      <c r="M77" s="69" t="s">
        <v>93</v>
      </c>
      <c r="N77" s="69"/>
      <c r="O77" s="197" t="s">
        <v>94</v>
      </c>
      <c r="P77" s="197" t="s">
        <v>94</v>
      </c>
      <c r="Q77" s="2">
        <f>DATE(2024,10,15)+TIME(15,17,9)</f>
        <v>45580.63690972222</v>
      </c>
      <c r="R77" s="1" t="s">
        <v>61</v>
      </c>
      <c r="S77" s="1" t="s">
        <v>95</v>
      </c>
      <c r="T77" s="1"/>
      <c r="U77" s="1"/>
      <c r="V77" s="1"/>
      <c r="W77" s="1"/>
      <c r="X77" s="1"/>
      <c r="Y77" s="1"/>
      <c r="Z77" s="1" t="s">
        <v>62</v>
      </c>
      <c r="AA77" s="2">
        <f>DATE(2024,10,15)+TIME(17,40,28)</f>
        <v>45580.736435185187</v>
      </c>
      <c r="AB77" s="1" t="s">
        <v>444</v>
      </c>
      <c r="AC77" s="1" t="s">
        <v>64</v>
      </c>
      <c r="AD77" s="1" t="s">
        <v>65</v>
      </c>
      <c r="AE77" s="1" t="s">
        <v>61</v>
      </c>
    </row>
    <row r="78" spans="1:31" ht="71">
      <c r="A78" s="73" t="s">
        <v>244</v>
      </c>
      <c r="B78" s="73" t="s">
        <v>245</v>
      </c>
      <c r="C78" s="73" t="s">
        <v>246</v>
      </c>
      <c r="D78" s="73" t="s">
        <v>247</v>
      </c>
      <c r="E78" s="73" t="s">
        <v>248</v>
      </c>
      <c r="F78" s="73" t="s">
        <v>249</v>
      </c>
      <c r="G78" s="73" t="s">
        <v>185</v>
      </c>
      <c r="H78" s="65" t="s">
        <v>123</v>
      </c>
      <c r="I78" s="73" t="s">
        <v>250</v>
      </c>
      <c r="J78" s="65" t="s">
        <v>251</v>
      </c>
      <c r="K78" s="66" t="s">
        <v>89</v>
      </c>
      <c r="L78" s="73" t="s">
        <v>92</v>
      </c>
      <c r="M78" s="65" t="s">
        <v>252</v>
      </c>
      <c r="N78" s="65" t="s">
        <v>187</v>
      </c>
      <c r="O78" s="81" t="b">
        <v>1</v>
      </c>
      <c r="P78" s="86" t="b">
        <v>1</v>
      </c>
      <c r="Q78" s="75">
        <f>DATE(2024,10,15)+TIME(11,22,33)</f>
        <v>45580.473993055559</v>
      </c>
      <c r="R78" s="73" t="s">
        <v>61</v>
      </c>
      <c r="S78" s="73" t="s">
        <v>95</v>
      </c>
      <c r="T78" s="73"/>
      <c r="U78" s="73"/>
      <c r="V78" s="73"/>
      <c r="W78" s="73"/>
      <c r="X78" s="73"/>
      <c r="Y78" s="73"/>
      <c r="Z78" s="73" t="s">
        <v>62</v>
      </c>
      <c r="AA78" s="75">
        <f>DATE(2024,10,15)+TIME(11,23,24)</f>
        <v>45580.474583333336</v>
      </c>
      <c r="AB78" s="73" t="s">
        <v>253</v>
      </c>
      <c r="AC78" s="73" t="s">
        <v>64</v>
      </c>
      <c r="AD78" s="73" t="s">
        <v>65</v>
      </c>
      <c r="AE78" s="73" t="s">
        <v>61</v>
      </c>
    </row>
    <row r="79" spans="1:31" s="33" customFormat="1" ht="72">
      <c r="A79" s="73" t="s">
        <v>689</v>
      </c>
      <c r="B79" s="73" t="s">
        <v>690</v>
      </c>
      <c r="C79" s="73" t="s">
        <v>691</v>
      </c>
      <c r="D79" s="73" t="s">
        <v>692</v>
      </c>
      <c r="E79" s="73" t="s">
        <v>693</v>
      </c>
      <c r="F79" s="73" t="s">
        <v>694</v>
      </c>
      <c r="G79" s="73" t="s">
        <v>185</v>
      </c>
      <c r="H79" s="65" t="s">
        <v>123</v>
      </c>
      <c r="I79" s="73" t="s">
        <v>695</v>
      </c>
      <c r="J79" s="65" t="s">
        <v>696</v>
      </c>
      <c r="K79" s="66" t="s">
        <v>89</v>
      </c>
      <c r="L79" s="73" t="s">
        <v>697</v>
      </c>
      <c r="M79" s="65" t="s">
        <v>362</v>
      </c>
      <c r="N79" s="65"/>
      <c r="O79" s="81" t="b">
        <v>1</v>
      </c>
      <c r="P79" s="85" t="b">
        <v>1</v>
      </c>
      <c r="Q79" s="75">
        <f>DATE(2024,10,15)+TIME(10,39,45)</f>
        <v>45580.44427083333</v>
      </c>
      <c r="R79" s="73" t="s">
        <v>61</v>
      </c>
      <c r="S79" s="73" t="s">
        <v>95</v>
      </c>
      <c r="T79" s="73"/>
      <c r="U79" s="73"/>
      <c r="V79" s="73"/>
      <c r="W79" s="73"/>
      <c r="X79" s="73"/>
      <c r="Y79" s="73"/>
      <c r="Z79" s="73" t="s">
        <v>62</v>
      </c>
      <c r="AA79" s="75">
        <f>DATE(2024,10,15)+TIME(11,5,32)</f>
        <v>45580.462175925924</v>
      </c>
      <c r="AB79" s="73" t="s">
        <v>465</v>
      </c>
      <c r="AC79" s="73" t="s">
        <v>64</v>
      </c>
      <c r="AD79" s="73" t="s">
        <v>65</v>
      </c>
      <c r="AE79" s="73" t="s">
        <v>61</v>
      </c>
    </row>
    <row r="80" spans="1:31" s="33" customFormat="1" ht="38">
      <c r="A80" s="73" t="s">
        <v>162</v>
      </c>
      <c r="B80" s="73" t="s">
        <v>872</v>
      </c>
      <c r="C80" s="73" t="s">
        <v>873</v>
      </c>
      <c r="D80" s="73" t="s">
        <v>874</v>
      </c>
      <c r="E80" s="73" t="s">
        <v>875</v>
      </c>
      <c r="F80" s="73" t="s">
        <v>876</v>
      </c>
      <c r="G80" s="73" t="s">
        <v>185</v>
      </c>
      <c r="H80" s="65" t="s">
        <v>123</v>
      </c>
      <c r="I80" s="73" t="s">
        <v>90</v>
      </c>
      <c r="J80" s="65" t="s">
        <v>877</v>
      </c>
      <c r="K80" s="66" t="s">
        <v>89</v>
      </c>
      <c r="L80" s="73" t="s">
        <v>92</v>
      </c>
      <c r="M80" s="65" t="s">
        <v>878</v>
      </c>
      <c r="N80" s="65"/>
      <c r="O80" s="81" t="b">
        <v>1</v>
      </c>
      <c r="P80" s="85" t="b">
        <v>1</v>
      </c>
      <c r="Q80" s="75">
        <f>DATE(2024,10,15)+TIME(15,20,42)</f>
        <v>45580.639374999999</v>
      </c>
      <c r="R80" s="73" t="s">
        <v>61</v>
      </c>
      <c r="S80" s="73"/>
      <c r="T80" s="73"/>
      <c r="U80" s="73"/>
      <c r="V80" s="73"/>
      <c r="W80" s="73"/>
      <c r="X80" s="73"/>
      <c r="Y80" s="73"/>
      <c r="Z80" s="73" t="s">
        <v>62</v>
      </c>
      <c r="AA80" s="75">
        <f>DATE(2024,10,15)+TIME(17,43,29)</f>
        <v>45580.738530092596</v>
      </c>
      <c r="AB80" s="73" t="s">
        <v>96</v>
      </c>
      <c r="AC80" s="73" t="s">
        <v>64</v>
      </c>
      <c r="AD80" s="73" t="s">
        <v>65</v>
      </c>
      <c r="AE80" s="73" t="s">
        <v>61</v>
      </c>
    </row>
    <row r="81" spans="1:31" ht="72">
      <c r="A81" s="1" t="s">
        <v>714</v>
      </c>
      <c r="B81" s="1" t="s">
        <v>715</v>
      </c>
      <c r="C81" s="1" t="s">
        <v>716</v>
      </c>
      <c r="D81" s="1" t="s">
        <v>717</v>
      </c>
      <c r="E81" s="1" t="s">
        <v>718</v>
      </c>
      <c r="F81" s="1" t="s">
        <v>719</v>
      </c>
      <c r="G81" s="1" t="s">
        <v>103</v>
      </c>
      <c r="H81" s="110" t="s">
        <v>40</v>
      </c>
      <c r="I81" s="1"/>
      <c r="J81" s="110"/>
      <c r="K81" s="111" t="s">
        <v>89</v>
      </c>
      <c r="L81" s="1"/>
      <c r="M81" s="110"/>
      <c r="N81" s="110"/>
      <c r="O81" s="113" t="b">
        <v>0</v>
      </c>
      <c r="P81" s="114" t="b">
        <v>0</v>
      </c>
      <c r="Q81" s="2">
        <f>DATE(2024,10,16)+TIME(10,27,41)</f>
        <v>45581.435891203706</v>
      </c>
      <c r="R81" s="1" t="s">
        <v>95</v>
      </c>
      <c r="S81" s="1"/>
      <c r="T81" s="1"/>
      <c r="U81" s="1"/>
      <c r="V81" s="1"/>
      <c r="W81" s="1"/>
      <c r="X81" s="1"/>
      <c r="Y81" s="1"/>
      <c r="Z81" s="1" t="s">
        <v>62</v>
      </c>
      <c r="AA81" s="2">
        <f>DATE(2024,10,16)+TIME(10,27,47)</f>
        <v>45581.435960648145</v>
      </c>
      <c r="AB81" s="1" t="s">
        <v>96</v>
      </c>
      <c r="AC81" s="1" t="s">
        <v>64</v>
      </c>
      <c r="AD81" s="1" t="s">
        <v>65</v>
      </c>
      <c r="AE81" s="1" t="s">
        <v>61</v>
      </c>
    </row>
    <row r="82" spans="1:31" s="33" customFormat="1" ht="55">
      <c r="A82" s="73" t="s">
        <v>735</v>
      </c>
      <c r="B82" s="73" t="s">
        <v>736</v>
      </c>
      <c r="C82" s="73" t="s">
        <v>737</v>
      </c>
      <c r="D82" s="73" t="s">
        <v>738</v>
      </c>
      <c r="E82" s="73" t="s">
        <v>739</v>
      </c>
      <c r="F82" s="73" t="s">
        <v>740</v>
      </c>
      <c r="G82" s="73" t="s">
        <v>209</v>
      </c>
      <c r="H82" s="65" t="s">
        <v>172</v>
      </c>
      <c r="I82" s="73" t="s">
        <v>741</v>
      </c>
      <c r="J82" s="65"/>
      <c r="K82" s="66" t="s">
        <v>89</v>
      </c>
      <c r="L82" s="73" t="s">
        <v>107</v>
      </c>
      <c r="M82" s="65"/>
      <c r="N82" s="65"/>
      <c r="O82" s="81" t="b">
        <v>0</v>
      </c>
      <c r="P82" s="85" t="b">
        <v>0</v>
      </c>
      <c r="Q82" s="75">
        <f>DATE(2024,10,15)+TIME(9,57,21)</f>
        <v>45580.414826388886</v>
      </c>
      <c r="R82" s="73" t="s">
        <v>61</v>
      </c>
      <c r="S82" s="73" t="s">
        <v>95</v>
      </c>
      <c r="T82" s="73"/>
      <c r="U82" s="73"/>
      <c r="V82" s="73"/>
      <c r="W82" s="73"/>
      <c r="X82" s="73"/>
      <c r="Y82" s="73"/>
      <c r="Z82" s="73" t="s">
        <v>62</v>
      </c>
      <c r="AA82" s="75">
        <f>DATE(2024,10,15)+TIME(17,43,48)</f>
        <v>45580.738749999997</v>
      </c>
      <c r="AB82" s="73" t="s">
        <v>742</v>
      </c>
      <c r="AC82" s="73" t="s">
        <v>64</v>
      </c>
      <c r="AD82" s="73" t="s">
        <v>65</v>
      </c>
      <c r="AE82" s="73" t="s">
        <v>61</v>
      </c>
    </row>
    <row r="83" spans="1:31" ht="123">
      <c r="A83" s="73" t="s">
        <v>947</v>
      </c>
      <c r="B83" s="73" t="s">
        <v>948</v>
      </c>
      <c r="C83" s="73" t="s">
        <v>949</v>
      </c>
      <c r="D83" s="73" t="s">
        <v>950</v>
      </c>
      <c r="E83" s="73"/>
      <c r="F83" s="73"/>
      <c r="G83" s="73" t="s">
        <v>71</v>
      </c>
      <c r="H83" s="65" t="s">
        <v>55</v>
      </c>
      <c r="I83" s="73" t="s">
        <v>90</v>
      </c>
      <c r="J83" s="65" t="s">
        <v>951</v>
      </c>
      <c r="K83" s="66" t="s">
        <v>89</v>
      </c>
      <c r="L83" s="73" t="s">
        <v>231</v>
      </c>
      <c r="M83" s="93" t="s">
        <v>952</v>
      </c>
      <c r="N83" s="65"/>
      <c r="O83" s="81" t="b">
        <v>1</v>
      </c>
      <c r="P83" s="85" t="b">
        <v>1</v>
      </c>
      <c r="Q83" s="75">
        <f>DATE(2024,10,15)+TIME(10,57,56)</f>
        <v>45580.45689814815</v>
      </c>
      <c r="R83" s="73" t="s">
        <v>95</v>
      </c>
      <c r="S83" s="73"/>
      <c r="T83" s="73"/>
      <c r="U83" s="73"/>
      <c r="V83" s="73"/>
      <c r="W83" s="73"/>
      <c r="X83" s="73"/>
      <c r="Y83" s="73" t="s">
        <v>327</v>
      </c>
      <c r="Z83" s="73" t="s">
        <v>80</v>
      </c>
      <c r="AA83" s="75">
        <f>DATE(2024,10,15)+TIME(12,20,39)</f>
        <v>45580.514340277776</v>
      </c>
      <c r="AB83" s="73"/>
      <c r="AC83" s="73"/>
      <c r="AD83" s="73" t="s">
        <v>65</v>
      </c>
      <c r="AE83" s="73" t="s">
        <v>61</v>
      </c>
    </row>
    <row r="84" spans="1:31" ht="72">
      <c r="A84" s="73" t="s">
        <v>378</v>
      </c>
      <c r="B84" s="73" t="s">
        <v>379</v>
      </c>
      <c r="C84" s="73"/>
      <c r="D84" s="73" t="s">
        <v>380</v>
      </c>
      <c r="E84" s="73" t="s">
        <v>381</v>
      </c>
      <c r="F84" s="73"/>
      <c r="G84" s="73" t="s">
        <v>71</v>
      </c>
      <c r="H84" s="65" t="s">
        <v>55</v>
      </c>
      <c r="I84" s="73" t="s">
        <v>382</v>
      </c>
      <c r="J84" s="65" t="s">
        <v>383</v>
      </c>
      <c r="K84" s="66" t="s">
        <v>89</v>
      </c>
      <c r="L84" s="73" t="s">
        <v>231</v>
      </c>
      <c r="M84" s="93" t="s">
        <v>384</v>
      </c>
      <c r="N84" s="65"/>
      <c r="O84" s="81" t="b">
        <v>1</v>
      </c>
      <c r="P84" s="85" t="b">
        <v>1</v>
      </c>
      <c r="Q84" s="75">
        <f>DATE(2024,10,15)+TIME(14,58,45)</f>
        <v>45580.624131944445</v>
      </c>
      <c r="R84" s="73" t="s">
        <v>61</v>
      </c>
      <c r="S84" s="73" t="s">
        <v>95</v>
      </c>
      <c r="T84" s="73"/>
      <c r="U84" s="73"/>
      <c r="V84" s="73"/>
      <c r="W84" s="73"/>
      <c r="X84" s="73"/>
      <c r="Y84" s="73" t="s">
        <v>79</v>
      </c>
      <c r="Z84" s="73" t="s">
        <v>80</v>
      </c>
      <c r="AA84" s="75">
        <f>DATE(2024,10,15)+TIME(17,21,57)</f>
        <v>45580.723576388889</v>
      </c>
      <c r="AB84" s="73"/>
      <c r="AC84" s="73"/>
      <c r="AD84" s="73" t="s">
        <v>65</v>
      </c>
      <c r="AE84" s="73" t="s">
        <v>61</v>
      </c>
    </row>
    <row r="85" spans="1:31" ht="89">
      <c r="A85" s="122" t="s">
        <v>493</v>
      </c>
      <c r="B85" s="122" t="s">
        <v>636</v>
      </c>
      <c r="C85" s="125" t="s">
        <v>637</v>
      </c>
      <c r="D85" s="122" t="s">
        <v>638</v>
      </c>
      <c r="E85" s="122" t="s">
        <v>296</v>
      </c>
      <c r="F85" s="122"/>
      <c r="G85" s="122" t="s">
        <v>71</v>
      </c>
      <c r="H85" s="71" t="s">
        <v>55</v>
      </c>
      <c r="I85" s="122" t="s">
        <v>639</v>
      </c>
      <c r="J85" s="71" t="s">
        <v>640</v>
      </c>
      <c r="K85" s="72" t="s">
        <v>89</v>
      </c>
      <c r="L85" s="122" t="s">
        <v>641</v>
      </c>
      <c r="M85" s="93" t="s">
        <v>642</v>
      </c>
      <c r="N85" s="65"/>
      <c r="O85" s="81" t="b">
        <v>1</v>
      </c>
      <c r="P85" s="85" t="b">
        <v>1</v>
      </c>
      <c r="Q85" s="123">
        <f>DATE(2024,10,14)+TIME(15,10,3)</f>
        <v>45579.631979166668</v>
      </c>
      <c r="R85" s="122" t="s">
        <v>61</v>
      </c>
      <c r="S85" s="122" t="s">
        <v>95</v>
      </c>
      <c r="T85" s="122"/>
      <c r="U85" s="122"/>
      <c r="V85" s="122"/>
      <c r="W85" s="122"/>
      <c r="X85" s="122"/>
      <c r="Y85" s="122" t="s">
        <v>79</v>
      </c>
      <c r="Z85" s="122" t="s">
        <v>80</v>
      </c>
      <c r="AA85" s="123">
        <f>DATE(2024,10,14)+TIME(16,49,8)</f>
        <v>45579.700787037036</v>
      </c>
      <c r="AB85" s="122"/>
      <c r="AC85" s="122"/>
      <c r="AD85" s="122" t="s">
        <v>65</v>
      </c>
      <c r="AE85" s="122" t="s">
        <v>61</v>
      </c>
    </row>
    <row r="86" spans="1:31" ht="37">
      <c r="A86" s="1" t="s">
        <v>109</v>
      </c>
      <c r="B86" s="1" t="s">
        <v>110</v>
      </c>
      <c r="C86" s="1" t="s">
        <v>111</v>
      </c>
      <c r="D86" s="1" t="s">
        <v>112</v>
      </c>
      <c r="E86" s="1" t="s">
        <v>113</v>
      </c>
      <c r="F86" s="1" t="s">
        <v>114</v>
      </c>
      <c r="G86" s="1" t="s">
        <v>103</v>
      </c>
      <c r="H86" s="110" t="s">
        <v>88</v>
      </c>
      <c r="I86" s="1"/>
      <c r="J86" s="110"/>
      <c r="K86" s="111" t="s">
        <v>41</v>
      </c>
      <c r="L86" s="1"/>
      <c r="M86" s="194" t="s">
        <v>93</v>
      </c>
      <c r="N86" s="110"/>
      <c r="O86" s="120" t="s">
        <v>94</v>
      </c>
      <c r="P86" s="120" t="s">
        <v>94</v>
      </c>
      <c r="Q86" s="2">
        <f>DATE(2024,10,16)+TIME(14,44,40)</f>
        <v>45581.614351851851</v>
      </c>
      <c r="R86" s="1" t="s">
        <v>95</v>
      </c>
      <c r="S86" s="1"/>
      <c r="T86" s="1"/>
      <c r="U86" s="1"/>
      <c r="V86" s="1"/>
      <c r="W86" s="1"/>
      <c r="X86" s="1"/>
      <c r="Y86" s="1"/>
      <c r="Z86" s="1" t="s">
        <v>62</v>
      </c>
      <c r="AA86" s="2">
        <f>DATE(2024,10,16)+TIME(14,44,46)</f>
        <v>45581.614421296297</v>
      </c>
      <c r="AB86" s="1" t="s">
        <v>63</v>
      </c>
      <c r="AC86" s="1" t="s">
        <v>64</v>
      </c>
      <c r="AD86" s="1" t="s">
        <v>65</v>
      </c>
      <c r="AE86" s="1" t="s">
        <v>61</v>
      </c>
    </row>
    <row r="87" spans="1:31" s="33" customFormat="1" ht="38">
      <c r="A87" s="73" t="s">
        <v>385</v>
      </c>
      <c r="B87" s="73" t="s">
        <v>386</v>
      </c>
      <c r="C87" s="73" t="s">
        <v>387</v>
      </c>
      <c r="D87" s="73" t="s">
        <v>380</v>
      </c>
      <c r="E87" s="73" t="s">
        <v>296</v>
      </c>
      <c r="F87" s="73" t="s">
        <v>388</v>
      </c>
      <c r="G87" s="73" t="s">
        <v>209</v>
      </c>
      <c r="H87" s="65" t="s">
        <v>55</v>
      </c>
      <c r="I87" s="73" t="s">
        <v>90</v>
      </c>
      <c r="J87" s="65"/>
      <c r="K87" s="66" t="s">
        <v>41</v>
      </c>
      <c r="L87" s="73" t="s">
        <v>92</v>
      </c>
      <c r="M87" s="65" t="s">
        <v>389</v>
      </c>
      <c r="N87" s="65"/>
      <c r="O87" s="81" t="b">
        <v>1</v>
      </c>
      <c r="P87" s="85" t="b">
        <v>1</v>
      </c>
      <c r="Q87" s="75">
        <f>DATE(2024,10,15)+TIME(10,39,45)</f>
        <v>45580.44427083333</v>
      </c>
      <c r="R87" s="73" t="s">
        <v>61</v>
      </c>
      <c r="S87" s="73" t="s">
        <v>95</v>
      </c>
      <c r="T87" s="73"/>
      <c r="U87" s="73"/>
      <c r="V87" s="73"/>
      <c r="W87" s="73"/>
      <c r="X87" s="73"/>
      <c r="Y87" s="73"/>
      <c r="Z87" s="73" t="s">
        <v>62</v>
      </c>
      <c r="AA87" s="75">
        <f>DATE(2024,10,15)+TIME(17,43,48)</f>
        <v>45580.738749999997</v>
      </c>
      <c r="AB87" s="73" t="s">
        <v>390</v>
      </c>
      <c r="AC87" s="73" t="s">
        <v>64</v>
      </c>
      <c r="AD87" s="73" t="s">
        <v>65</v>
      </c>
      <c r="AE87" s="73" t="s">
        <v>61</v>
      </c>
    </row>
    <row r="88" spans="1:31" s="33" customFormat="1" ht="38">
      <c r="A88" s="122" t="s">
        <v>451</v>
      </c>
      <c r="B88" s="122" t="s">
        <v>452</v>
      </c>
      <c r="C88" s="122" t="s">
        <v>453</v>
      </c>
      <c r="D88" s="122" t="s">
        <v>454</v>
      </c>
      <c r="E88" s="122" t="s">
        <v>344</v>
      </c>
      <c r="F88" s="122" t="s">
        <v>455</v>
      </c>
      <c r="G88" s="122" t="s">
        <v>209</v>
      </c>
      <c r="H88" s="71" t="s">
        <v>40</v>
      </c>
      <c r="I88" s="122" t="s">
        <v>90</v>
      </c>
      <c r="J88" s="71" t="s">
        <v>456</v>
      </c>
      <c r="K88" s="72" t="s">
        <v>41</v>
      </c>
      <c r="L88" s="122" t="s">
        <v>92</v>
      </c>
      <c r="M88" s="71"/>
      <c r="N88" s="71"/>
      <c r="O88" s="80" t="b">
        <v>0</v>
      </c>
      <c r="P88" s="84" t="b">
        <v>0</v>
      </c>
      <c r="Q88" s="123">
        <f>DATE(2024,10,15)+TIME(10,16,47)</f>
        <v>45580.42832175926</v>
      </c>
      <c r="R88" s="122" t="s">
        <v>61</v>
      </c>
      <c r="S88" s="122" t="s">
        <v>95</v>
      </c>
      <c r="T88" s="122"/>
      <c r="U88" s="122"/>
      <c r="V88" s="122"/>
      <c r="W88" s="122"/>
      <c r="X88" s="122"/>
      <c r="Y88" s="122"/>
      <c r="Z88" s="122" t="s">
        <v>62</v>
      </c>
      <c r="AA88" s="123">
        <f>DATE(2024,10,15)+TIME(17,43,48)</f>
        <v>45580.738749999997</v>
      </c>
      <c r="AB88" s="122" t="s">
        <v>146</v>
      </c>
      <c r="AC88" s="122" t="s">
        <v>64</v>
      </c>
      <c r="AD88" s="122" t="s">
        <v>65</v>
      </c>
      <c r="AE88" s="122" t="s">
        <v>61</v>
      </c>
    </row>
    <row r="89" spans="1:31" s="33" customFormat="1" ht="72">
      <c r="A89" s="73" t="s">
        <v>486</v>
      </c>
      <c r="B89" s="73" t="s">
        <v>487</v>
      </c>
      <c r="C89" s="73" t="s">
        <v>488</v>
      </c>
      <c r="D89" s="73" t="s">
        <v>489</v>
      </c>
      <c r="E89" s="73" t="s">
        <v>490</v>
      </c>
      <c r="F89" s="73" t="s">
        <v>491</v>
      </c>
      <c r="G89" s="73" t="s">
        <v>103</v>
      </c>
      <c r="H89" s="65" t="s">
        <v>104</v>
      </c>
      <c r="I89" s="73" t="s">
        <v>105</v>
      </c>
      <c r="J89" s="65" t="s">
        <v>492</v>
      </c>
      <c r="K89" s="66" t="s">
        <v>41</v>
      </c>
      <c r="L89" s="73" t="s">
        <v>107</v>
      </c>
      <c r="M89" s="65"/>
      <c r="N89" s="65"/>
      <c r="O89" s="81" t="b">
        <v>0</v>
      </c>
      <c r="P89" s="85" t="b">
        <v>0</v>
      </c>
      <c r="Q89" s="75">
        <f>DATE(2024,10,15)+TIME(9,3,16)</f>
        <v>45580.377268518518</v>
      </c>
      <c r="R89" s="73" t="s">
        <v>61</v>
      </c>
      <c r="S89" s="73" t="s">
        <v>95</v>
      </c>
      <c r="T89" s="73"/>
      <c r="U89" s="73"/>
      <c r="V89" s="73"/>
      <c r="W89" s="73"/>
      <c r="X89" s="73"/>
      <c r="Y89" s="73"/>
      <c r="Z89" s="73" t="s">
        <v>62</v>
      </c>
      <c r="AA89" s="75">
        <f>DATE(2024,10,15)+TIME(9,3,47)</f>
        <v>45580.377627314818</v>
      </c>
      <c r="AB89" s="73" t="s">
        <v>146</v>
      </c>
      <c r="AC89" s="73" t="s">
        <v>64</v>
      </c>
      <c r="AD89" s="73" t="s">
        <v>65</v>
      </c>
      <c r="AE89" s="73" t="s">
        <v>61</v>
      </c>
    </row>
    <row r="90" spans="1:31" s="33" customFormat="1" ht="55">
      <c r="A90" s="73" t="s">
        <v>502</v>
      </c>
      <c r="B90" s="73" t="s">
        <v>137</v>
      </c>
      <c r="C90" s="73" t="s">
        <v>503</v>
      </c>
      <c r="D90" s="73" t="s">
        <v>504</v>
      </c>
      <c r="E90" s="73" t="s">
        <v>505</v>
      </c>
      <c r="F90" s="73" t="s">
        <v>506</v>
      </c>
      <c r="G90" s="73" t="s">
        <v>103</v>
      </c>
      <c r="H90" s="65" t="s">
        <v>172</v>
      </c>
      <c r="I90" s="73" t="s">
        <v>90</v>
      </c>
      <c r="J90" s="65"/>
      <c r="K90" s="66" t="s">
        <v>41</v>
      </c>
      <c r="L90" s="73" t="s">
        <v>92</v>
      </c>
      <c r="M90" s="65"/>
      <c r="N90" s="65"/>
      <c r="O90" s="81" t="b">
        <v>0</v>
      </c>
      <c r="P90" s="85" t="b">
        <v>0</v>
      </c>
      <c r="Q90" s="75">
        <f>DATE(2024,10,16)+TIME(12,40,27)</f>
        <v>45581.528090277781</v>
      </c>
      <c r="R90" s="73" t="s">
        <v>61</v>
      </c>
      <c r="S90" s="73" t="s">
        <v>95</v>
      </c>
      <c r="T90" s="73"/>
      <c r="U90" s="73"/>
      <c r="V90" s="73"/>
      <c r="W90" s="73"/>
      <c r="X90" s="73"/>
      <c r="Y90" s="73"/>
      <c r="Z90" s="73" t="s">
        <v>62</v>
      </c>
      <c r="AA90" s="75">
        <f>DATE(2024,10,16)+TIME(13,4,15)</f>
        <v>45581.544618055559</v>
      </c>
      <c r="AB90" s="73" t="s">
        <v>127</v>
      </c>
      <c r="AC90" s="73" t="s">
        <v>64</v>
      </c>
      <c r="AD90" s="73" t="s">
        <v>65</v>
      </c>
      <c r="AE90" s="73" t="s">
        <v>61</v>
      </c>
    </row>
    <row r="91" spans="1:31" ht="38">
      <c r="A91" s="1" t="s">
        <v>162</v>
      </c>
      <c r="B91" s="1" t="s">
        <v>163</v>
      </c>
      <c r="C91" s="1" t="s">
        <v>164</v>
      </c>
      <c r="D91" s="1" t="s">
        <v>155</v>
      </c>
      <c r="E91" s="1" t="s">
        <v>165</v>
      </c>
      <c r="F91" s="1" t="s">
        <v>166</v>
      </c>
      <c r="G91" s="1" t="s">
        <v>167</v>
      </c>
      <c r="H91" s="110" t="s">
        <v>172</v>
      </c>
      <c r="I91" s="1"/>
      <c r="J91" s="110"/>
      <c r="K91" s="111" t="s">
        <v>41</v>
      </c>
      <c r="L91" s="1"/>
      <c r="M91" s="110"/>
      <c r="N91" s="110"/>
      <c r="O91" s="113" t="b">
        <v>0</v>
      </c>
      <c r="P91" s="114" t="b">
        <v>0</v>
      </c>
      <c r="Q91" s="2">
        <f>DATE(2024,10,15)+TIME(13,24,0)</f>
        <v>45580.558333333334</v>
      </c>
      <c r="R91" s="1" t="s">
        <v>95</v>
      </c>
      <c r="S91" s="1"/>
      <c r="T91" s="1"/>
      <c r="U91" s="1"/>
      <c r="V91" s="1"/>
      <c r="W91" s="1"/>
      <c r="X91" s="1"/>
      <c r="Y91" s="1"/>
      <c r="Z91" s="1" t="s">
        <v>62</v>
      </c>
      <c r="AA91" s="2">
        <f>DATE(2024,10,15)+TIME(13,56,0)</f>
        <v>45580.580555555556</v>
      </c>
      <c r="AB91" s="1" t="s">
        <v>96</v>
      </c>
      <c r="AC91" s="1" t="s">
        <v>64</v>
      </c>
      <c r="AD91" s="1" t="s">
        <v>65</v>
      </c>
      <c r="AE91" s="1" t="s">
        <v>61</v>
      </c>
    </row>
    <row r="92" spans="1:31" ht="72">
      <c r="A92" s="73" t="s">
        <v>391</v>
      </c>
      <c r="B92" s="73" t="s">
        <v>392</v>
      </c>
      <c r="C92" s="73" t="s">
        <v>393</v>
      </c>
      <c r="D92" s="73" t="s">
        <v>380</v>
      </c>
      <c r="E92" s="73" t="s">
        <v>394</v>
      </c>
      <c r="F92" s="73" t="s">
        <v>395</v>
      </c>
      <c r="G92" s="73" t="s">
        <v>167</v>
      </c>
      <c r="H92" s="65" t="s">
        <v>55</v>
      </c>
      <c r="I92" s="73"/>
      <c r="J92" s="65"/>
      <c r="K92" s="66" t="s">
        <v>41</v>
      </c>
      <c r="L92" s="73"/>
      <c r="M92" s="65" t="s">
        <v>389</v>
      </c>
      <c r="N92" s="65"/>
      <c r="O92" s="81" t="b">
        <v>1</v>
      </c>
      <c r="P92" s="85" t="b">
        <v>1</v>
      </c>
      <c r="Q92" s="75">
        <f>DATE(2024,10,15)+TIME(10,39,55)</f>
        <v>45580.444386574076</v>
      </c>
      <c r="R92" s="73" t="s">
        <v>95</v>
      </c>
      <c r="S92" s="73"/>
      <c r="T92" s="73"/>
      <c r="U92" s="73"/>
      <c r="V92" s="73"/>
      <c r="W92" s="73"/>
      <c r="X92" s="73"/>
      <c r="Y92" s="73"/>
      <c r="Z92" s="73" t="s">
        <v>62</v>
      </c>
      <c r="AA92" s="75">
        <f>DATE(2024,10,15)+TIME(10,39,58)</f>
        <v>45580.444421296299</v>
      </c>
      <c r="AB92" s="73"/>
      <c r="AC92" s="73" t="s">
        <v>232</v>
      </c>
      <c r="AD92" s="73" t="s">
        <v>65</v>
      </c>
      <c r="AE92" s="73" t="s">
        <v>61</v>
      </c>
    </row>
    <row r="93" spans="1:31" ht="55">
      <c r="A93" s="122" t="s">
        <v>614</v>
      </c>
      <c r="B93" s="122" t="s">
        <v>615</v>
      </c>
      <c r="C93" s="122" t="s">
        <v>616</v>
      </c>
      <c r="D93" s="122" t="s">
        <v>617</v>
      </c>
      <c r="E93" s="122" t="s">
        <v>618</v>
      </c>
      <c r="F93" s="124" t="s">
        <v>619</v>
      </c>
      <c r="G93" s="122" t="s">
        <v>209</v>
      </c>
      <c r="H93" s="71" t="s">
        <v>40</v>
      </c>
      <c r="I93" s="122" t="s">
        <v>90</v>
      </c>
      <c r="J93" s="71" t="s">
        <v>620</v>
      </c>
      <c r="K93" s="72" t="s">
        <v>41</v>
      </c>
      <c r="L93" s="122" t="s">
        <v>92</v>
      </c>
      <c r="M93" s="71"/>
      <c r="N93" s="71"/>
      <c r="O93" s="80" t="b">
        <v>0</v>
      </c>
      <c r="P93" s="84" t="b">
        <v>0</v>
      </c>
      <c r="Q93" s="123">
        <f>DATE(2024,10,15)+TIME(10,33,22)</f>
        <v>45580.439837962964</v>
      </c>
      <c r="R93" s="122" t="s">
        <v>61</v>
      </c>
      <c r="S93" s="122" t="s">
        <v>95</v>
      </c>
      <c r="T93" s="122"/>
      <c r="U93" s="122"/>
      <c r="V93" s="122"/>
      <c r="W93" s="122"/>
      <c r="X93" s="122"/>
      <c r="Y93" s="122"/>
      <c r="Z93" s="122" t="s">
        <v>62</v>
      </c>
      <c r="AA93" s="123">
        <f>DATE(2024,10,15)+TIME(17,43,48)</f>
        <v>45580.738749999997</v>
      </c>
      <c r="AB93" s="122"/>
      <c r="AC93" s="122" t="s">
        <v>621</v>
      </c>
      <c r="AD93" s="122" t="s">
        <v>65</v>
      </c>
      <c r="AE93" s="122" t="s">
        <v>61</v>
      </c>
    </row>
    <row r="94" spans="1:31" ht="38">
      <c r="A94" s="1" t="s">
        <v>651</v>
      </c>
      <c r="B94" s="1" t="s">
        <v>652</v>
      </c>
      <c r="C94" s="1" t="s">
        <v>653</v>
      </c>
      <c r="D94" s="1" t="s">
        <v>654</v>
      </c>
      <c r="E94" s="1" t="s">
        <v>85</v>
      </c>
      <c r="F94" s="1" t="s">
        <v>655</v>
      </c>
      <c r="G94" s="1" t="s">
        <v>103</v>
      </c>
      <c r="H94" s="110" t="s">
        <v>40</v>
      </c>
      <c r="I94" s="1" t="s">
        <v>90</v>
      </c>
      <c r="J94" s="110"/>
      <c r="K94" s="111" t="s">
        <v>41</v>
      </c>
      <c r="L94" s="1" t="s">
        <v>92</v>
      </c>
      <c r="M94" s="110"/>
      <c r="N94" s="110"/>
      <c r="O94" s="113" t="b">
        <v>0</v>
      </c>
      <c r="P94" s="114" t="b">
        <v>0</v>
      </c>
      <c r="Q94" s="2">
        <f>DATE(2024,10,16)+TIME(13,4,21)</f>
        <v>45581.544687499998</v>
      </c>
      <c r="R94" s="1" t="s">
        <v>61</v>
      </c>
      <c r="S94" s="1" t="s">
        <v>95</v>
      </c>
      <c r="T94" s="1"/>
      <c r="U94" s="1"/>
      <c r="V94" s="1"/>
      <c r="W94" s="1"/>
      <c r="X94" s="1"/>
      <c r="Y94" s="1"/>
      <c r="Z94" s="1" t="s">
        <v>62</v>
      </c>
      <c r="AA94" s="2">
        <f>DATE(2024,10,16)+TIME(13,4,35)</f>
        <v>45581.544849537036</v>
      </c>
      <c r="AB94" s="1" t="s">
        <v>63</v>
      </c>
      <c r="AC94" s="1" t="s">
        <v>64</v>
      </c>
      <c r="AD94" s="1" t="s">
        <v>65</v>
      </c>
      <c r="AE94" s="1" t="s">
        <v>61</v>
      </c>
    </row>
    <row r="95" spans="1:31" ht="37">
      <c r="A95" s="73" t="s">
        <v>457</v>
      </c>
      <c r="B95" s="73" t="s">
        <v>458</v>
      </c>
      <c r="C95" s="73" t="s">
        <v>459</v>
      </c>
      <c r="D95" s="73" t="s">
        <v>460</v>
      </c>
      <c r="E95" s="73" t="s">
        <v>461</v>
      </c>
      <c r="F95" s="73" t="s">
        <v>462</v>
      </c>
      <c r="G95" s="73" t="s">
        <v>87</v>
      </c>
      <c r="H95" s="65" t="s">
        <v>88</v>
      </c>
      <c r="I95" s="73" t="s">
        <v>463</v>
      </c>
      <c r="J95" s="65" t="s">
        <v>464</v>
      </c>
      <c r="K95" s="66" t="s">
        <v>41</v>
      </c>
      <c r="L95" s="73" t="s">
        <v>92</v>
      </c>
      <c r="M95" s="65" t="s">
        <v>93</v>
      </c>
      <c r="N95" s="65"/>
      <c r="O95" s="81" t="s">
        <v>94</v>
      </c>
      <c r="P95" s="101" t="s">
        <v>94</v>
      </c>
      <c r="Q95" s="75">
        <f>DATE(2024,10,14)+TIME(16,37,47)</f>
        <v>45579.69290509259</v>
      </c>
      <c r="R95" s="73" t="s">
        <v>61</v>
      </c>
      <c r="S95" s="73" t="s">
        <v>95</v>
      </c>
      <c r="T95" s="73"/>
      <c r="U95" s="73"/>
      <c r="V95" s="73"/>
      <c r="W95" s="73"/>
      <c r="X95" s="73"/>
      <c r="Y95" s="73"/>
      <c r="Z95" s="73" t="s">
        <v>62</v>
      </c>
      <c r="AA95" s="75">
        <f>DATE(2024,10,14)+TIME(16,38,19)</f>
        <v>45579.69327546296</v>
      </c>
      <c r="AB95" s="73" t="s">
        <v>465</v>
      </c>
      <c r="AC95" s="73" t="s">
        <v>64</v>
      </c>
      <c r="AD95" s="73" t="s">
        <v>65</v>
      </c>
      <c r="AE95" s="73" t="s">
        <v>61</v>
      </c>
    </row>
    <row r="96" spans="1:31" ht="55">
      <c r="A96" s="1" t="s">
        <v>429</v>
      </c>
      <c r="B96" s="1" t="s">
        <v>430</v>
      </c>
      <c r="C96" s="1" t="s">
        <v>431</v>
      </c>
      <c r="D96" s="1" t="s">
        <v>432</v>
      </c>
      <c r="E96" s="1" t="s">
        <v>433</v>
      </c>
      <c r="F96" s="1" t="s">
        <v>434</v>
      </c>
      <c r="G96" s="1" t="s">
        <v>167</v>
      </c>
      <c r="H96" s="110" t="s">
        <v>172</v>
      </c>
      <c r="I96" s="1"/>
      <c r="J96" s="110"/>
      <c r="K96" s="111" t="s">
        <v>41</v>
      </c>
      <c r="L96" s="1"/>
      <c r="M96" s="110"/>
      <c r="N96" s="110"/>
      <c r="O96" s="113" t="b">
        <v>0</v>
      </c>
      <c r="P96" s="114" t="b">
        <v>0</v>
      </c>
      <c r="Q96" s="2">
        <f>DATE(2024,10,15)+TIME(10,25,25)</f>
        <v>45580.434317129628</v>
      </c>
      <c r="R96" s="1" t="s">
        <v>95</v>
      </c>
      <c r="S96" s="1"/>
      <c r="T96" s="1"/>
      <c r="U96" s="1"/>
      <c r="V96" s="1"/>
      <c r="W96" s="1"/>
      <c r="X96" s="1"/>
      <c r="Y96" s="1"/>
      <c r="Z96" s="1" t="s">
        <v>62</v>
      </c>
      <c r="AA96" s="2">
        <f>DATE(2024,10,15)+TIME(10,25,31)</f>
        <v>45580.434386574074</v>
      </c>
      <c r="AB96" s="1"/>
      <c r="AC96" s="1" t="s">
        <v>435</v>
      </c>
      <c r="AD96" s="1" t="s">
        <v>65</v>
      </c>
      <c r="AE96" s="1" t="s">
        <v>61</v>
      </c>
    </row>
    <row r="97" spans="1:31" ht="46">
      <c r="A97" s="73" t="s">
        <v>355</v>
      </c>
      <c r="B97" s="73" t="s">
        <v>356</v>
      </c>
      <c r="C97" s="100" t="s">
        <v>357</v>
      </c>
      <c r="D97" s="73" t="s">
        <v>358</v>
      </c>
      <c r="E97" s="73" t="s">
        <v>52</v>
      </c>
      <c r="F97" s="73" t="s">
        <v>359</v>
      </c>
      <c r="G97" s="73" t="s">
        <v>185</v>
      </c>
      <c r="H97" s="65" t="s">
        <v>123</v>
      </c>
      <c r="I97" s="73" t="s">
        <v>360</v>
      </c>
      <c r="J97" s="65" t="s">
        <v>361</v>
      </c>
      <c r="K97" s="66" t="s">
        <v>41</v>
      </c>
      <c r="L97" s="73" t="s">
        <v>92</v>
      </c>
      <c r="M97" s="65" t="s">
        <v>362</v>
      </c>
      <c r="N97" s="65" t="s">
        <v>187</v>
      </c>
      <c r="O97" s="81" t="b">
        <v>1</v>
      </c>
      <c r="P97" s="86" t="b">
        <v>1</v>
      </c>
      <c r="Q97" s="75">
        <f>DATE(2024,10,15)+TIME(15,35,43)</f>
        <v>45580.64980324074</v>
      </c>
      <c r="R97" s="73" t="s">
        <v>61</v>
      </c>
      <c r="S97" s="73" t="s">
        <v>95</v>
      </c>
      <c r="T97" s="73"/>
      <c r="U97" s="73"/>
      <c r="V97" s="73" t="s">
        <v>359</v>
      </c>
      <c r="W97" s="73"/>
      <c r="X97" s="73"/>
      <c r="Y97" s="73"/>
      <c r="Z97" s="73" t="s">
        <v>62</v>
      </c>
      <c r="AA97" s="75">
        <f>DATE(2024,10,15)+TIME(17,44,1)</f>
        <v>45580.738900462966</v>
      </c>
      <c r="AB97" s="73" t="s">
        <v>63</v>
      </c>
      <c r="AC97" s="73" t="s">
        <v>64</v>
      </c>
      <c r="AD97" s="73" t="s">
        <v>65</v>
      </c>
      <c r="AE97" s="73" t="s">
        <v>61</v>
      </c>
    </row>
    <row r="98" spans="1:31" ht="38">
      <c r="A98" s="73" t="s">
        <v>762</v>
      </c>
      <c r="B98" s="73" t="s">
        <v>763</v>
      </c>
      <c r="C98" s="73" t="s">
        <v>764</v>
      </c>
      <c r="D98" s="73" t="s">
        <v>765</v>
      </c>
      <c r="E98" s="73" t="s">
        <v>271</v>
      </c>
      <c r="F98" s="73" t="s">
        <v>766</v>
      </c>
      <c r="G98" s="73" t="s">
        <v>209</v>
      </c>
      <c r="H98" s="65" t="s">
        <v>172</v>
      </c>
      <c r="I98" s="73" t="s">
        <v>90</v>
      </c>
      <c r="J98" s="65"/>
      <c r="K98" s="66" t="s">
        <v>41</v>
      </c>
      <c r="L98" s="73" t="s">
        <v>92</v>
      </c>
      <c r="M98" s="65"/>
      <c r="N98" s="65"/>
      <c r="O98" s="81" t="b">
        <v>0</v>
      </c>
      <c r="P98" s="85" t="b">
        <v>0</v>
      </c>
      <c r="Q98" s="75">
        <f>DATE(2024,10,15)+TIME(10,44,31)</f>
        <v>45580.447581018518</v>
      </c>
      <c r="R98" s="73" t="s">
        <v>61</v>
      </c>
      <c r="S98" s="73" t="s">
        <v>95</v>
      </c>
      <c r="T98" s="73"/>
      <c r="U98" s="73"/>
      <c r="V98" s="73"/>
      <c r="W98" s="73"/>
      <c r="X98" s="73"/>
      <c r="Y98" s="73"/>
      <c r="Z98" s="73" t="s">
        <v>62</v>
      </c>
      <c r="AA98" s="75">
        <f>DATE(2024,10,15)+TIME(17,43,48)</f>
        <v>45580.738749999997</v>
      </c>
      <c r="AB98" s="73" t="s">
        <v>750</v>
      </c>
      <c r="AC98" s="73" t="s">
        <v>64</v>
      </c>
      <c r="AD98" s="73" t="s">
        <v>65</v>
      </c>
      <c r="AE98" s="73" t="s">
        <v>61</v>
      </c>
    </row>
    <row r="99" spans="1:31" ht="55">
      <c r="A99" s="73" t="s">
        <v>786</v>
      </c>
      <c r="B99" s="73" t="s">
        <v>787</v>
      </c>
      <c r="C99" s="73" t="s">
        <v>788</v>
      </c>
      <c r="D99" s="73" t="s">
        <v>789</v>
      </c>
      <c r="E99" s="73"/>
      <c r="F99" s="73"/>
      <c r="G99" s="73" t="s">
        <v>103</v>
      </c>
      <c r="H99" s="65" t="s">
        <v>40</v>
      </c>
      <c r="I99" s="73" t="s">
        <v>57</v>
      </c>
      <c r="J99" s="65" t="s">
        <v>790</v>
      </c>
      <c r="K99" s="66" t="s">
        <v>41</v>
      </c>
      <c r="L99" s="73" t="s">
        <v>107</v>
      </c>
      <c r="M99" s="65"/>
      <c r="N99" s="65"/>
      <c r="O99" s="81" t="b">
        <v>0</v>
      </c>
      <c r="P99" s="85" t="b">
        <v>0</v>
      </c>
      <c r="Q99" s="75">
        <f>DATE(2024,10,15)+TIME(9,12,58)</f>
        <v>45580.384004629632</v>
      </c>
      <c r="R99" s="73" t="s">
        <v>61</v>
      </c>
      <c r="S99" s="73" t="s">
        <v>95</v>
      </c>
      <c r="T99" s="73"/>
      <c r="U99" s="73"/>
      <c r="V99" s="73"/>
      <c r="W99" s="73"/>
      <c r="X99" s="73"/>
      <c r="Y99" s="73"/>
      <c r="Z99" s="73" t="s">
        <v>62</v>
      </c>
      <c r="AA99" s="75">
        <f>DATE(2024,10,15)+TIME(9,13,15)</f>
        <v>45580.384201388886</v>
      </c>
      <c r="AB99" s="73"/>
      <c r="AC99" s="73" t="s">
        <v>64</v>
      </c>
      <c r="AD99" s="73" t="s">
        <v>65</v>
      </c>
      <c r="AE99" s="73" t="s">
        <v>61</v>
      </c>
    </row>
    <row r="100" spans="1:31" ht="55">
      <c r="A100" s="1" t="s">
        <v>791</v>
      </c>
      <c r="B100" s="1" t="s">
        <v>792</v>
      </c>
      <c r="C100" s="1" t="s">
        <v>793</v>
      </c>
      <c r="D100" s="1" t="s">
        <v>794</v>
      </c>
      <c r="E100" s="1" t="s">
        <v>132</v>
      </c>
      <c r="F100" s="1" t="s">
        <v>795</v>
      </c>
      <c r="G100" s="1" t="s">
        <v>167</v>
      </c>
      <c r="H100" s="71" t="s">
        <v>172</v>
      </c>
      <c r="I100" s="1"/>
      <c r="J100" s="71"/>
      <c r="K100" s="72" t="s">
        <v>41</v>
      </c>
      <c r="L100" s="1"/>
      <c r="M100" s="110"/>
      <c r="N100" s="71"/>
      <c r="O100" s="80" t="b">
        <v>0</v>
      </c>
      <c r="P100" s="84" t="b">
        <v>0</v>
      </c>
      <c r="Q100" s="2">
        <f>DATE(2024,10,15)+TIME(13,56,0)</f>
        <v>45580.580555555556</v>
      </c>
      <c r="R100" s="1" t="s">
        <v>95</v>
      </c>
      <c r="S100" s="1"/>
      <c r="T100" s="1"/>
      <c r="U100" s="1"/>
      <c r="V100" s="1"/>
      <c r="W100" s="1"/>
      <c r="X100" s="1"/>
      <c r="Y100" s="1"/>
      <c r="Z100" s="1" t="s">
        <v>62</v>
      </c>
      <c r="AA100" s="2">
        <f>DATE(2024,10,15)+TIME(13,56,7)</f>
        <v>45580.580636574072</v>
      </c>
      <c r="AB100" s="1" t="s">
        <v>135</v>
      </c>
      <c r="AC100" s="1" t="s">
        <v>64</v>
      </c>
      <c r="AD100" s="1" t="s">
        <v>65</v>
      </c>
      <c r="AE100" s="1" t="s">
        <v>61</v>
      </c>
    </row>
    <row r="101" spans="1:31" ht="38">
      <c r="A101" s="1" t="s">
        <v>698</v>
      </c>
      <c r="B101" s="1" t="s">
        <v>699</v>
      </c>
      <c r="C101" s="102" t="s">
        <v>700</v>
      </c>
      <c r="D101" s="1" t="s">
        <v>692</v>
      </c>
      <c r="E101" s="1" t="s">
        <v>344</v>
      </c>
      <c r="F101" s="63" t="s">
        <v>701</v>
      </c>
      <c r="G101" s="1" t="s">
        <v>103</v>
      </c>
      <c r="H101" s="69" t="s">
        <v>123</v>
      </c>
      <c r="I101" s="1" t="s">
        <v>90</v>
      </c>
      <c r="J101" s="69"/>
      <c r="K101" s="70" t="s">
        <v>41</v>
      </c>
      <c r="L101" s="1" t="s">
        <v>92</v>
      </c>
      <c r="M101" s="69"/>
      <c r="N101" s="69"/>
      <c r="O101" s="79" t="b">
        <v>1</v>
      </c>
      <c r="P101" s="83" t="b">
        <v>1</v>
      </c>
      <c r="Q101" s="2">
        <f>DATE(2024,10,16)+TIME(12,37,19)</f>
        <v>45581.525914351849</v>
      </c>
      <c r="R101" s="1" t="s">
        <v>61</v>
      </c>
      <c r="S101" s="1"/>
      <c r="T101" s="1"/>
      <c r="U101" s="1"/>
      <c r="V101" s="1"/>
      <c r="W101" s="1"/>
      <c r="X101" s="1"/>
      <c r="Y101" s="1"/>
      <c r="Z101" s="1" t="s">
        <v>62</v>
      </c>
      <c r="AA101" s="2">
        <f>DATE(2024,10,16)+TIME(12,37,53)</f>
        <v>45581.526307870372</v>
      </c>
      <c r="AB101" s="1" t="s">
        <v>465</v>
      </c>
      <c r="AC101" s="1" t="s">
        <v>64</v>
      </c>
      <c r="AD101" s="1" t="s">
        <v>65</v>
      </c>
      <c r="AE101" s="1" t="s">
        <v>61</v>
      </c>
    </row>
    <row r="102" spans="1:31" ht="55">
      <c r="A102" s="73" t="s">
        <v>709</v>
      </c>
      <c r="B102" s="73" t="s">
        <v>710</v>
      </c>
      <c r="C102" s="73" t="s">
        <v>711</v>
      </c>
      <c r="D102" s="73" t="s">
        <v>705</v>
      </c>
      <c r="E102" s="73" t="s">
        <v>712</v>
      </c>
      <c r="F102" s="73" t="s">
        <v>713</v>
      </c>
      <c r="G102" s="73" t="s">
        <v>209</v>
      </c>
      <c r="H102" s="65" t="s">
        <v>123</v>
      </c>
      <c r="I102" s="73" t="s">
        <v>90</v>
      </c>
      <c r="J102" s="65"/>
      <c r="K102" s="66" t="s">
        <v>41</v>
      </c>
      <c r="L102" s="73" t="s">
        <v>107</v>
      </c>
      <c r="M102" s="65"/>
      <c r="N102" s="65"/>
      <c r="O102" s="81" t="b">
        <v>1</v>
      </c>
      <c r="P102" s="85" t="b">
        <v>1</v>
      </c>
      <c r="Q102" s="75">
        <f>DATE(2024,10,15)+TIME(10,2,45)</f>
        <v>45580.418576388889</v>
      </c>
      <c r="R102" s="73" t="s">
        <v>61</v>
      </c>
      <c r="S102" s="73" t="s">
        <v>95</v>
      </c>
      <c r="T102" s="73"/>
      <c r="U102" s="73"/>
      <c r="V102" s="73"/>
      <c r="W102" s="73"/>
      <c r="X102" s="73"/>
      <c r="Y102" s="73"/>
      <c r="Z102" s="73" t="s">
        <v>62</v>
      </c>
      <c r="AA102" s="75">
        <f>DATE(2024,10,15)+TIME(17,43,48)</f>
        <v>45580.738749999997</v>
      </c>
      <c r="AB102" s="73" t="s">
        <v>465</v>
      </c>
      <c r="AC102" s="73" t="s">
        <v>64</v>
      </c>
      <c r="AD102" s="73" t="s">
        <v>65</v>
      </c>
      <c r="AE102" s="73" t="s">
        <v>61</v>
      </c>
    </row>
    <row r="103" spans="1:31" ht="55">
      <c r="A103" s="73" t="s">
        <v>128</v>
      </c>
      <c r="B103" s="73" t="s">
        <v>129</v>
      </c>
      <c r="C103" s="73" t="s">
        <v>130</v>
      </c>
      <c r="D103" s="73" t="s">
        <v>131</v>
      </c>
      <c r="E103" s="73" t="s">
        <v>132</v>
      </c>
      <c r="F103" s="73" t="s">
        <v>133</v>
      </c>
      <c r="G103" s="73" t="s">
        <v>134</v>
      </c>
      <c r="H103" s="65" t="s">
        <v>40</v>
      </c>
      <c r="I103" s="73"/>
      <c r="J103" s="65"/>
      <c r="K103" s="66" t="s">
        <v>41</v>
      </c>
      <c r="L103" s="73"/>
      <c r="M103" s="65"/>
      <c r="N103" s="65"/>
      <c r="O103" s="81" t="b">
        <v>0</v>
      </c>
      <c r="P103" s="85" t="b">
        <v>0</v>
      </c>
      <c r="Q103" s="75">
        <f>DATE(2024,10,16)+TIME(10,1,25)</f>
        <v>45581.417650462965</v>
      </c>
      <c r="R103" s="73" t="s">
        <v>95</v>
      </c>
      <c r="S103" s="73"/>
      <c r="T103" s="73"/>
      <c r="U103" s="73"/>
      <c r="V103" s="73"/>
      <c r="W103" s="73"/>
      <c r="X103" s="73"/>
      <c r="Y103" s="73"/>
      <c r="Z103" s="73" t="s">
        <v>62</v>
      </c>
      <c r="AA103" s="75">
        <f>DATE(2024,10,16)+TIME(10,14,3)</f>
        <v>45581.426423611112</v>
      </c>
      <c r="AB103" s="73" t="s">
        <v>135</v>
      </c>
      <c r="AC103" s="73" t="s">
        <v>64</v>
      </c>
      <c r="AD103" s="73" t="s">
        <v>65</v>
      </c>
      <c r="AE103" s="73" t="s">
        <v>61</v>
      </c>
    </row>
    <row r="104" spans="1:31" ht="55">
      <c r="A104" s="73" t="s">
        <v>147</v>
      </c>
      <c r="B104" s="73" t="s">
        <v>148</v>
      </c>
      <c r="C104" s="73" t="s">
        <v>149</v>
      </c>
      <c r="D104" s="73" t="s">
        <v>150</v>
      </c>
      <c r="E104" s="73" t="s">
        <v>151</v>
      </c>
      <c r="F104" s="73" t="s">
        <v>152</v>
      </c>
      <c r="G104" s="73" t="s">
        <v>103</v>
      </c>
      <c r="H104" s="65" t="s">
        <v>40</v>
      </c>
      <c r="I104" s="73"/>
      <c r="J104" s="65"/>
      <c r="K104" s="66" t="s">
        <v>41</v>
      </c>
      <c r="L104" s="73"/>
      <c r="M104" s="65"/>
      <c r="N104" s="65"/>
      <c r="O104" s="81" t="b">
        <v>0</v>
      </c>
      <c r="P104" s="85" t="b">
        <v>0</v>
      </c>
      <c r="Q104" s="75">
        <f>DATE(2024,10,16)+TIME(10,28,34)</f>
        <v>45581.43650462963</v>
      </c>
      <c r="R104" s="73" t="s">
        <v>95</v>
      </c>
      <c r="S104" s="73"/>
      <c r="T104" s="73"/>
      <c r="U104" s="73"/>
      <c r="V104" s="73"/>
      <c r="W104" s="73"/>
      <c r="X104" s="73"/>
      <c r="Y104" s="73"/>
      <c r="Z104" s="73" t="s">
        <v>62</v>
      </c>
      <c r="AA104" s="75">
        <f>DATE(2024,10,16)+TIME(10,28,41)</f>
        <v>45581.436585648145</v>
      </c>
      <c r="AB104" s="73" t="s">
        <v>63</v>
      </c>
      <c r="AC104" s="73" t="s">
        <v>64</v>
      </c>
      <c r="AD104" s="73" t="s">
        <v>65</v>
      </c>
      <c r="AE104" s="73" t="s">
        <v>61</v>
      </c>
    </row>
    <row r="105" spans="1:31" ht="47">
      <c r="A105" s="126" t="s">
        <v>906</v>
      </c>
      <c r="C105" s="134" t="s">
        <v>907</v>
      </c>
      <c r="D105" s="135" t="s">
        <v>908</v>
      </c>
      <c r="G105" s="1"/>
      <c r="H105" s="110" t="s">
        <v>40</v>
      </c>
      <c r="I105" s="127"/>
      <c r="J105" s="110" t="s">
        <v>42</v>
      </c>
      <c r="K105" s="111" t="s">
        <v>41</v>
      </c>
      <c r="L105" s="1"/>
      <c r="M105" s="110"/>
      <c r="N105" s="110"/>
      <c r="O105" s="198"/>
      <c r="P105" s="199"/>
      <c r="S105" s="1"/>
      <c r="T105" s="1"/>
      <c r="U105" s="1"/>
    </row>
    <row r="106" spans="1:31" ht="34">
      <c r="A106" s="187" t="s">
        <v>310</v>
      </c>
      <c r="B106" s="18"/>
      <c r="C106" s="189" t="s">
        <v>311</v>
      </c>
      <c r="D106" s="190" t="s">
        <v>312</v>
      </c>
      <c r="E106" s="18"/>
      <c r="F106" s="18"/>
      <c r="G106" s="73"/>
      <c r="H106" s="65" t="s">
        <v>40</v>
      </c>
      <c r="I106" s="105"/>
      <c r="J106" s="65" t="s">
        <v>42</v>
      </c>
      <c r="K106" s="66" t="s">
        <v>41</v>
      </c>
      <c r="L106" s="73"/>
      <c r="M106" s="65"/>
      <c r="N106" s="65"/>
      <c r="O106" s="130"/>
      <c r="P106" s="131"/>
      <c r="Q106" s="200"/>
      <c r="R106" s="18"/>
      <c r="S106" s="73"/>
      <c r="T106" s="73"/>
      <c r="U106" s="73"/>
      <c r="V106" s="18"/>
      <c r="W106" s="18"/>
      <c r="X106" s="18"/>
      <c r="Y106" s="18"/>
      <c r="Z106" s="18"/>
      <c r="AA106" s="18"/>
      <c r="AB106" s="18"/>
      <c r="AC106" s="18"/>
      <c r="AD106" s="18"/>
      <c r="AE106" s="18"/>
    </row>
    <row r="107" spans="1:31" ht="38">
      <c r="A107" s="187" t="s">
        <v>153</v>
      </c>
      <c r="B107" s="18"/>
      <c r="C107" s="189" t="s">
        <v>154</v>
      </c>
      <c r="D107" s="190" t="s">
        <v>155</v>
      </c>
      <c r="E107" s="18"/>
      <c r="F107" s="18"/>
      <c r="G107" s="73"/>
      <c r="H107" s="65" t="s">
        <v>40</v>
      </c>
      <c r="I107" s="105"/>
      <c r="J107" s="65" t="s">
        <v>42</v>
      </c>
      <c r="K107" s="66" t="s">
        <v>41</v>
      </c>
      <c r="L107" s="73"/>
      <c r="M107" s="65"/>
      <c r="N107" s="65"/>
      <c r="O107" s="130"/>
      <c r="P107" s="131"/>
      <c r="Q107" s="200"/>
      <c r="R107" s="18"/>
      <c r="S107" s="73"/>
      <c r="T107" s="73"/>
      <c r="U107" s="73"/>
      <c r="V107" s="18"/>
      <c r="W107" s="18"/>
      <c r="X107" s="18"/>
      <c r="Y107" s="18"/>
      <c r="Z107" s="18"/>
      <c r="AA107" s="18"/>
      <c r="AB107" s="18"/>
      <c r="AC107" s="18"/>
      <c r="AD107" s="18"/>
      <c r="AE107" s="18"/>
    </row>
    <row r="108" spans="1:31" ht="34">
      <c r="A108" s="187" t="s">
        <v>903</v>
      </c>
      <c r="B108" s="18"/>
      <c r="C108" s="189" t="s">
        <v>904</v>
      </c>
      <c r="D108" s="190" t="s">
        <v>905</v>
      </c>
      <c r="E108" s="18"/>
      <c r="F108" s="18"/>
      <c r="G108" s="73"/>
      <c r="H108" s="65" t="s">
        <v>40</v>
      </c>
      <c r="I108" s="105"/>
      <c r="J108" s="65" t="s">
        <v>42</v>
      </c>
      <c r="K108" s="66" t="s">
        <v>41</v>
      </c>
      <c r="L108" s="73"/>
      <c r="M108" s="65"/>
      <c r="N108" s="65"/>
      <c r="O108" s="130"/>
      <c r="P108" s="131"/>
      <c r="Q108" s="200"/>
      <c r="R108" s="18"/>
      <c r="S108" s="73"/>
      <c r="T108" s="73"/>
      <c r="U108" s="73"/>
      <c r="V108" s="18"/>
      <c r="W108" s="18"/>
      <c r="X108" s="18"/>
      <c r="Y108" s="18"/>
      <c r="Z108" s="18"/>
      <c r="AA108" s="18"/>
      <c r="AB108" s="18"/>
      <c r="AC108" s="18"/>
      <c r="AD108" s="18"/>
      <c r="AE108" s="18"/>
    </row>
    <row r="109" spans="1:31" ht="34">
      <c r="A109" s="126" t="s">
        <v>622</v>
      </c>
      <c r="C109" s="134" t="s">
        <v>623</v>
      </c>
      <c r="D109" s="135" t="s">
        <v>624</v>
      </c>
      <c r="G109" s="1"/>
      <c r="H109" s="65" t="s">
        <v>40</v>
      </c>
      <c r="I109" s="127"/>
      <c r="J109" s="65" t="s">
        <v>42</v>
      </c>
      <c r="K109" s="128" t="s">
        <v>41</v>
      </c>
      <c r="L109" s="73"/>
      <c r="M109" s="129"/>
      <c r="N109" s="65"/>
      <c r="O109" s="130"/>
      <c r="P109" s="131"/>
      <c r="S109" s="1"/>
      <c r="T109" s="1"/>
      <c r="U109" s="1"/>
    </row>
    <row r="110" spans="1:31" ht="34">
      <c r="A110" s="126" t="s">
        <v>45</v>
      </c>
      <c r="C110" s="134" t="s">
        <v>46</v>
      </c>
      <c r="D110" s="135" t="s">
        <v>47</v>
      </c>
      <c r="G110" s="1"/>
      <c r="H110" s="65" t="s">
        <v>40</v>
      </c>
      <c r="I110" s="127"/>
      <c r="J110" s="65" t="s">
        <v>42</v>
      </c>
      <c r="K110" s="128" t="s">
        <v>41</v>
      </c>
      <c r="L110" s="73"/>
      <c r="M110" s="129"/>
      <c r="N110" s="65"/>
      <c r="O110" s="130"/>
      <c r="P110" s="131"/>
      <c r="S110" s="1"/>
      <c r="T110" s="1"/>
      <c r="U110" s="1"/>
    </row>
    <row r="111" spans="1:31" ht="34">
      <c r="A111" s="126" t="s">
        <v>403</v>
      </c>
      <c r="C111" s="134" t="s">
        <v>404</v>
      </c>
      <c r="D111" s="135" t="s">
        <v>405</v>
      </c>
      <c r="G111" s="1"/>
      <c r="H111" s="65" t="s">
        <v>40</v>
      </c>
      <c r="I111" s="127"/>
      <c r="J111" s="65" t="s">
        <v>42</v>
      </c>
      <c r="K111" s="128" t="s">
        <v>41</v>
      </c>
      <c r="L111" s="73"/>
      <c r="M111" s="129"/>
      <c r="N111" s="65"/>
      <c r="O111" s="130"/>
      <c r="P111" s="131"/>
      <c r="S111" s="1"/>
      <c r="T111" s="1"/>
      <c r="U111" s="1"/>
    </row>
    <row r="112" spans="1:31" ht="38">
      <c r="A112" s="126" t="s">
        <v>286</v>
      </c>
      <c r="C112" s="134" t="s">
        <v>287</v>
      </c>
      <c r="D112" s="135" t="s">
        <v>288</v>
      </c>
      <c r="G112" s="1"/>
      <c r="H112" s="65" t="s">
        <v>40</v>
      </c>
      <c r="I112" s="127"/>
      <c r="J112" s="65" t="s">
        <v>42</v>
      </c>
      <c r="K112" s="128" t="s">
        <v>41</v>
      </c>
      <c r="L112" s="73"/>
      <c r="M112" s="129"/>
      <c r="N112" s="65"/>
      <c r="O112" s="130"/>
      <c r="P112" s="131"/>
      <c r="S112" s="1"/>
      <c r="T112" s="1"/>
      <c r="U112" s="1"/>
    </row>
    <row r="113" spans="1:21" ht="34">
      <c r="A113" s="126" t="s">
        <v>886</v>
      </c>
      <c r="C113" s="134" t="s">
        <v>887</v>
      </c>
      <c r="D113" s="135" t="s">
        <v>888</v>
      </c>
      <c r="G113" s="1"/>
      <c r="H113" s="65" t="s">
        <v>40</v>
      </c>
      <c r="I113" s="127"/>
      <c r="J113" s="65" t="s">
        <v>42</v>
      </c>
      <c r="K113" s="128" t="s">
        <v>41</v>
      </c>
      <c r="L113" s="73"/>
      <c r="M113" s="129"/>
      <c r="N113" s="65"/>
      <c r="O113" s="130"/>
      <c r="P113" s="131"/>
      <c r="S113" s="1"/>
      <c r="T113" s="1"/>
      <c r="U113" s="1"/>
    </row>
    <row r="114" spans="1:21" ht="38">
      <c r="A114" s="126" t="s">
        <v>156</v>
      </c>
      <c r="C114" s="134" t="s">
        <v>157</v>
      </c>
      <c r="D114" s="135" t="s">
        <v>155</v>
      </c>
      <c r="G114" s="1"/>
      <c r="H114" s="65" t="s">
        <v>40</v>
      </c>
      <c r="I114" s="127"/>
      <c r="J114" s="65" t="s">
        <v>42</v>
      </c>
      <c r="K114" s="128" t="s">
        <v>41</v>
      </c>
      <c r="L114" s="73"/>
      <c r="M114" s="129"/>
      <c r="N114" s="65"/>
      <c r="O114" s="130"/>
      <c r="P114" s="131"/>
      <c r="S114" s="1"/>
      <c r="T114" s="1"/>
      <c r="U114" s="1"/>
    </row>
    <row r="115" spans="1:21" ht="38">
      <c r="A115" s="126" t="s">
        <v>158</v>
      </c>
      <c r="C115" s="134" t="s">
        <v>159</v>
      </c>
      <c r="D115" s="135" t="s">
        <v>155</v>
      </c>
      <c r="G115" s="1"/>
      <c r="H115" s="65" t="s">
        <v>40</v>
      </c>
      <c r="I115" s="127"/>
      <c r="J115" s="65" t="s">
        <v>42</v>
      </c>
      <c r="K115" s="128" t="s">
        <v>41</v>
      </c>
      <c r="L115" s="73"/>
      <c r="M115" s="129"/>
      <c r="N115" s="65"/>
      <c r="O115" s="130"/>
      <c r="P115" s="131"/>
      <c r="S115" s="1"/>
      <c r="T115" s="1"/>
      <c r="U115" s="1"/>
    </row>
    <row r="116" spans="1:21" ht="34">
      <c r="A116" s="126" t="s">
        <v>924</v>
      </c>
      <c r="C116" s="134" t="s">
        <v>925</v>
      </c>
      <c r="D116" s="135"/>
      <c r="G116" s="1"/>
      <c r="H116" s="65" t="s">
        <v>40</v>
      </c>
      <c r="I116" s="127"/>
      <c r="J116" s="65" t="s">
        <v>42</v>
      </c>
      <c r="K116" s="128" t="s">
        <v>41</v>
      </c>
      <c r="L116" s="73"/>
      <c r="M116" s="129"/>
      <c r="N116" s="65"/>
      <c r="O116" s="130"/>
      <c r="P116" s="131"/>
      <c r="S116" s="1"/>
      <c r="T116" s="1"/>
      <c r="U116" s="1"/>
    </row>
    <row r="117" spans="1:21" ht="38">
      <c r="A117" s="126" t="s">
        <v>900</v>
      </c>
      <c r="C117" s="134" t="s">
        <v>901</v>
      </c>
      <c r="D117" s="135" t="s">
        <v>902</v>
      </c>
      <c r="G117" s="1"/>
      <c r="H117" s="65" t="s">
        <v>40</v>
      </c>
      <c r="I117" s="127"/>
      <c r="J117" s="65" t="s">
        <v>42</v>
      </c>
      <c r="K117" s="128" t="s">
        <v>41</v>
      </c>
      <c r="L117" s="73"/>
      <c r="M117" s="129"/>
      <c r="N117" s="65"/>
      <c r="O117" s="130"/>
      <c r="P117" s="131"/>
      <c r="S117" s="1"/>
      <c r="T117" s="1"/>
      <c r="U117" s="1"/>
    </row>
    <row r="118" spans="1:21" ht="34">
      <c r="A118" s="126" t="s">
        <v>528</v>
      </c>
      <c r="C118" s="134" t="s">
        <v>529</v>
      </c>
      <c r="D118" s="135" t="s">
        <v>530</v>
      </c>
      <c r="G118" s="1"/>
      <c r="H118" s="65" t="s">
        <v>40</v>
      </c>
      <c r="I118" s="127"/>
      <c r="J118" s="65" t="s">
        <v>42</v>
      </c>
      <c r="K118" s="128" t="s">
        <v>41</v>
      </c>
      <c r="L118" s="73"/>
      <c r="M118" s="129"/>
      <c r="N118" s="65"/>
      <c r="O118" s="130"/>
      <c r="P118" s="131"/>
      <c r="S118" s="1"/>
      <c r="T118" s="1"/>
      <c r="U118" s="1"/>
    </row>
    <row r="119" spans="1:21" ht="72">
      <c r="A119" s="126" t="s">
        <v>37</v>
      </c>
      <c r="C119" s="134" t="s">
        <v>38</v>
      </c>
      <c r="D119" s="135" t="s">
        <v>39</v>
      </c>
      <c r="G119" s="1"/>
      <c r="H119" s="65" t="s">
        <v>40</v>
      </c>
      <c r="I119" s="127"/>
      <c r="J119" s="65" t="s">
        <v>42</v>
      </c>
      <c r="K119" s="128" t="s">
        <v>41</v>
      </c>
      <c r="L119" s="73"/>
      <c r="M119" s="129"/>
      <c r="N119" s="65"/>
      <c r="O119" s="130"/>
      <c r="P119" s="131"/>
      <c r="S119" s="1"/>
      <c r="T119" s="1"/>
      <c r="U119" s="1"/>
    </row>
    <row r="120" spans="1:21" ht="72">
      <c r="A120" s="126" t="s">
        <v>43</v>
      </c>
      <c r="C120" s="134" t="s">
        <v>44</v>
      </c>
      <c r="D120" s="135" t="s">
        <v>39</v>
      </c>
      <c r="G120" s="1"/>
      <c r="H120" s="65" t="s">
        <v>40</v>
      </c>
      <c r="I120" s="127"/>
      <c r="J120" s="65" t="s">
        <v>42</v>
      </c>
      <c r="K120" s="128" t="s">
        <v>41</v>
      </c>
      <c r="L120" s="73"/>
      <c r="M120" s="129"/>
      <c r="N120" s="65"/>
      <c r="O120" s="130"/>
      <c r="P120" s="131"/>
      <c r="S120" s="1"/>
      <c r="T120" s="1"/>
      <c r="U120" s="1"/>
    </row>
    <row r="121" spans="1:21" ht="34">
      <c r="A121" s="126" t="s">
        <v>115</v>
      </c>
      <c r="C121" s="134" t="s">
        <v>111</v>
      </c>
      <c r="D121" s="135" t="s">
        <v>116</v>
      </c>
      <c r="G121" s="1"/>
      <c r="H121" s="65" t="s">
        <v>40</v>
      </c>
      <c r="I121" s="127"/>
      <c r="J121" s="65" t="s">
        <v>42</v>
      </c>
      <c r="K121" s="128" t="s">
        <v>41</v>
      </c>
      <c r="L121" s="73"/>
      <c r="M121" s="129"/>
      <c r="N121" s="65"/>
      <c r="O121" s="130"/>
      <c r="P121" s="131"/>
      <c r="S121" s="1"/>
      <c r="T121" s="1"/>
      <c r="U121" s="1"/>
    </row>
    <row r="122" spans="1:21" ht="34">
      <c r="A122" s="126" t="s">
        <v>233</v>
      </c>
      <c r="C122" s="134" t="s">
        <v>234</v>
      </c>
      <c r="D122" s="135" t="s">
        <v>235</v>
      </c>
      <c r="G122" s="1"/>
      <c r="H122" s="65" t="s">
        <v>40</v>
      </c>
      <c r="I122" s="127"/>
      <c r="J122" s="65" t="s">
        <v>42</v>
      </c>
      <c r="K122" s="128" t="s">
        <v>41</v>
      </c>
      <c r="L122" s="73"/>
      <c r="M122" s="129"/>
      <c r="N122" s="65"/>
      <c r="O122" s="130"/>
      <c r="P122" s="131"/>
      <c r="S122" s="1"/>
      <c r="T122" s="1"/>
      <c r="U122" s="1"/>
    </row>
    <row r="123" spans="1:21" ht="34">
      <c r="A123" s="126" t="s">
        <v>633</v>
      </c>
      <c r="C123" s="134" t="s">
        <v>634</v>
      </c>
      <c r="D123" s="135" t="s">
        <v>635</v>
      </c>
      <c r="G123" s="1"/>
      <c r="H123" s="65" t="s">
        <v>40</v>
      </c>
      <c r="I123" s="127"/>
      <c r="J123" s="65" t="s">
        <v>42</v>
      </c>
      <c r="K123" s="128" t="s">
        <v>41</v>
      </c>
      <c r="L123" s="73"/>
      <c r="M123" s="129"/>
      <c r="N123" s="65"/>
      <c r="O123" s="130"/>
      <c r="P123" s="131"/>
      <c r="S123" s="1"/>
      <c r="T123" s="1"/>
      <c r="U123" s="1"/>
    </row>
    <row r="124" spans="1:21" ht="34">
      <c r="A124" s="126" t="s">
        <v>168</v>
      </c>
      <c r="C124" s="134" t="s">
        <v>169</v>
      </c>
      <c r="D124" s="135" t="s">
        <v>170</v>
      </c>
      <c r="G124" s="1"/>
      <c r="H124" s="65" t="s">
        <v>40</v>
      </c>
      <c r="I124" s="127"/>
      <c r="J124" s="65" t="s">
        <v>42</v>
      </c>
      <c r="K124" s="128" t="s">
        <v>41</v>
      </c>
      <c r="L124" s="73"/>
      <c r="M124" s="129"/>
      <c r="N124" s="65"/>
      <c r="O124" s="130"/>
      <c r="P124" s="131"/>
      <c r="S124" s="1"/>
      <c r="T124" s="1"/>
      <c r="U124" s="1"/>
    </row>
    <row r="125" spans="1:21" ht="34">
      <c r="A125" s="126" t="s">
        <v>897</v>
      </c>
      <c r="C125" s="134" t="s">
        <v>898</v>
      </c>
      <c r="D125" s="135" t="s">
        <v>899</v>
      </c>
      <c r="G125" s="1"/>
      <c r="H125" s="65" t="s">
        <v>40</v>
      </c>
      <c r="I125" s="127"/>
      <c r="J125" s="65" t="s">
        <v>42</v>
      </c>
      <c r="K125" s="128" t="s">
        <v>41</v>
      </c>
      <c r="L125" s="73"/>
      <c r="M125" s="129"/>
      <c r="N125" s="65"/>
      <c r="O125" s="130"/>
      <c r="P125" s="131"/>
      <c r="S125" s="1"/>
      <c r="T125" s="1"/>
      <c r="U125" s="1"/>
    </row>
    <row r="126" spans="1:21" ht="34">
      <c r="A126" s="126" t="s">
        <v>926</v>
      </c>
      <c r="C126" s="134" t="s">
        <v>927</v>
      </c>
      <c r="D126" s="135"/>
      <c r="G126" s="1"/>
      <c r="H126" s="65" t="s">
        <v>40</v>
      </c>
      <c r="I126" s="127"/>
      <c r="J126" s="65" t="s">
        <v>42</v>
      </c>
      <c r="K126" s="128" t="s">
        <v>41</v>
      </c>
      <c r="L126" s="73"/>
      <c r="M126" s="129"/>
      <c r="N126" s="65"/>
      <c r="O126" s="130"/>
      <c r="P126" s="131"/>
      <c r="S126" s="1"/>
      <c r="T126" s="1"/>
      <c r="U126" s="1"/>
    </row>
    <row r="127" spans="1:21" ht="38">
      <c r="A127" s="126" t="s">
        <v>160</v>
      </c>
      <c r="C127" s="134" t="s">
        <v>161</v>
      </c>
      <c r="D127" s="135" t="s">
        <v>155</v>
      </c>
      <c r="G127" s="1"/>
      <c r="H127" s="65" t="s">
        <v>40</v>
      </c>
      <c r="I127" s="127"/>
      <c r="J127" s="65" t="s">
        <v>42</v>
      </c>
      <c r="K127" s="128" t="s">
        <v>41</v>
      </c>
      <c r="L127" s="73"/>
      <c r="M127" s="129"/>
      <c r="N127" s="65"/>
      <c r="O127" s="130"/>
      <c r="P127" s="131"/>
      <c r="S127" s="1"/>
      <c r="T127" s="1"/>
      <c r="U127" s="1"/>
    </row>
    <row r="128" spans="1:21" ht="34">
      <c r="A128" s="126" t="s">
        <v>889</v>
      </c>
      <c r="C128" s="134" t="s">
        <v>890</v>
      </c>
      <c r="D128" s="135" t="s">
        <v>888</v>
      </c>
      <c r="G128" s="1"/>
      <c r="H128" s="65" t="s">
        <v>40</v>
      </c>
      <c r="I128" s="127"/>
      <c r="J128" s="65" t="s">
        <v>42</v>
      </c>
      <c r="K128" s="128" t="s">
        <v>41</v>
      </c>
      <c r="L128" s="73"/>
      <c r="M128" s="129"/>
      <c r="N128" s="65"/>
      <c r="O128" s="130"/>
      <c r="P128" s="131"/>
      <c r="S128" s="1"/>
      <c r="T128" s="1"/>
      <c r="U128" s="1"/>
    </row>
    <row r="129" spans="1:31" ht="34">
      <c r="A129" s="126" t="s">
        <v>483</v>
      </c>
      <c r="C129" s="134" t="s">
        <v>484</v>
      </c>
      <c r="D129" s="135" t="s">
        <v>485</v>
      </c>
      <c r="G129" s="1"/>
      <c r="H129" s="65" t="s">
        <v>40</v>
      </c>
      <c r="I129" s="127"/>
      <c r="J129" s="65" t="s">
        <v>42</v>
      </c>
      <c r="K129" s="128" t="s">
        <v>41</v>
      </c>
      <c r="L129" s="73"/>
      <c r="M129" s="129"/>
      <c r="N129" s="65"/>
      <c r="O129" s="130"/>
      <c r="P129" s="131"/>
      <c r="S129" s="1"/>
      <c r="T129" s="1"/>
      <c r="U129" s="1"/>
    </row>
    <row r="130" spans="1:31" ht="38">
      <c r="A130" s="126" t="s">
        <v>953</v>
      </c>
      <c r="C130" s="134" t="s">
        <v>517</v>
      </c>
      <c r="D130" s="135" t="s">
        <v>518</v>
      </c>
      <c r="G130" s="1"/>
      <c r="H130" s="65" t="s">
        <v>40</v>
      </c>
      <c r="I130" s="127"/>
      <c r="J130" s="65" t="s">
        <v>42</v>
      </c>
      <c r="K130" s="128" t="s">
        <v>41</v>
      </c>
      <c r="L130" s="73"/>
      <c r="M130" s="129"/>
      <c r="N130" s="65"/>
      <c r="O130" s="130"/>
      <c r="P130" s="131"/>
      <c r="S130" s="1"/>
      <c r="T130" s="1"/>
      <c r="U130" s="1"/>
    </row>
    <row r="131" spans="1:31" ht="34">
      <c r="A131" s="126" t="s">
        <v>822</v>
      </c>
      <c r="C131" s="134" t="s">
        <v>823</v>
      </c>
      <c r="D131" s="135" t="s">
        <v>824</v>
      </c>
      <c r="G131" s="1"/>
      <c r="H131" s="65" t="s">
        <v>40</v>
      </c>
      <c r="I131" s="127"/>
      <c r="J131" s="65" t="s">
        <v>42</v>
      </c>
      <c r="K131" s="128" t="s">
        <v>41</v>
      </c>
      <c r="L131" s="73"/>
      <c r="M131" s="129"/>
      <c r="N131" s="65"/>
      <c r="O131" s="130"/>
      <c r="P131" s="131"/>
      <c r="S131" s="1"/>
      <c r="T131" s="1"/>
      <c r="U131" s="1"/>
    </row>
    <row r="132" spans="1:31" ht="34">
      <c r="A132" s="126" t="s">
        <v>928</v>
      </c>
      <c r="C132" s="134" t="s">
        <v>929</v>
      </c>
      <c r="D132" s="135"/>
      <c r="G132" s="1"/>
      <c r="H132" s="65" t="s">
        <v>40</v>
      </c>
      <c r="I132" s="127"/>
      <c r="J132" s="65" t="s">
        <v>42</v>
      </c>
      <c r="K132" s="128" t="s">
        <v>41</v>
      </c>
      <c r="L132" s="73"/>
      <c r="M132" s="129"/>
      <c r="N132" s="65"/>
      <c r="O132" s="130"/>
      <c r="P132" s="131"/>
      <c r="S132" s="1"/>
      <c r="T132" s="1"/>
      <c r="U132" s="1"/>
    </row>
    <row r="133" spans="1:31" ht="55">
      <c r="A133" s="126" t="s">
        <v>919</v>
      </c>
      <c r="C133" s="134" t="s">
        <v>920</v>
      </c>
      <c r="D133" s="135" t="s">
        <v>921</v>
      </c>
      <c r="G133" s="1"/>
      <c r="H133" s="65" t="s">
        <v>40</v>
      </c>
      <c r="I133" s="127"/>
      <c r="J133" s="65" t="s">
        <v>42</v>
      </c>
      <c r="K133" s="128" t="s">
        <v>41</v>
      </c>
      <c r="L133" s="73"/>
      <c r="M133" s="129"/>
      <c r="N133" s="65"/>
      <c r="O133" s="130"/>
      <c r="P133" s="131"/>
      <c r="S133" s="1"/>
      <c r="T133" s="1"/>
      <c r="U133" s="1"/>
    </row>
    <row r="134" spans="1:31" ht="55">
      <c r="A134" s="126" t="s">
        <v>922</v>
      </c>
      <c r="C134" s="134" t="s">
        <v>923</v>
      </c>
      <c r="D134" s="135" t="s">
        <v>921</v>
      </c>
      <c r="G134" s="1"/>
      <c r="H134" s="65" t="s">
        <v>40</v>
      </c>
      <c r="I134" s="127"/>
      <c r="J134" s="65" t="s">
        <v>42</v>
      </c>
      <c r="K134" s="128" t="s">
        <v>41</v>
      </c>
      <c r="L134" s="73"/>
      <c r="M134" s="129"/>
      <c r="N134" s="65"/>
      <c r="O134" s="130"/>
      <c r="P134" s="131"/>
      <c r="S134" s="1"/>
      <c r="T134" s="1"/>
      <c r="U134" s="1"/>
    </row>
    <row r="135" spans="1:31" ht="34">
      <c r="A135" s="126" t="s">
        <v>522</v>
      </c>
      <c r="C135" s="134" t="s">
        <v>523</v>
      </c>
      <c r="D135" s="135" t="s">
        <v>524</v>
      </c>
      <c r="G135" s="1"/>
      <c r="H135" s="65" t="s">
        <v>40</v>
      </c>
      <c r="I135" s="127"/>
      <c r="J135" s="65" t="s">
        <v>42</v>
      </c>
      <c r="K135" s="128" t="s">
        <v>41</v>
      </c>
      <c r="L135" s="73"/>
      <c r="M135" s="129"/>
      <c r="N135" s="65"/>
      <c r="O135" s="130"/>
      <c r="P135" s="131"/>
      <c r="S135" s="1"/>
      <c r="T135" s="1"/>
      <c r="U135" s="1"/>
    </row>
    <row r="136" spans="1:31" ht="38">
      <c r="A136" s="126" t="s">
        <v>448</v>
      </c>
      <c r="C136" s="134" t="s">
        <v>449</v>
      </c>
      <c r="D136" s="135" t="s">
        <v>450</v>
      </c>
      <c r="G136" s="1"/>
      <c r="H136" s="65" t="s">
        <v>40</v>
      </c>
      <c r="I136" s="127"/>
      <c r="J136" s="65" t="s">
        <v>42</v>
      </c>
      <c r="K136" s="128" t="s">
        <v>41</v>
      </c>
      <c r="L136" s="73"/>
      <c r="M136" s="129"/>
      <c r="N136" s="65"/>
      <c r="O136" s="130"/>
      <c r="P136" s="131"/>
      <c r="S136" s="1"/>
      <c r="T136" s="1"/>
      <c r="U136" s="1"/>
    </row>
    <row r="137" spans="1:31" ht="34">
      <c r="A137" s="126" t="s">
        <v>525</v>
      </c>
      <c r="C137" s="134" t="s">
        <v>526</v>
      </c>
      <c r="D137" s="135" t="s">
        <v>527</v>
      </c>
      <c r="G137" s="1"/>
      <c r="H137" s="65" t="s">
        <v>40</v>
      </c>
      <c r="I137" s="127"/>
      <c r="J137" s="65" t="s">
        <v>42</v>
      </c>
      <c r="K137" s="128" t="s">
        <v>41</v>
      </c>
      <c r="L137" s="73"/>
      <c r="M137" s="129"/>
      <c r="N137" s="65"/>
      <c r="O137" s="130"/>
      <c r="P137" s="131"/>
      <c r="S137" s="1"/>
      <c r="T137" s="1"/>
      <c r="U137" s="1"/>
    </row>
    <row r="138" spans="1:31" ht="34">
      <c r="A138" s="126" t="s">
        <v>289</v>
      </c>
      <c r="C138" s="134" t="s">
        <v>290</v>
      </c>
      <c r="D138" s="135" t="s">
        <v>291</v>
      </c>
      <c r="G138" s="1"/>
      <c r="H138" s="65" t="s">
        <v>40</v>
      </c>
      <c r="I138" s="127"/>
      <c r="J138" s="65" t="s">
        <v>42</v>
      </c>
      <c r="K138" s="128" t="s">
        <v>41</v>
      </c>
      <c r="L138" s="73"/>
      <c r="M138" s="129"/>
      <c r="N138" s="65"/>
      <c r="O138" s="130"/>
      <c r="P138" s="131"/>
      <c r="S138" s="1"/>
      <c r="T138" s="1"/>
      <c r="U138" s="1"/>
    </row>
    <row r="139" spans="1:31" ht="47">
      <c r="A139" s="126" t="s">
        <v>445</v>
      </c>
      <c r="C139" s="134" t="s">
        <v>446</v>
      </c>
      <c r="D139" s="135" t="s">
        <v>447</v>
      </c>
      <c r="G139" s="1"/>
      <c r="H139" s="65" t="s">
        <v>40</v>
      </c>
      <c r="I139" s="127"/>
      <c r="J139" s="65" t="s">
        <v>42</v>
      </c>
      <c r="K139" s="128" t="s">
        <v>41</v>
      </c>
      <c r="L139" s="73"/>
      <c r="M139" s="129"/>
      <c r="N139" s="65"/>
      <c r="O139" s="130"/>
      <c r="P139" s="131"/>
      <c r="S139" s="1"/>
      <c r="T139" s="1"/>
      <c r="U139" s="1"/>
    </row>
    <row r="140" spans="1:31" ht="38">
      <c r="A140" s="1" t="s">
        <v>254</v>
      </c>
      <c r="B140" s="1" t="s">
        <v>255</v>
      </c>
      <c r="C140" s="1" t="s">
        <v>256</v>
      </c>
      <c r="D140" s="1" t="s">
        <v>257</v>
      </c>
      <c r="E140" s="1"/>
      <c r="F140" s="1"/>
      <c r="G140" s="1" t="s">
        <v>103</v>
      </c>
      <c r="H140" s="65" t="s">
        <v>210</v>
      </c>
      <c r="I140" s="1"/>
      <c r="J140" s="65" t="s">
        <v>258</v>
      </c>
      <c r="K140" s="128"/>
      <c r="L140" s="73"/>
      <c r="M140" s="129"/>
      <c r="N140" s="65"/>
      <c r="O140" s="81" t="b">
        <v>0</v>
      </c>
      <c r="P140" s="85" t="s">
        <v>94</v>
      </c>
      <c r="Q140" s="2">
        <f>DATE(2024,10,16)+TIME(15,35,32)</f>
        <v>45581.649675925924</v>
      </c>
      <c r="R140" s="1" t="s">
        <v>95</v>
      </c>
      <c r="S140" s="1"/>
      <c r="T140" s="1"/>
      <c r="U140" s="1"/>
      <c r="V140" s="1"/>
      <c r="W140" s="1"/>
      <c r="X140" s="1"/>
      <c r="Y140" s="1"/>
      <c r="Z140" s="1" t="s">
        <v>62</v>
      </c>
      <c r="AA140" s="2">
        <f>DATE(2024,10,16)+TIME(15,35,43)</f>
        <v>45581.64980324074</v>
      </c>
      <c r="AB140" s="1" t="s">
        <v>259</v>
      </c>
      <c r="AC140" s="1" t="s">
        <v>64</v>
      </c>
      <c r="AD140" s="1" t="s">
        <v>65</v>
      </c>
      <c r="AE140" s="1" t="s">
        <v>61</v>
      </c>
    </row>
    <row r="141" spans="1:31" ht="55">
      <c r="A141" s="1" t="s">
        <v>334</v>
      </c>
      <c r="B141" s="1" t="s">
        <v>335</v>
      </c>
      <c r="C141" s="1" t="s">
        <v>336</v>
      </c>
      <c r="D141" s="1" t="s">
        <v>337</v>
      </c>
      <c r="E141" s="1" t="s">
        <v>338</v>
      </c>
      <c r="F141" s="1" t="s">
        <v>339</v>
      </c>
      <c r="G141" s="1" t="s">
        <v>103</v>
      </c>
      <c r="H141" s="65" t="s">
        <v>954</v>
      </c>
      <c r="I141" s="1"/>
      <c r="J141" s="65"/>
      <c r="K141" s="128"/>
      <c r="L141" s="73"/>
      <c r="M141" s="129"/>
      <c r="N141" s="65"/>
      <c r="O141" s="81" t="b">
        <v>0</v>
      </c>
      <c r="P141" s="85" t="b">
        <v>0</v>
      </c>
      <c r="Q141" s="2">
        <f>DATE(2024,10,16)+TIME(13,59,12)</f>
        <v>45581.582777777781</v>
      </c>
      <c r="R141" s="1" t="s">
        <v>95</v>
      </c>
      <c r="S141" s="1"/>
      <c r="T141" s="1"/>
      <c r="U141" s="1"/>
      <c r="V141" s="1"/>
      <c r="W141" s="1"/>
      <c r="X141" s="1"/>
      <c r="Y141" s="1"/>
      <c r="Z141" s="1" t="s">
        <v>62</v>
      </c>
      <c r="AA141" s="2">
        <f>DATE(2024,10,16)+TIME(13,59,21)</f>
        <v>45581.582881944443</v>
      </c>
      <c r="AB141" s="1" t="s">
        <v>259</v>
      </c>
      <c r="AC141" s="1" t="s">
        <v>64</v>
      </c>
      <c r="AD141" s="1" t="s">
        <v>65</v>
      </c>
      <c r="AE141" s="1" t="s">
        <v>61</v>
      </c>
    </row>
    <row r="142" spans="1:31" ht="38">
      <c r="A142" s="1" t="s">
        <v>457</v>
      </c>
      <c r="B142" s="1" t="s">
        <v>909</v>
      </c>
      <c r="C142" s="102" t="s">
        <v>910</v>
      </c>
      <c r="D142" s="1" t="s">
        <v>911</v>
      </c>
      <c r="E142" s="1" t="s">
        <v>912</v>
      </c>
      <c r="F142" s="1" t="s">
        <v>913</v>
      </c>
      <c r="G142" s="1" t="s">
        <v>103</v>
      </c>
      <c r="H142" s="65" t="s">
        <v>123</v>
      </c>
      <c r="I142" s="1"/>
      <c r="J142" s="65" t="s">
        <v>914</v>
      </c>
      <c r="K142" s="128"/>
      <c r="L142" s="73"/>
      <c r="M142" s="129"/>
      <c r="N142" s="65"/>
      <c r="O142" s="81" t="b">
        <v>1</v>
      </c>
      <c r="P142" s="85" t="b">
        <v>1</v>
      </c>
      <c r="Q142" s="2">
        <f>DATE(2024,10,15)+TIME(12,15,34)</f>
        <v>45580.510810185187</v>
      </c>
      <c r="R142" s="1" t="s">
        <v>95</v>
      </c>
      <c r="S142" s="1"/>
      <c r="T142" s="1"/>
      <c r="U142" s="1"/>
      <c r="V142" s="1"/>
      <c r="W142" s="1"/>
      <c r="X142" s="1"/>
      <c r="Y142" s="1"/>
      <c r="Z142" s="1" t="s">
        <v>62</v>
      </c>
      <c r="AA142" s="2">
        <f>DATE(2024,10,15)+TIME(12,15,40)</f>
        <v>45580.510879629626</v>
      </c>
      <c r="AB142" s="1" t="s">
        <v>253</v>
      </c>
      <c r="AC142" s="1" t="s">
        <v>64</v>
      </c>
      <c r="AD142" s="1" t="s">
        <v>65</v>
      </c>
      <c r="AE142" s="1" t="s">
        <v>61</v>
      </c>
    </row>
    <row r="143" spans="1:31" ht="55">
      <c r="A143" s="1" t="s">
        <v>915</v>
      </c>
      <c r="B143" s="1" t="s">
        <v>224</v>
      </c>
      <c r="C143" s="102" t="s">
        <v>916</v>
      </c>
      <c r="D143" s="1" t="s">
        <v>911</v>
      </c>
      <c r="E143" s="1" t="s">
        <v>917</v>
      </c>
      <c r="F143" s="1" t="s">
        <v>918</v>
      </c>
      <c r="G143" s="1" t="s">
        <v>103</v>
      </c>
      <c r="H143" s="65" t="s">
        <v>123</v>
      </c>
      <c r="I143" s="1"/>
      <c r="J143" s="65" t="s">
        <v>914</v>
      </c>
      <c r="K143" s="132"/>
      <c r="L143" s="108"/>
      <c r="M143" s="133"/>
      <c r="N143" s="69"/>
      <c r="O143" s="79" t="b">
        <v>1</v>
      </c>
      <c r="P143" s="83" t="b">
        <v>1</v>
      </c>
      <c r="Q143" s="2">
        <f>DATE(2024,10,15)+TIME(12,15,41)</f>
        <v>45580.510891203703</v>
      </c>
      <c r="R143" s="1" t="s">
        <v>95</v>
      </c>
      <c r="S143" s="1"/>
      <c r="T143" s="1"/>
      <c r="U143" s="1"/>
      <c r="V143" s="1"/>
      <c r="W143" s="1"/>
      <c r="X143" s="1"/>
      <c r="Y143" s="1"/>
      <c r="Z143" s="1" t="s">
        <v>62</v>
      </c>
      <c r="AA143" s="2">
        <f>DATE(2024,10,15)+TIME(12,15,49)</f>
        <v>45580.510983796295</v>
      </c>
      <c r="AB143" s="1" t="s">
        <v>708</v>
      </c>
      <c r="AC143" s="1" t="s">
        <v>64</v>
      </c>
      <c r="AD143" s="1" t="s">
        <v>65</v>
      </c>
      <c r="AE143" s="1" t="s">
        <v>61</v>
      </c>
    </row>
  </sheetData>
  <dataConsolidate/>
  <hyperlinks>
    <hyperlink ref="N7" r:id="rId1" xr:uid="{B7A397D3-B7EE-EF49-B940-20DC4B9007ED}"/>
    <hyperlink ref="N32" r:id="rId2" xr:uid="{FBBA34C7-E9E8-2044-BA4D-88AEC67E3B86}"/>
    <hyperlink ref="C28" r:id="rId3" xr:uid="{BA6CFFA9-FBCF-1744-ADEC-86284CDC0D9B}"/>
    <hyperlink ref="C53" r:id="rId4" xr:uid="{56C88468-BB82-4F42-9091-312DB6D49B6D}"/>
    <hyperlink ref="C55" r:id="rId5" xr:uid="{B6E6738C-B74D-234B-B779-0F0B318DF06D}"/>
    <hyperlink ref="C61" r:id="rId6" xr:uid="{D357E032-66BB-294A-9F59-C424F991F77A}"/>
    <hyperlink ref="C85" r:id="rId7" xr:uid="{9FFD13FA-0887-F047-945D-3E57AB10FEB3}"/>
    <hyperlink ref="C56" r:id="rId8" xr:uid="{A1F3D8B6-4C76-4005-9897-E0ABEE5D4140}"/>
    <hyperlink ref="C16" r:id="rId9" xr:uid="{FC7BA123-914F-6C45-A6EB-B4CEB41A0A2D}"/>
    <hyperlink ref="C17" r:id="rId10" xr:uid="{AA492CFE-38B3-9B48-BF17-D2CDAF8CABCD}"/>
    <hyperlink ref="C18" r:id="rId11" xr:uid="{7FB9FD61-8086-6D41-8F32-EF5AC38DFBB3}"/>
    <hyperlink ref="C97" r:id="rId12" xr:uid="{55F53FF8-89C2-2640-9C02-E0B251CE3E68}"/>
    <hyperlink ref="C32" r:id="rId13" xr:uid="{6CB49A4B-1E3A-CB44-BF56-F204E80C2D3B}"/>
    <hyperlink ref="C101" r:id="rId14" xr:uid="{121F50EB-F0DD-7743-AFC2-D7608F8B7BB1}"/>
    <hyperlink ref="C54" r:id="rId15" xr:uid="{974B580C-6013-2842-8E55-02D00E2B2814}"/>
    <hyperlink ref="C38" r:id="rId16" xr:uid="{95ED4740-4B9E-D94C-B2DD-7CAB6C27A720}"/>
    <hyperlink ref="C3" r:id="rId17" xr:uid="{F94E68DE-D9C7-4FC9-B553-FFA7C80863B8}"/>
    <hyperlink ref="C35" r:id="rId18" xr:uid="{B7C0EC57-D4B3-442D-AE69-A386C56A5986}"/>
    <hyperlink ref="C21" r:id="rId19" xr:uid="{CE09F4BB-6417-4957-8738-957FC40CC352}"/>
    <hyperlink ref="C33" r:id="rId20" xr:uid="{01A302B6-D1C8-49B2-89C6-377060C2CA4E}"/>
    <hyperlink ref="C37" r:id="rId21" xr:uid="{3A51A6F0-763B-4922-A7F7-E24011331714}"/>
    <hyperlink ref="C40" r:id="rId22" xr:uid="{930F8493-1381-4B06-BF4E-0A2FFC60634E}"/>
    <hyperlink ref="C41" r:id="rId23" xr:uid="{0A897F79-5431-4C03-B51B-51A67B680C85}"/>
    <hyperlink ref="C4" r:id="rId24" xr:uid="{F711DF8E-5579-4137-A01B-5BA2C530524E}"/>
    <hyperlink ref="C5" r:id="rId25" xr:uid="{6E872A45-7DA0-4341-900E-47013A7F3C60}"/>
    <hyperlink ref="C15" r:id="rId26" xr:uid="{D5A60AA8-3144-49F2-B5E1-5D331DA3C41C}"/>
    <hyperlink ref="C20" r:id="rId27" xr:uid="{520AD96F-1C14-4133-B21A-300C193F5E78}"/>
    <hyperlink ref="C22" r:id="rId28" xr:uid="{30F2F7FF-EBB8-5341-A3F8-2EBC47F246AA}"/>
    <hyperlink ref="C142" r:id="rId29" xr:uid="{74202C14-D1E2-DE44-B89E-F73E0FAD5224}"/>
    <hyperlink ref="C143" r:id="rId30" xr:uid="{8C488DF7-F0E9-4743-9421-74FC059265CB}"/>
    <hyperlink ref="C105" r:id="rId31" xr:uid="{DDC9FE06-02AA-40C5-A393-AB90D8ED6154}"/>
    <hyperlink ref="C106" r:id="rId32" xr:uid="{22DCDF23-F716-4B25-8052-5630C3E91D1E}"/>
    <hyperlink ref="C107" r:id="rId33" xr:uid="{93FFD115-76D9-4813-929D-DBA9A62B4E44}"/>
    <hyperlink ref="C108" r:id="rId34" xr:uid="{56D76D1E-88D9-4A0A-81E0-B84E39090ACC}"/>
    <hyperlink ref="C109" r:id="rId35" xr:uid="{93B4E524-29EF-41D7-ADC9-96A155E28075}"/>
    <hyperlink ref="C110" r:id="rId36" xr:uid="{2551C0DE-45C4-48AE-B6C0-BC4D3A837B47}"/>
    <hyperlink ref="C111" r:id="rId37" xr:uid="{DA3E279A-55A1-4968-AB7F-E87A386984EA}"/>
    <hyperlink ref="C112" r:id="rId38" xr:uid="{A5638FFB-DA1D-47F9-984D-C3D79DBC3022}"/>
    <hyperlink ref="C113" r:id="rId39" xr:uid="{536243A5-9207-4BE0-BB16-F38D3885F460}"/>
    <hyperlink ref="C114" r:id="rId40" xr:uid="{E9BAF12D-BA75-41F0-9D31-58084FA0B355}"/>
    <hyperlink ref="C115" r:id="rId41" xr:uid="{E42AE3EE-5226-4473-9885-06FF9BD5A7F7}"/>
    <hyperlink ref="C116" r:id="rId42" xr:uid="{8372CF21-4600-43C0-A837-1ABD086D03AE}"/>
    <hyperlink ref="C117" r:id="rId43" xr:uid="{C4738F98-177F-4E7D-8FF1-A1B079A37016}"/>
    <hyperlink ref="C118" r:id="rId44" xr:uid="{A06A1418-A9B7-4626-B055-2AFCC44BEB62}"/>
    <hyperlink ref="C119" r:id="rId45" xr:uid="{6DB34C39-91BE-4869-AA3C-11BF77F7B0B0}"/>
    <hyperlink ref="C120" r:id="rId46" xr:uid="{F84F4569-30E7-4BDF-AD51-336A93A9FB93}"/>
    <hyperlink ref="C121" r:id="rId47" xr:uid="{596389AB-66E8-470E-BCA7-A77DD373FC2D}"/>
    <hyperlink ref="C122" r:id="rId48" xr:uid="{C0C63AEC-B359-403C-B01B-1FD6706EB056}"/>
    <hyperlink ref="C123" r:id="rId49" xr:uid="{6E20EDFB-A5AF-4B7E-9189-4F819F95D4B3}"/>
    <hyperlink ref="C124" r:id="rId50" xr:uid="{A681146B-74D0-4B10-A444-1268A49ED620}"/>
    <hyperlink ref="C125" r:id="rId51" xr:uid="{602E8F30-628A-4399-846A-80ACAB29E067}"/>
    <hyperlink ref="C126" r:id="rId52" xr:uid="{64B18B60-C46B-4D6F-9F71-789788AEDF4A}"/>
    <hyperlink ref="C127" r:id="rId53" xr:uid="{43E6B5CE-E533-47E8-9F4F-CE3A2D3D6C14}"/>
    <hyperlink ref="C128" r:id="rId54" xr:uid="{52543D8F-6B8D-43E7-9209-197439D74E1F}"/>
    <hyperlink ref="C129" r:id="rId55" xr:uid="{3A0F74A3-844E-4E4A-B6C6-71342DC6F7E9}"/>
    <hyperlink ref="C130" r:id="rId56" xr:uid="{18BBABAF-6DA9-432D-94DB-72B465723044}"/>
    <hyperlink ref="C131" r:id="rId57" xr:uid="{658DF8DB-6547-4B28-BE31-A8EE1FC545AB}"/>
    <hyperlink ref="C132" r:id="rId58" xr:uid="{8D8FA764-6EDF-472B-8EBC-7A19DDFC861A}"/>
    <hyperlink ref="C133" r:id="rId59" xr:uid="{484762B2-FCDA-4FAD-A6AE-47957CAF7E1A}"/>
    <hyperlink ref="C134" r:id="rId60" xr:uid="{B5399646-D5F9-4B74-B8A1-5B3C4D158F0A}"/>
    <hyperlink ref="C135" r:id="rId61" xr:uid="{EEA17951-DD4F-4B26-95C0-238E620D213E}"/>
    <hyperlink ref="C136" r:id="rId62" xr:uid="{FC1947AA-5223-4EEC-B647-F0AF178DF1DE}"/>
    <hyperlink ref="C137" r:id="rId63" xr:uid="{D60A4A3F-7756-4779-959C-98647ADBDF4A}"/>
    <hyperlink ref="C138" r:id="rId64" xr:uid="{F62DC45F-7F69-4B4C-9163-2537533DD1C5}"/>
    <hyperlink ref="C139" r:id="rId65" xr:uid="{16D36F2E-6EB3-4A3F-B5FB-18F66C9FE980}"/>
  </hyperlinks>
  <pageMargins left="0.7" right="0.7" top="0.75" bottom="0.75" header="0.3" footer="0.3"/>
  <tableParts count="1">
    <tablePart r:id="rId6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2F74-4E6F-464A-AC74-6758993C39C5}">
  <sheetPr>
    <tabColor rgb="FF92D050"/>
  </sheetPr>
  <dimension ref="A1:L503"/>
  <sheetViews>
    <sheetView topLeftCell="H276" zoomScale="110" workbookViewId="0">
      <selection activeCell="L282" sqref="A1:L503"/>
    </sheetView>
  </sheetViews>
  <sheetFormatPr baseColWidth="10" defaultColWidth="8.83203125" defaultRowHeight="13"/>
  <cols>
    <col min="1" max="1" width="42.83203125" customWidth="1"/>
    <col min="2" max="2" width="37.5" customWidth="1"/>
    <col min="3" max="3" width="18.6640625" customWidth="1"/>
    <col min="4" max="4" width="18.1640625" bestFit="1" customWidth="1"/>
    <col min="5" max="5" width="26" customWidth="1"/>
    <col min="6" max="6" width="35.33203125" style="24" customWidth="1"/>
    <col min="7" max="7" width="19.5" style="24" bestFit="1" customWidth="1"/>
    <col min="8" max="8" width="30" style="24" customWidth="1"/>
    <col min="9" max="9" width="30" customWidth="1"/>
    <col min="10" max="10" width="29.1640625" style="39" customWidth="1"/>
    <col min="11" max="11" width="42.5" style="39" customWidth="1"/>
    <col min="12" max="12" width="35.6640625" style="39" customWidth="1"/>
  </cols>
  <sheetData>
    <row r="1" spans="1:12" ht="17">
      <c r="A1" s="42" t="s">
        <v>3</v>
      </c>
      <c r="B1" s="42" t="s">
        <v>4</v>
      </c>
      <c r="C1" s="42" t="s">
        <v>955</v>
      </c>
      <c r="D1" s="35" t="s">
        <v>956</v>
      </c>
      <c r="E1" s="35" t="s">
        <v>957</v>
      </c>
      <c r="F1" s="35" t="s">
        <v>958</v>
      </c>
      <c r="G1" s="22" t="s">
        <v>959</v>
      </c>
      <c r="H1" s="22" t="s">
        <v>960</v>
      </c>
      <c r="I1" s="35" t="s">
        <v>961</v>
      </c>
      <c r="J1" s="37" t="s">
        <v>962</v>
      </c>
      <c r="K1" s="38" t="s">
        <v>963</v>
      </c>
      <c r="L1" s="50" t="s">
        <v>964</v>
      </c>
    </row>
    <row r="2" spans="1:12" ht="17" hidden="1">
      <c r="A2" s="1" t="s">
        <v>965</v>
      </c>
      <c r="B2" s="1" t="s">
        <v>216</v>
      </c>
      <c r="C2" s="1"/>
      <c r="F2"/>
      <c r="G2" t="s">
        <v>95</v>
      </c>
      <c r="H2"/>
      <c r="J2"/>
      <c r="K2"/>
      <c r="L2"/>
    </row>
    <row r="3" spans="1:12" ht="17" hidden="1">
      <c r="A3" s="1" t="s">
        <v>966</v>
      </c>
      <c r="B3" s="1" t="s">
        <v>264</v>
      </c>
      <c r="C3" s="1"/>
      <c r="F3"/>
      <c r="G3" t="s">
        <v>95</v>
      </c>
      <c r="H3"/>
      <c r="J3"/>
      <c r="K3"/>
      <c r="L3"/>
    </row>
    <row r="4" spans="1:12" ht="17" hidden="1">
      <c r="A4" s="3" t="s">
        <v>967</v>
      </c>
      <c r="B4" s="3" t="s">
        <v>968</v>
      </c>
      <c r="C4" s="3"/>
      <c r="F4"/>
      <c r="G4" t="s">
        <v>95</v>
      </c>
      <c r="H4"/>
      <c r="J4"/>
      <c r="K4"/>
      <c r="L4"/>
    </row>
    <row r="5" spans="1:12" ht="17" hidden="1">
      <c r="A5" s="3" t="s">
        <v>969</v>
      </c>
      <c r="B5" s="3" t="s">
        <v>970</v>
      </c>
      <c r="C5" s="3"/>
      <c r="F5"/>
      <c r="G5" t="s">
        <v>95</v>
      </c>
      <c r="H5"/>
      <c r="J5"/>
      <c r="K5"/>
      <c r="L5"/>
    </row>
    <row r="6" spans="1:12" ht="17" hidden="1">
      <c r="A6" s="3" t="s">
        <v>971</v>
      </c>
      <c r="B6" s="3" t="s">
        <v>972</v>
      </c>
      <c r="C6" s="3"/>
      <c r="F6"/>
      <c r="G6" t="s">
        <v>95</v>
      </c>
      <c r="H6"/>
      <c r="J6"/>
      <c r="K6"/>
      <c r="L6"/>
    </row>
    <row r="7" spans="1:12" ht="17" hidden="1">
      <c r="A7" s="3" t="s">
        <v>973</v>
      </c>
      <c r="B7" s="3" t="s">
        <v>271</v>
      </c>
      <c r="C7" s="3"/>
      <c r="F7"/>
      <c r="G7" t="s">
        <v>95</v>
      </c>
      <c r="H7"/>
      <c r="J7"/>
      <c r="K7"/>
      <c r="L7"/>
    </row>
    <row r="8" spans="1:12" ht="98">
      <c r="A8" s="43" t="s">
        <v>974</v>
      </c>
      <c r="B8" s="43" t="s">
        <v>975</v>
      </c>
      <c r="C8" s="43"/>
      <c r="D8" s="17" t="s">
        <v>976</v>
      </c>
      <c r="E8" s="17"/>
      <c r="F8" s="29"/>
      <c r="G8" s="18" t="s">
        <v>61</v>
      </c>
      <c r="H8" s="23" t="s">
        <v>55</v>
      </c>
      <c r="I8" s="27" t="s">
        <v>977</v>
      </c>
      <c r="J8" s="39" t="s">
        <v>978</v>
      </c>
      <c r="K8" s="39" t="s">
        <v>979</v>
      </c>
      <c r="L8" s="40" t="s">
        <v>980</v>
      </c>
    </row>
    <row r="9" spans="1:12" ht="42">
      <c r="A9" s="43" t="s">
        <v>981</v>
      </c>
      <c r="B9" s="43" t="s">
        <v>982</v>
      </c>
      <c r="C9" s="43"/>
      <c r="D9" s="17" t="s">
        <v>976</v>
      </c>
      <c r="E9" s="17"/>
      <c r="F9" s="29"/>
      <c r="G9" s="23" t="s">
        <v>95</v>
      </c>
      <c r="H9" s="23" t="s">
        <v>55</v>
      </c>
      <c r="I9" s="27" t="s">
        <v>977</v>
      </c>
      <c r="J9" s="39" t="s">
        <v>978</v>
      </c>
      <c r="K9" s="39" t="s">
        <v>979</v>
      </c>
      <c r="L9" s="40" t="s">
        <v>983</v>
      </c>
    </row>
    <row r="10" spans="1:12" ht="98">
      <c r="A10" s="43" t="s">
        <v>984</v>
      </c>
      <c r="B10" s="43" t="s">
        <v>985</v>
      </c>
      <c r="C10" s="43"/>
      <c r="D10" s="17" t="s">
        <v>986</v>
      </c>
      <c r="E10" s="17" t="s">
        <v>61</v>
      </c>
      <c r="F10" s="29"/>
      <c r="G10" s="23" t="s">
        <v>95</v>
      </c>
      <c r="H10" s="23" t="s">
        <v>55</v>
      </c>
      <c r="I10" s="27" t="s">
        <v>977</v>
      </c>
      <c r="J10" s="39" t="s">
        <v>978</v>
      </c>
      <c r="K10" s="39" t="s">
        <v>987</v>
      </c>
      <c r="L10" s="40" t="s">
        <v>988</v>
      </c>
    </row>
    <row r="11" spans="1:12" ht="16">
      <c r="A11" s="43" t="s">
        <v>989</v>
      </c>
      <c r="B11" s="43" t="s">
        <v>990</v>
      </c>
      <c r="C11" s="43"/>
      <c r="D11" s="17" t="s">
        <v>986</v>
      </c>
      <c r="E11" s="17"/>
      <c r="F11" s="29"/>
      <c r="G11" s="23" t="s">
        <v>95</v>
      </c>
      <c r="H11" s="23" t="s">
        <v>55</v>
      </c>
      <c r="I11" s="27" t="s">
        <v>977</v>
      </c>
      <c r="J11" s="39" t="s">
        <v>991</v>
      </c>
      <c r="K11" s="39" t="s">
        <v>992</v>
      </c>
      <c r="L11" s="40" t="s">
        <v>993</v>
      </c>
    </row>
    <row r="12" spans="1:12" ht="17" hidden="1">
      <c r="A12" s="16" t="s">
        <v>994</v>
      </c>
      <c r="B12" s="16" t="s">
        <v>995</v>
      </c>
      <c r="C12" s="16"/>
      <c r="D12" s="17" t="s">
        <v>996</v>
      </c>
      <c r="E12" s="17"/>
      <c r="F12" s="18"/>
      <c r="G12" s="23" t="s">
        <v>95</v>
      </c>
      <c r="H12" s="23" t="s">
        <v>104</v>
      </c>
      <c r="I12" s="18"/>
      <c r="J12"/>
      <c r="K12" s="10"/>
      <c r="L12" s="10"/>
    </row>
    <row r="13" spans="1:12" ht="17" hidden="1">
      <c r="A13" s="1" t="s">
        <v>997</v>
      </c>
      <c r="B13" s="1" t="s">
        <v>998</v>
      </c>
      <c r="C13" s="1"/>
      <c r="F13"/>
      <c r="G13" t="s">
        <v>95</v>
      </c>
      <c r="H13"/>
      <c r="J13"/>
      <c r="K13"/>
      <c r="L13"/>
    </row>
    <row r="14" spans="1:12" ht="17" hidden="1">
      <c r="A14" s="3" t="s">
        <v>935</v>
      </c>
      <c r="B14" s="3" t="s">
        <v>999</v>
      </c>
      <c r="C14" s="3"/>
      <c r="F14"/>
      <c r="G14" t="s">
        <v>95</v>
      </c>
      <c r="H14"/>
      <c r="J14"/>
      <c r="K14"/>
      <c r="L14"/>
    </row>
    <row r="15" spans="1:12" ht="17" hidden="1">
      <c r="A15" s="1" t="s">
        <v>1000</v>
      </c>
      <c r="B15" s="1" t="s">
        <v>1001</v>
      </c>
      <c r="C15" s="1"/>
      <c r="F15"/>
      <c r="G15" t="s">
        <v>95</v>
      </c>
      <c r="H15" s="24" t="s">
        <v>104</v>
      </c>
      <c r="J15"/>
      <c r="K15"/>
      <c r="L15"/>
    </row>
    <row r="16" spans="1:12" ht="17" hidden="1">
      <c r="A16" s="1" t="s">
        <v>1002</v>
      </c>
      <c r="B16" s="1" t="s">
        <v>1003</v>
      </c>
      <c r="C16" s="1"/>
      <c r="F16"/>
      <c r="G16" t="s">
        <v>95</v>
      </c>
      <c r="H16" s="24" t="s">
        <v>104</v>
      </c>
      <c r="J16"/>
      <c r="K16"/>
      <c r="L16"/>
    </row>
    <row r="17" spans="1:12" ht="112">
      <c r="A17" s="16" t="s">
        <v>1004</v>
      </c>
      <c r="B17" s="16" t="s">
        <v>1005</v>
      </c>
      <c r="C17" s="16"/>
      <c r="D17" s="17" t="s">
        <v>1006</v>
      </c>
      <c r="E17" s="17" t="s">
        <v>61</v>
      </c>
      <c r="F17" s="18"/>
      <c r="G17" s="23" t="s">
        <v>95</v>
      </c>
      <c r="H17" s="23" t="s">
        <v>104</v>
      </c>
      <c r="I17" s="18"/>
      <c r="J17" s="39" t="s">
        <v>978</v>
      </c>
      <c r="K17" s="40" t="s">
        <v>1007</v>
      </c>
      <c r="L17" s="40" t="s">
        <v>1008</v>
      </c>
    </row>
    <row r="18" spans="1:12" ht="126">
      <c r="A18" s="16" t="s">
        <v>1009</v>
      </c>
      <c r="B18" s="16" t="s">
        <v>1010</v>
      </c>
      <c r="C18" s="16"/>
      <c r="D18" s="17" t="s">
        <v>1011</v>
      </c>
      <c r="E18" s="17"/>
      <c r="F18" s="18"/>
      <c r="G18" s="23" t="s">
        <v>95</v>
      </c>
      <c r="H18" s="23" t="s">
        <v>104</v>
      </c>
      <c r="I18" s="18"/>
      <c r="J18" s="39" t="s">
        <v>978</v>
      </c>
      <c r="K18" s="40" t="s">
        <v>1012</v>
      </c>
      <c r="L18" s="40" t="s">
        <v>1013</v>
      </c>
    </row>
    <row r="19" spans="1:12" ht="126">
      <c r="A19" s="16" t="s">
        <v>51</v>
      </c>
      <c r="B19" s="16" t="s">
        <v>1014</v>
      </c>
      <c r="C19" s="16"/>
      <c r="D19" s="17" t="s">
        <v>1015</v>
      </c>
      <c r="E19" s="17"/>
      <c r="F19" s="18"/>
      <c r="G19" s="23" t="s">
        <v>95</v>
      </c>
      <c r="H19" s="23" t="s">
        <v>104</v>
      </c>
      <c r="I19" s="18"/>
      <c r="J19" s="39" t="s">
        <v>978</v>
      </c>
      <c r="K19" s="40" t="s">
        <v>1016</v>
      </c>
      <c r="L19" s="40" t="s">
        <v>1017</v>
      </c>
    </row>
    <row r="20" spans="1:12" ht="17" hidden="1">
      <c r="A20" s="1" t="s">
        <v>1018</v>
      </c>
      <c r="B20" s="1" t="s">
        <v>296</v>
      </c>
      <c r="C20" s="1"/>
      <c r="F20"/>
      <c r="G20" t="s">
        <v>95</v>
      </c>
      <c r="H20" s="24" t="s">
        <v>104</v>
      </c>
      <c r="J20"/>
      <c r="K20"/>
      <c r="L20"/>
    </row>
    <row r="21" spans="1:12" ht="17" hidden="1">
      <c r="A21" s="1" t="s">
        <v>1019</v>
      </c>
      <c r="B21" s="1" t="s">
        <v>912</v>
      </c>
      <c r="C21" s="1"/>
      <c r="F21"/>
      <c r="G21" t="s">
        <v>95</v>
      </c>
      <c r="H21" s="24" t="s">
        <v>104</v>
      </c>
      <c r="J21"/>
      <c r="K21"/>
      <c r="L21"/>
    </row>
    <row r="22" spans="1:12" ht="126">
      <c r="A22" s="16" t="s">
        <v>1020</v>
      </c>
      <c r="B22" s="16" t="s">
        <v>1021</v>
      </c>
      <c r="C22" s="16"/>
      <c r="D22" s="17" t="s">
        <v>1022</v>
      </c>
      <c r="E22" s="17"/>
      <c r="F22" s="18" t="s">
        <v>61</v>
      </c>
      <c r="G22" s="23" t="s">
        <v>95</v>
      </c>
      <c r="H22" s="23" t="s">
        <v>104</v>
      </c>
      <c r="I22" s="18"/>
      <c r="J22" s="39" t="s">
        <v>978</v>
      </c>
      <c r="K22" s="40" t="s">
        <v>1023</v>
      </c>
      <c r="L22" s="40" t="s">
        <v>1024</v>
      </c>
    </row>
    <row r="23" spans="1:12" ht="154">
      <c r="A23" s="16" t="s">
        <v>1025</v>
      </c>
      <c r="B23" s="16" t="s">
        <v>1026</v>
      </c>
      <c r="C23" s="16"/>
      <c r="D23" s="17" t="s">
        <v>1006</v>
      </c>
      <c r="E23" s="17" t="s">
        <v>61</v>
      </c>
      <c r="F23" s="19" t="s">
        <v>1027</v>
      </c>
      <c r="G23" s="18" t="s">
        <v>61</v>
      </c>
      <c r="H23" s="23" t="s">
        <v>104</v>
      </c>
      <c r="I23" s="27" t="s">
        <v>977</v>
      </c>
      <c r="J23" s="39" t="s">
        <v>991</v>
      </c>
      <c r="K23" s="40" t="s">
        <v>1028</v>
      </c>
      <c r="L23" s="40" t="s">
        <v>1029</v>
      </c>
    </row>
    <row r="24" spans="1:12" ht="17" hidden="1">
      <c r="A24" s="3" t="s">
        <v>1030</v>
      </c>
      <c r="B24" s="3" t="s">
        <v>1031</v>
      </c>
      <c r="C24" s="3"/>
      <c r="F24"/>
      <c r="G24" t="s">
        <v>95</v>
      </c>
      <c r="H24" s="24" t="s">
        <v>104</v>
      </c>
      <c r="J24"/>
      <c r="K24"/>
      <c r="L24"/>
    </row>
    <row r="25" spans="1:12" ht="17" hidden="1">
      <c r="A25" s="1" t="s">
        <v>1032</v>
      </c>
      <c r="B25" s="1" t="s">
        <v>1033</v>
      </c>
      <c r="C25" s="1"/>
      <c r="F25"/>
      <c r="G25" t="s">
        <v>95</v>
      </c>
      <c r="H25"/>
      <c r="J25"/>
      <c r="K25"/>
      <c r="L25"/>
    </row>
    <row r="26" spans="1:12" ht="17" hidden="1">
      <c r="A26" s="1" t="s">
        <v>84</v>
      </c>
      <c r="B26" s="1" t="s">
        <v>85</v>
      </c>
      <c r="C26" s="1"/>
      <c r="F26"/>
      <c r="G26" t="s">
        <v>95</v>
      </c>
      <c r="H26"/>
      <c r="J26"/>
      <c r="K26"/>
      <c r="L26"/>
    </row>
    <row r="27" spans="1:12" ht="17" hidden="1">
      <c r="A27" s="1" t="s">
        <v>1034</v>
      </c>
      <c r="B27" s="1" t="s">
        <v>85</v>
      </c>
      <c r="C27" s="1"/>
      <c r="F27"/>
      <c r="G27" t="s">
        <v>95</v>
      </c>
      <c r="H27"/>
      <c r="J27"/>
      <c r="K27"/>
      <c r="L27"/>
    </row>
    <row r="28" spans="1:12" ht="17" hidden="1">
      <c r="A28" s="3" t="s">
        <v>1035</v>
      </c>
      <c r="B28" s="3" t="s">
        <v>113</v>
      </c>
      <c r="C28" s="3"/>
      <c r="F28"/>
      <c r="G28" t="s">
        <v>95</v>
      </c>
      <c r="H28"/>
      <c r="J28"/>
      <c r="K28"/>
      <c r="L28"/>
    </row>
    <row r="29" spans="1:12" ht="17" hidden="1">
      <c r="A29" s="1" t="s">
        <v>1036</v>
      </c>
      <c r="B29" s="1" t="s">
        <v>1037</v>
      </c>
      <c r="C29" s="1"/>
      <c r="F29"/>
      <c r="G29" t="s">
        <v>95</v>
      </c>
      <c r="H29"/>
      <c r="J29"/>
      <c r="K29"/>
      <c r="L29"/>
    </row>
    <row r="30" spans="1:12" ht="34" hidden="1">
      <c r="A30" s="16" t="s">
        <v>1038</v>
      </c>
      <c r="B30" s="16" t="s">
        <v>1039</v>
      </c>
      <c r="C30" s="16"/>
      <c r="D30" s="17"/>
      <c r="E30" s="17"/>
      <c r="F30" s="18" t="s">
        <v>1040</v>
      </c>
      <c r="G30" s="23" t="s">
        <v>61</v>
      </c>
      <c r="H30" s="21"/>
      <c r="I30" s="27" t="s">
        <v>977</v>
      </c>
      <c r="J30"/>
      <c r="K30" s="10"/>
      <c r="L30" s="10"/>
    </row>
    <row r="31" spans="1:12" ht="17" hidden="1">
      <c r="A31" s="3" t="s">
        <v>1041</v>
      </c>
      <c r="B31" s="3" t="s">
        <v>1042</v>
      </c>
      <c r="C31" s="3"/>
      <c r="F31"/>
      <c r="G31" t="s">
        <v>95</v>
      </c>
      <c r="H31"/>
      <c r="J31"/>
      <c r="K31"/>
      <c r="L31"/>
    </row>
    <row r="32" spans="1:12" ht="17" hidden="1">
      <c r="A32" s="3" t="s">
        <v>1043</v>
      </c>
      <c r="B32" s="3" t="s">
        <v>1044</v>
      </c>
      <c r="C32" s="3"/>
      <c r="F32"/>
      <c r="G32" t="s">
        <v>95</v>
      </c>
      <c r="H32"/>
      <c r="J32"/>
      <c r="K32"/>
      <c r="L32"/>
    </row>
    <row r="33" spans="1:12" ht="34" hidden="1">
      <c r="A33" s="1" t="s">
        <v>1045</v>
      </c>
      <c r="B33" s="1" t="s">
        <v>1046</v>
      </c>
      <c r="C33" s="1"/>
      <c r="F33"/>
      <c r="G33" t="s">
        <v>95</v>
      </c>
      <c r="H33"/>
      <c r="J33"/>
      <c r="K33"/>
      <c r="L33"/>
    </row>
    <row r="34" spans="1:12" ht="17" hidden="1">
      <c r="A34" s="3" t="s">
        <v>1047</v>
      </c>
      <c r="B34" s="3" t="s">
        <v>1048</v>
      </c>
      <c r="C34" s="3"/>
      <c r="F34"/>
      <c r="G34" t="s">
        <v>95</v>
      </c>
      <c r="H34"/>
      <c r="J34"/>
      <c r="K34"/>
      <c r="L34"/>
    </row>
    <row r="35" spans="1:12" ht="17" hidden="1">
      <c r="A35" s="3" t="s">
        <v>1049</v>
      </c>
      <c r="B35" s="3" t="s">
        <v>1050</v>
      </c>
      <c r="C35" s="3"/>
      <c r="F35"/>
      <c r="G35" t="s">
        <v>95</v>
      </c>
      <c r="H35"/>
      <c r="J35"/>
      <c r="K35"/>
      <c r="L35"/>
    </row>
    <row r="36" spans="1:12" ht="17" hidden="1">
      <c r="A36" s="3" t="s">
        <v>1051</v>
      </c>
      <c r="B36" s="3" t="s">
        <v>1052</v>
      </c>
      <c r="C36" s="3"/>
      <c r="F36"/>
      <c r="G36" t="s">
        <v>95</v>
      </c>
      <c r="H36"/>
      <c r="J36"/>
      <c r="K36"/>
      <c r="L36"/>
    </row>
    <row r="37" spans="1:12" ht="17" hidden="1">
      <c r="A37" s="3" t="s">
        <v>100</v>
      </c>
      <c r="B37" s="3" t="s">
        <v>101</v>
      </c>
      <c r="C37" s="3"/>
      <c r="F37"/>
      <c r="G37" t="s">
        <v>95</v>
      </c>
      <c r="H37"/>
      <c r="J37"/>
      <c r="K37"/>
      <c r="L37"/>
    </row>
    <row r="38" spans="1:12" ht="17" hidden="1">
      <c r="A38" s="1" t="s">
        <v>1053</v>
      </c>
      <c r="B38" s="1" t="s">
        <v>1054</v>
      </c>
      <c r="C38" s="1"/>
      <c r="F38"/>
      <c r="G38" t="s">
        <v>95</v>
      </c>
      <c r="H38"/>
      <c r="J38"/>
      <c r="K38"/>
      <c r="L38"/>
    </row>
    <row r="39" spans="1:12" ht="17" hidden="1">
      <c r="A39" s="16" t="s">
        <v>1055</v>
      </c>
      <c r="B39" s="16" t="s">
        <v>1056</v>
      </c>
      <c r="C39" s="16"/>
      <c r="D39" s="17"/>
      <c r="E39" s="17"/>
      <c r="F39" s="18" t="s">
        <v>1040</v>
      </c>
      <c r="G39" s="23" t="s">
        <v>61</v>
      </c>
      <c r="H39" s="21"/>
      <c r="I39" s="27" t="s">
        <v>977</v>
      </c>
      <c r="J39"/>
      <c r="K39" s="10"/>
      <c r="L39" s="10"/>
    </row>
    <row r="40" spans="1:12" ht="17" hidden="1">
      <c r="A40" s="1" t="s">
        <v>112</v>
      </c>
      <c r="B40" s="1" t="s">
        <v>1057</v>
      </c>
      <c r="C40" s="1"/>
      <c r="F40"/>
      <c r="G40" t="s">
        <v>95</v>
      </c>
      <c r="H40"/>
      <c r="J40"/>
      <c r="K40"/>
      <c r="L40"/>
    </row>
    <row r="41" spans="1:12" ht="17" hidden="1">
      <c r="A41" s="16" t="s">
        <v>1058</v>
      </c>
      <c r="B41" s="16" t="s">
        <v>85</v>
      </c>
      <c r="C41" s="16"/>
      <c r="D41" s="17"/>
      <c r="E41" s="17"/>
      <c r="F41" s="18" t="s">
        <v>1040</v>
      </c>
      <c r="G41" s="23" t="s">
        <v>95</v>
      </c>
      <c r="H41" s="18" t="s">
        <v>55</v>
      </c>
      <c r="I41" s="27" t="s">
        <v>977</v>
      </c>
      <c r="J41"/>
      <c r="K41" s="10"/>
      <c r="L41" s="10"/>
    </row>
    <row r="42" spans="1:12" ht="17" hidden="1">
      <c r="A42" s="16" t="s">
        <v>1059</v>
      </c>
      <c r="B42" s="16" t="s">
        <v>806</v>
      </c>
      <c r="C42" s="16"/>
      <c r="D42" s="17"/>
      <c r="E42" s="17"/>
      <c r="F42" s="18" t="s">
        <v>1040</v>
      </c>
      <c r="G42" s="23" t="s">
        <v>61</v>
      </c>
      <c r="H42" s="21"/>
      <c r="I42" s="27" t="s">
        <v>977</v>
      </c>
      <c r="J42"/>
      <c r="K42" s="10"/>
      <c r="L42" s="10"/>
    </row>
    <row r="43" spans="1:12" ht="17" hidden="1">
      <c r="A43" s="16" t="s">
        <v>120</v>
      </c>
      <c r="B43" s="16" t="s">
        <v>121</v>
      </c>
      <c r="C43" s="16"/>
      <c r="D43" s="17"/>
      <c r="E43" s="17"/>
      <c r="F43" s="18" t="s">
        <v>1060</v>
      </c>
      <c r="G43" s="23" t="s">
        <v>61</v>
      </c>
      <c r="H43" s="21"/>
      <c r="I43" s="27" t="s">
        <v>977</v>
      </c>
      <c r="J43"/>
      <c r="K43" s="10"/>
      <c r="L43" s="10"/>
    </row>
    <row r="44" spans="1:12" ht="17" hidden="1">
      <c r="A44" s="3" t="s">
        <v>1061</v>
      </c>
      <c r="B44" s="3" t="s">
        <v>1062</v>
      </c>
      <c r="C44" s="3"/>
      <c r="F44"/>
      <c r="G44" t="s">
        <v>95</v>
      </c>
      <c r="H44"/>
      <c r="J44"/>
      <c r="K44"/>
      <c r="L44"/>
    </row>
    <row r="45" spans="1:12" ht="17" hidden="1">
      <c r="A45" s="1" t="s">
        <v>1063</v>
      </c>
      <c r="B45" s="1" t="s">
        <v>296</v>
      </c>
      <c r="C45" s="1"/>
      <c r="F45"/>
      <c r="G45" t="s">
        <v>95</v>
      </c>
      <c r="H45"/>
      <c r="J45"/>
      <c r="K45"/>
      <c r="L45"/>
    </row>
    <row r="46" spans="1:12" ht="17" hidden="1">
      <c r="A46" s="3" t="s">
        <v>1064</v>
      </c>
      <c r="B46" s="3" t="s">
        <v>1065</v>
      </c>
      <c r="C46" s="3"/>
      <c r="F46"/>
      <c r="G46" t="s">
        <v>95</v>
      </c>
      <c r="H46"/>
      <c r="J46"/>
      <c r="K46"/>
      <c r="L46"/>
    </row>
    <row r="47" spans="1:12" ht="28">
      <c r="A47" s="43" t="s">
        <v>1066</v>
      </c>
      <c r="B47" s="43" t="s">
        <v>271</v>
      </c>
      <c r="C47" s="43"/>
      <c r="D47" s="17" t="s">
        <v>986</v>
      </c>
      <c r="E47" s="17"/>
      <c r="F47" s="29"/>
      <c r="G47" s="23" t="s">
        <v>95</v>
      </c>
      <c r="H47" s="23" t="s">
        <v>55</v>
      </c>
      <c r="I47" s="27" t="s">
        <v>977</v>
      </c>
      <c r="J47" s="39" t="s">
        <v>978</v>
      </c>
      <c r="K47" s="39" t="s">
        <v>1067</v>
      </c>
      <c r="L47" s="40" t="s">
        <v>1068</v>
      </c>
    </row>
    <row r="48" spans="1:12" ht="28">
      <c r="A48" s="43" t="s">
        <v>1069</v>
      </c>
      <c r="B48" s="43" t="s">
        <v>1070</v>
      </c>
      <c r="C48" s="43"/>
      <c r="D48" s="17" t="s">
        <v>1011</v>
      </c>
      <c r="E48" s="17"/>
      <c r="F48" s="44"/>
      <c r="G48" s="23" t="s">
        <v>95</v>
      </c>
      <c r="H48" s="23" t="s">
        <v>55</v>
      </c>
      <c r="I48" s="27" t="s">
        <v>977</v>
      </c>
      <c r="J48" s="39" t="s">
        <v>978</v>
      </c>
      <c r="K48" s="39" t="s">
        <v>1071</v>
      </c>
      <c r="L48" s="40" t="s">
        <v>1072</v>
      </c>
    </row>
    <row r="49" spans="1:12" ht="28">
      <c r="A49" s="43" t="s">
        <v>1073</v>
      </c>
      <c r="B49" s="43" t="s">
        <v>1074</v>
      </c>
      <c r="C49" s="43"/>
      <c r="D49" s="17" t="s">
        <v>1011</v>
      </c>
      <c r="E49" s="17"/>
      <c r="F49" s="44"/>
      <c r="G49" s="23" t="s">
        <v>95</v>
      </c>
      <c r="H49" s="23" t="s">
        <v>55</v>
      </c>
      <c r="I49" s="27" t="s">
        <v>977</v>
      </c>
      <c r="J49" s="39" t="s">
        <v>978</v>
      </c>
      <c r="K49" s="39" t="s">
        <v>1071</v>
      </c>
      <c r="L49" s="40" t="s">
        <v>1072</v>
      </c>
    </row>
    <row r="50" spans="1:12" ht="34" hidden="1">
      <c r="A50" s="16" t="s">
        <v>1075</v>
      </c>
      <c r="B50" s="16" t="s">
        <v>1076</v>
      </c>
      <c r="C50" s="16"/>
      <c r="D50" s="17" t="s">
        <v>1077</v>
      </c>
      <c r="E50" s="17" t="s">
        <v>61</v>
      </c>
      <c r="F50" s="18"/>
      <c r="G50" s="23" t="s">
        <v>95</v>
      </c>
      <c r="H50" s="23" t="s">
        <v>782</v>
      </c>
      <c r="I50" s="18"/>
      <c r="J50"/>
      <c r="K50" s="10"/>
      <c r="L50" s="10"/>
    </row>
    <row r="51" spans="1:12" ht="17" hidden="1">
      <c r="A51" s="3" t="s">
        <v>1078</v>
      </c>
      <c r="B51" s="3" t="s">
        <v>1079</v>
      </c>
      <c r="C51" s="3"/>
      <c r="F51"/>
      <c r="G51" t="s">
        <v>95</v>
      </c>
      <c r="H51"/>
      <c r="J51"/>
      <c r="K51"/>
      <c r="L51"/>
    </row>
    <row r="52" spans="1:12" ht="19" customHeight="1">
      <c r="A52" s="43" t="s">
        <v>1080</v>
      </c>
      <c r="B52" s="43" t="s">
        <v>1081</v>
      </c>
      <c r="C52" s="43"/>
      <c r="D52" s="17" t="s">
        <v>1015</v>
      </c>
      <c r="E52" s="17"/>
      <c r="F52" s="29" t="s">
        <v>1082</v>
      </c>
      <c r="G52" s="18" t="s">
        <v>61</v>
      </c>
      <c r="H52" s="23" t="s">
        <v>55</v>
      </c>
      <c r="I52" s="27" t="s">
        <v>1083</v>
      </c>
      <c r="J52" s="39" t="s">
        <v>978</v>
      </c>
      <c r="K52" s="39" t="s">
        <v>1084</v>
      </c>
      <c r="L52" s="40" t="s">
        <v>1085</v>
      </c>
    </row>
    <row r="53" spans="1:12" ht="17" hidden="1">
      <c r="A53" s="3" t="s">
        <v>1086</v>
      </c>
      <c r="B53" s="3" t="s">
        <v>1087</v>
      </c>
      <c r="C53" s="3"/>
      <c r="F53"/>
      <c r="G53" t="s">
        <v>95</v>
      </c>
      <c r="H53"/>
      <c r="J53"/>
      <c r="K53"/>
      <c r="L53"/>
    </row>
    <row r="54" spans="1:12" ht="17" hidden="1">
      <c r="A54" s="3" t="s">
        <v>1088</v>
      </c>
      <c r="B54" s="3" t="s">
        <v>1089</v>
      </c>
      <c r="C54" s="3"/>
      <c r="F54"/>
      <c r="G54" t="s">
        <v>95</v>
      </c>
      <c r="H54"/>
      <c r="J54"/>
      <c r="K54"/>
      <c r="L54"/>
    </row>
    <row r="55" spans="1:12" ht="17" hidden="1">
      <c r="A55" s="1" t="s">
        <v>1090</v>
      </c>
      <c r="B55" s="1" t="s">
        <v>1091</v>
      </c>
      <c r="C55" s="1"/>
      <c r="F55"/>
      <c r="G55" t="s">
        <v>95</v>
      </c>
      <c r="H55"/>
      <c r="J55"/>
      <c r="K55"/>
      <c r="L55"/>
    </row>
    <row r="56" spans="1:12" ht="17" hidden="1">
      <c r="A56" s="16" t="s">
        <v>1092</v>
      </c>
      <c r="B56" s="16" t="s">
        <v>1044</v>
      </c>
      <c r="C56" s="16"/>
      <c r="D56" s="17"/>
      <c r="E56" s="17"/>
      <c r="F56" s="18" t="s">
        <v>1040</v>
      </c>
      <c r="G56" s="23" t="s">
        <v>61</v>
      </c>
      <c r="H56" s="21"/>
      <c r="I56" s="28"/>
      <c r="J56"/>
      <c r="K56" s="10"/>
      <c r="L56" s="10"/>
    </row>
    <row r="57" spans="1:12" ht="17" hidden="1">
      <c r="A57" s="16" t="s">
        <v>1093</v>
      </c>
      <c r="B57" s="16" t="s">
        <v>943</v>
      </c>
      <c r="C57" s="16"/>
      <c r="D57" s="17"/>
      <c r="E57" s="17"/>
      <c r="F57" s="18" t="s">
        <v>1094</v>
      </c>
      <c r="G57" s="23" t="s">
        <v>61</v>
      </c>
      <c r="H57" s="21"/>
      <c r="I57" s="28"/>
      <c r="J57"/>
      <c r="K57" s="10"/>
      <c r="L57" s="10"/>
    </row>
    <row r="58" spans="1:12" ht="17" hidden="1">
      <c r="A58" s="3" t="s">
        <v>1095</v>
      </c>
      <c r="B58" s="3" t="s">
        <v>85</v>
      </c>
      <c r="C58" s="3"/>
      <c r="F58"/>
      <c r="G58" t="s">
        <v>95</v>
      </c>
      <c r="H58"/>
      <c r="J58"/>
      <c r="K58"/>
      <c r="L58"/>
    </row>
    <row r="59" spans="1:12" ht="17" hidden="1">
      <c r="A59" s="3" t="s">
        <v>1096</v>
      </c>
      <c r="B59" s="3" t="s">
        <v>1097</v>
      </c>
      <c r="C59" s="3"/>
      <c r="F59"/>
      <c r="G59" t="s">
        <v>95</v>
      </c>
      <c r="H59" s="24" t="s">
        <v>104</v>
      </c>
      <c r="J59"/>
      <c r="K59"/>
      <c r="L59"/>
    </row>
    <row r="60" spans="1:12" ht="17" hidden="1">
      <c r="A60" s="1" t="s">
        <v>1098</v>
      </c>
      <c r="B60" s="1" t="s">
        <v>1099</v>
      </c>
      <c r="C60" s="1"/>
      <c r="F60"/>
      <c r="G60" t="s">
        <v>95</v>
      </c>
      <c r="H60"/>
      <c r="J60"/>
      <c r="K60"/>
      <c r="L60"/>
    </row>
    <row r="61" spans="1:12" ht="17" hidden="1">
      <c r="A61" s="3" t="s">
        <v>1100</v>
      </c>
      <c r="B61" s="3" t="s">
        <v>1101</v>
      </c>
      <c r="C61" s="3"/>
      <c r="F61"/>
      <c r="G61" t="s">
        <v>95</v>
      </c>
      <c r="H61"/>
      <c r="J61"/>
      <c r="K61"/>
      <c r="L61"/>
    </row>
    <row r="62" spans="1:12" ht="17" hidden="1">
      <c r="A62" s="1" t="s">
        <v>1102</v>
      </c>
      <c r="B62" s="1" t="s">
        <v>1103</v>
      </c>
      <c r="C62" s="1"/>
      <c r="F62"/>
      <c r="G62" t="s">
        <v>95</v>
      </c>
      <c r="H62"/>
      <c r="J62"/>
      <c r="K62"/>
      <c r="L62"/>
    </row>
    <row r="63" spans="1:12" ht="17" hidden="1">
      <c r="A63" s="16" t="s">
        <v>1104</v>
      </c>
      <c r="B63" s="16" t="s">
        <v>1105</v>
      </c>
      <c r="C63" s="16"/>
      <c r="D63" s="17"/>
      <c r="E63" s="17"/>
      <c r="F63" s="18" t="s">
        <v>1040</v>
      </c>
      <c r="G63" s="23" t="s">
        <v>61</v>
      </c>
      <c r="H63" s="21"/>
      <c r="I63" s="27" t="s">
        <v>977</v>
      </c>
      <c r="J63"/>
      <c r="K63" s="10"/>
      <c r="L63" s="10"/>
    </row>
    <row r="64" spans="1:12" ht="17" hidden="1">
      <c r="A64" s="16" t="s">
        <v>131</v>
      </c>
      <c r="B64" s="16" t="s">
        <v>296</v>
      </c>
      <c r="C64" s="16"/>
      <c r="D64" s="17"/>
      <c r="E64" s="17"/>
      <c r="F64" s="18" t="s">
        <v>1040</v>
      </c>
      <c r="G64" s="23" t="s">
        <v>61</v>
      </c>
      <c r="H64" s="21"/>
      <c r="I64" s="27" t="s">
        <v>977</v>
      </c>
      <c r="J64"/>
      <c r="K64" s="10"/>
      <c r="L64" s="10"/>
    </row>
    <row r="65" spans="1:12" ht="17" hidden="1">
      <c r="A65" s="1" t="s">
        <v>1106</v>
      </c>
      <c r="B65" s="1" t="s">
        <v>1107</v>
      </c>
      <c r="C65" s="1"/>
      <c r="F65"/>
      <c r="G65" t="s">
        <v>95</v>
      </c>
      <c r="H65"/>
      <c r="J65"/>
      <c r="K65"/>
      <c r="L65"/>
    </row>
    <row r="66" spans="1:12" ht="16">
      <c r="A66" s="43" t="s">
        <v>139</v>
      </c>
      <c r="B66" s="43" t="s">
        <v>1108</v>
      </c>
      <c r="C66" s="43" t="s">
        <v>1109</v>
      </c>
      <c r="D66" s="17" t="s">
        <v>1006</v>
      </c>
      <c r="E66" s="17" t="s">
        <v>61</v>
      </c>
      <c r="F66" s="18" t="s">
        <v>1110</v>
      </c>
      <c r="G66" s="18" t="s">
        <v>61</v>
      </c>
      <c r="H66" s="23" t="s">
        <v>677</v>
      </c>
      <c r="I66" s="27" t="s">
        <v>978</v>
      </c>
      <c r="J66" s="39" t="s">
        <v>978</v>
      </c>
      <c r="K66" s="39" t="s">
        <v>1111</v>
      </c>
      <c r="L66" s="40" t="s">
        <v>1112</v>
      </c>
    </row>
    <row r="67" spans="1:12" ht="17" hidden="1">
      <c r="A67" s="3" t="s">
        <v>1113</v>
      </c>
      <c r="B67" s="3" t="s">
        <v>1114</v>
      </c>
      <c r="C67" s="3"/>
      <c r="F67"/>
      <c r="G67" t="s">
        <v>95</v>
      </c>
      <c r="H67"/>
      <c r="J67"/>
      <c r="K67"/>
      <c r="L67"/>
    </row>
    <row r="68" spans="1:12" ht="24" hidden="1" customHeight="1">
      <c r="A68" s="3" t="s">
        <v>1115</v>
      </c>
      <c r="B68" s="3" t="s">
        <v>1116</v>
      </c>
      <c r="C68" s="3"/>
      <c r="F68"/>
      <c r="G68" t="s">
        <v>95</v>
      </c>
      <c r="H68"/>
      <c r="J68"/>
      <c r="K68" s="34" t="s">
        <v>1117</v>
      </c>
      <c r="L68"/>
    </row>
    <row r="69" spans="1:12" ht="56">
      <c r="A69" s="43" t="s">
        <v>1118</v>
      </c>
      <c r="B69" s="43" t="s">
        <v>1119</v>
      </c>
      <c r="C69" s="43"/>
      <c r="D69" s="17" t="s">
        <v>1022</v>
      </c>
      <c r="E69" s="17"/>
      <c r="F69" s="29"/>
      <c r="G69" s="23" t="s">
        <v>95</v>
      </c>
      <c r="H69" s="23" t="s">
        <v>55</v>
      </c>
      <c r="I69" s="27" t="s">
        <v>977</v>
      </c>
      <c r="J69" s="39" t="s">
        <v>978</v>
      </c>
      <c r="K69" s="39" t="s">
        <v>1120</v>
      </c>
      <c r="L69" s="40" t="s">
        <v>1121</v>
      </c>
    </row>
    <row r="70" spans="1:12" ht="17" hidden="1">
      <c r="A70" s="1" t="s">
        <v>1122</v>
      </c>
      <c r="B70" s="1" t="s">
        <v>296</v>
      </c>
      <c r="C70" s="1"/>
      <c r="F70"/>
      <c r="G70" t="s">
        <v>95</v>
      </c>
      <c r="H70"/>
      <c r="J70"/>
      <c r="K70" s="34" t="s">
        <v>1123</v>
      </c>
      <c r="L70"/>
    </row>
    <row r="71" spans="1:12" ht="17" hidden="1">
      <c r="A71" s="1" t="s">
        <v>1124</v>
      </c>
      <c r="B71" s="1" t="s">
        <v>675</v>
      </c>
      <c r="C71" s="1"/>
      <c r="F71"/>
      <c r="G71" t="s">
        <v>95</v>
      </c>
      <c r="H71"/>
      <c r="J71"/>
      <c r="K71"/>
      <c r="L71"/>
    </row>
    <row r="72" spans="1:12" ht="17" hidden="1">
      <c r="A72" s="3" t="s">
        <v>1125</v>
      </c>
      <c r="B72" s="3" t="s">
        <v>1126</v>
      </c>
      <c r="C72" s="3"/>
      <c r="F72"/>
      <c r="G72" t="s">
        <v>95</v>
      </c>
      <c r="H72"/>
      <c r="J72"/>
      <c r="K72" s="34" t="s">
        <v>1127</v>
      </c>
      <c r="L72"/>
    </row>
    <row r="73" spans="1:12" ht="17" hidden="1">
      <c r="A73" s="3" t="s">
        <v>1128</v>
      </c>
      <c r="B73" s="3" t="s">
        <v>1129</v>
      </c>
      <c r="C73" s="3"/>
      <c r="F73"/>
      <c r="G73" t="s">
        <v>95</v>
      </c>
      <c r="H73"/>
      <c r="J73"/>
      <c r="K73"/>
      <c r="L73"/>
    </row>
    <row r="74" spans="1:12" ht="17" hidden="1">
      <c r="A74" s="3" t="s">
        <v>1130</v>
      </c>
      <c r="B74" s="3" t="s">
        <v>1131</v>
      </c>
      <c r="C74" s="3"/>
      <c r="F74"/>
      <c r="G74" t="s">
        <v>95</v>
      </c>
      <c r="H74"/>
      <c r="J74"/>
      <c r="K74" s="34" t="s">
        <v>1132</v>
      </c>
      <c r="L74"/>
    </row>
    <row r="75" spans="1:12" ht="17" hidden="1">
      <c r="A75" s="16" t="s">
        <v>1133</v>
      </c>
      <c r="B75" s="16" t="s">
        <v>1134</v>
      </c>
      <c r="C75" s="16"/>
      <c r="D75" s="17"/>
      <c r="E75" s="17"/>
      <c r="F75" s="18" t="s">
        <v>1135</v>
      </c>
      <c r="G75" s="23" t="s">
        <v>61</v>
      </c>
      <c r="H75" s="21"/>
      <c r="I75" s="27" t="s">
        <v>977</v>
      </c>
      <c r="J75"/>
      <c r="K75" s="34" t="s">
        <v>677</v>
      </c>
      <c r="L75" s="10"/>
    </row>
    <row r="76" spans="1:12" ht="17" hidden="1">
      <c r="A76" s="16" t="s">
        <v>1136</v>
      </c>
      <c r="B76" s="16" t="s">
        <v>1137</v>
      </c>
      <c r="C76" s="16"/>
      <c r="D76" s="17"/>
      <c r="E76" s="17"/>
      <c r="F76" s="18" t="s">
        <v>1040</v>
      </c>
      <c r="G76" s="23" t="s">
        <v>61</v>
      </c>
      <c r="H76" s="21"/>
      <c r="I76" s="27" t="s">
        <v>977</v>
      </c>
      <c r="J76"/>
      <c r="K76" s="10"/>
      <c r="L76" s="10"/>
    </row>
    <row r="77" spans="1:12" ht="17" hidden="1">
      <c r="A77" s="16" t="s">
        <v>1138</v>
      </c>
      <c r="B77" s="16" t="s">
        <v>1139</v>
      </c>
      <c r="C77" s="16"/>
      <c r="D77" s="17"/>
      <c r="E77" s="17"/>
      <c r="F77" s="18" t="s">
        <v>1040</v>
      </c>
      <c r="G77" s="23" t="s">
        <v>95</v>
      </c>
      <c r="H77" s="18" t="s">
        <v>55</v>
      </c>
      <c r="I77" s="27" t="s">
        <v>977</v>
      </c>
      <c r="J77"/>
      <c r="K77" s="10"/>
      <c r="L77" s="10"/>
    </row>
    <row r="78" spans="1:12" ht="17" hidden="1">
      <c r="A78" s="3" t="s">
        <v>1140</v>
      </c>
      <c r="B78" s="3" t="s">
        <v>1141</v>
      </c>
      <c r="C78" s="3"/>
      <c r="F78"/>
      <c r="G78" t="s">
        <v>95</v>
      </c>
      <c r="H78"/>
      <c r="J78"/>
      <c r="K78"/>
      <c r="L78"/>
    </row>
    <row r="79" spans="1:12" ht="17" hidden="1">
      <c r="A79" s="1" t="s">
        <v>1142</v>
      </c>
      <c r="B79" s="1" t="s">
        <v>1143</v>
      </c>
      <c r="C79" s="1"/>
      <c r="F79"/>
      <c r="G79" t="s">
        <v>95</v>
      </c>
      <c r="H79"/>
      <c r="J79"/>
      <c r="K79"/>
      <c r="L79"/>
    </row>
    <row r="80" spans="1:12" ht="17" hidden="1">
      <c r="A80" s="1" t="s">
        <v>1144</v>
      </c>
      <c r="B80" s="1" t="s">
        <v>344</v>
      </c>
      <c r="C80" s="1"/>
      <c r="F80"/>
      <c r="G80" t="s">
        <v>95</v>
      </c>
      <c r="H80"/>
      <c r="J80"/>
      <c r="K80"/>
      <c r="L80"/>
    </row>
    <row r="81" spans="1:12" ht="34" hidden="1">
      <c r="A81" s="3" t="s">
        <v>1145</v>
      </c>
      <c r="B81" s="3" t="s">
        <v>1146</v>
      </c>
      <c r="C81" s="3"/>
      <c r="F81"/>
      <c r="G81" t="s">
        <v>95</v>
      </c>
      <c r="H81"/>
      <c r="J81"/>
      <c r="K81"/>
      <c r="L81"/>
    </row>
    <row r="82" spans="1:12" ht="17" hidden="1">
      <c r="A82" s="16" t="s">
        <v>1147</v>
      </c>
      <c r="B82" s="16" t="s">
        <v>1148</v>
      </c>
      <c r="C82" s="16"/>
      <c r="D82" s="17" t="s">
        <v>1149</v>
      </c>
      <c r="E82" s="17"/>
      <c r="F82" s="29" t="s">
        <v>1150</v>
      </c>
      <c r="G82" s="23" t="s">
        <v>95</v>
      </c>
      <c r="H82" s="23" t="s">
        <v>55</v>
      </c>
      <c r="I82" s="27" t="s">
        <v>977</v>
      </c>
      <c r="J82"/>
      <c r="K82" s="10"/>
      <c r="L82" s="10"/>
    </row>
    <row r="83" spans="1:12" ht="17" hidden="1">
      <c r="A83" s="16" t="s">
        <v>155</v>
      </c>
      <c r="B83" s="16" t="s">
        <v>1151</v>
      </c>
      <c r="C83" s="16"/>
      <c r="D83" s="17" t="s">
        <v>1149</v>
      </c>
      <c r="E83" s="17"/>
      <c r="F83" s="18" t="s">
        <v>1150</v>
      </c>
      <c r="G83" s="23" t="s">
        <v>95</v>
      </c>
      <c r="H83" s="23" t="s">
        <v>55</v>
      </c>
      <c r="I83" s="27" t="s">
        <v>977</v>
      </c>
      <c r="J83"/>
      <c r="K83" s="10"/>
      <c r="L83" s="10"/>
    </row>
    <row r="84" spans="1:12" ht="17" hidden="1">
      <c r="A84" s="3" t="s">
        <v>1152</v>
      </c>
      <c r="B84" s="3" t="s">
        <v>1153</v>
      </c>
      <c r="C84" s="3"/>
      <c r="F84"/>
      <c r="G84" t="s">
        <v>95</v>
      </c>
      <c r="H84"/>
      <c r="J84"/>
      <c r="K84"/>
      <c r="L84"/>
    </row>
    <row r="85" spans="1:12" ht="98">
      <c r="A85" s="43" t="s">
        <v>170</v>
      </c>
      <c r="B85" s="43" t="s">
        <v>264</v>
      </c>
      <c r="C85" s="43"/>
      <c r="D85" s="17" t="s">
        <v>1154</v>
      </c>
      <c r="E85" s="17" t="s">
        <v>61</v>
      </c>
      <c r="F85" s="18"/>
      <c r="G85" s="23" t="s">
        <v>95</v>
      </c>
      <c r="H85" s="23" t="s">
        <v>55</v>
      </c>
      <c r="I85" s="27" t="s">
        <v>977</v>
      </c>
      <c r="J85" s="39" t="s">
        <v>978</v>
      </c>
      <c r="K85" s="39" t="s">
        <v>1155</v>
      </c>
      <c r="L85" s="40" t="s">
        <v>1156</v>
      </c>
    </row>
    <row r="86" spans="1:12" ht="42">
      <c r="A86" s="43" t="s">
        <v>182</v>
      </c>
      <c r="B86" s="43" t="s">
        <v>296</v>
      </c>
      <c r="C86" s="43"/>
      <c r="D86" s="17" t="s">
        <v>986</v>
      </c>
      <c r="E86" s="17"/>
      <c r="F86" s="29"/>
      <c r="G86" s="23" t="s">
        <v>95</v>
      </c>
      <c r="H86" s="23" t="s">
        <v>55</v>
      </c>
      <c r="I86" s="27" t="s">
        <v>977</v>
      </c>
      <c r="J86" s="39" t="s">
        <v>978</v>
      </c>
      <c r="K86" s="39" t="s">
        <v>1157</v>
      </c>
      <c r="L86" s="40" t="s">
        <v>1158</v>
      </c>
    </row>
    <row r="87" spans="1:12" ht="42">
      <c r="A87" s="43" t="s">
        <v>191</v>
      </c>
      <c r="B87" s="43" t="s">
        <v>192</v>
      </c>
      <c r="C87" s="43"/>
      <c r="D87" s="17" t="s">
        <v>986</v>
      </c>
      <c r="E87" s="17"/>
      <c r="F87" s="29"/>
      <c r="G87" s="23" t="s">
        <v>95</v>
      </c>
      <c r="H87" s="23" t="s">
        <v>55</v>
      </c>
      <c r="I87" s="27" t="s">
        <v>977</v>
      </c>
      <c r="J87" s="39" t="s">
        <v>978</v>
      </c>
      <c r="K87" s="39" t="s">
        <v>1157</v>
      </c>
      <c r="L87" s="40" t="s">
        <v>1158</v>
      </c>
    </row>
    <row r="88" spans="1:12" ht="17" hidden="1">
      <c r="A88" s="1" t="s">
        <v>1159</v>
      </c>
      <c r="B88" s="1" t="s">
        <v>1160</v>
      </c>
      <c r="C88" s="1"/>
      <c r="F88"/>
      <c r="G88" t="s">
        <v>95</v>
      </c>
      <c r="H88"/>
      <c r="J88"/>
      <c r="K88"/>
      <c r="L88"/>
    </row>
    <row r="89" spans="1:12" ht="17" hidden="1">
      <c r="A89" s="1" t="s">
        <v>1161</v>
      </c>
      <c r="B89" s="1" t="s">
        <v>1162</v>
      </c>
      <c r="C89" s="1"/>
      <c r="F89"/>
      <c r="G89" t="s">
        <v>95</v>
      </c>
      <c r="H89"/>
      <c r="J89"/>
      <c r="K89"/>
      <c r="L89"/>
    </row>
    <row r="90" spans="1:12" ht="17" hidden="1">
      <c r="A90" s="16" t="s">
        <v>1163</v>
      </c>
      <c r="B90" s="16" t="s">
        <v>675</v>
      </c>
      <c r="C90" s="16"/>
      <c r="D90" s="17"/>
      <c r="E90" s="17"/>
      <c r="F90" s="18" t="s">
        <v>1040</v>
      </c>
      <c r="G90" s="23" t="s">
        <v>61</v>
      </c>
      <c r="H90" s="21"/>
      <c r="I90" s="27" t="s">
        <v>977</v>
      </c>
      <c r="J90"/>
      <c r="K90" s="10"/>
      <c r="L90" s="10"/>
    </row>
    <row r="91" spans="1:12" ht="17" hidden="1">
      <c r="A91" s="16" t="s">
        <v>1164</v>
      </c>
      <c r="B91" s="16" t="s">
        <v>1165</v>
      </c>
      <c r="C91" s="16"/>
      <c r="D91" s="17" t="s">
        <v>1011</v>
      </c>
      <c r="E91" s="17"/>
      <c r="F91" s="29" t="s">
        <v>1040</v>
      </c>
      <c r="G91" s="23" t="s">
        <v>61</v>
      </c>
      <c r="H91" s="23" t="s">
        <v>55</v>
      </c>
      <c r="I91" s="27" t="s">
        <v>977</v>
      </c>
      <c r="J91"/>
      <c r="K91" s="10"/>
      <c r="L91" s="10"/>
    </row>
    <row r="92" spans="1:12" ht="28">
      <c r="A92" s="43" t="s">
        <v>1166</v>
      </c>
      <c r="B92" s="43" t="s">
        <v>943</v>
      </c>
      <c r="C92" s="43"/>
      <c r="D92" s="17" t="s">
        <v>1015</v>
      </c>
      <c r="E92" s="17"/>
      <c r="F92" s="29" t="s">
        <v>1167</v>
      </c>
      <c r="G92" s="23" t="s">
        <v>61</v>
      </c>
      <c r="H92" s="23" t="s">
        <v>55</v>
      </c>
      <c r="I92" s="27" t="s">
        <v>977</v>
      </c>
      <c r="J92" s="39" t="s">
        <v>978</v>
      </c>
      <c r="K92" s="39" t="s">
        <v>1168</v>
      </c>
      <c r="L92" s="40" t="s">
        <v>1169</v>
      </c>
    </row>
    <row r="93" spans="1:12" ht="17" hidden="1">
      <c r="A93" s="1" t="s">
        <v>1170</v>
      </c>
      <c r="B93" s="1" t="s">
        <v>85</v>
      </c>
      <c r="C93" s="1"/>
      <c r="F93"/>
      <c r="G93" t="s">
        <v>95</v>
      </c>
      <c r="H93"/>
      <c r="J93"/>
      <c r="K93"/>
      <c r="L93"/>
    </row>
    <row r="94" spans="1:12" ht="17" hidden="1">
      <c r="A94" s="1" t="s">
        <v>1171</v>
      </c>
      <c r="B94" s="1" t="s">
        <v>567</v>
      </c>
      <c r="C94" s="1"/>
      <c r="F94"/>
      <c r="G94" t="s">
        <v>95</v>
      </c>
      <c r="H94"/>
      <c r="J94"/>
      <c r="K94"/>
      <c r="L94"/>
    </row>
    <row r="95" spans="1:12" ht="17" hidden="1">
      <c r="A95" s="3" t="s">
        <v>1172</v>
      </c>
      <c r="B95" s="3" t="s">
        <v>1173</v>
      </c>
      <c r="C95" s="3"/>
      <c r="F95"/>
      <c r="G95" t="s">
        <v>95</v>
      </c>
      <c r="H95"/>
      <c r="J95"/>
      <c r="K95"/>
      <c r="L95"/>
    </row>
    <row r="96" spans="1:12" ht="17" hidden="1">
      <c r="A96" s="3" t="s">
        <v>1174</v>
      </c>
      <c r="B96" s="3" t="s">
        <v>113</v>
      </c>
      <c r="C96" s="3"/>
      <c r="F96"/>
      <c r="G96" t="s">
        <v>95</v>
      </c>
      <c r="H96"/>
      <c r="J96"/>
      <c r="K96"/>
      <c r="L96"/>
    </row>
    <row r="97" spans="1:12" ht="17" hidden="1">
      <c r="A97" s="1" t="s">
        <v>1175</v>
      </c>
      <c r="B97" s="1" t="s">
        <v>1176</v>
      </c>
      <c r="C97" s="1"/>
      <c r="F97"/>
      <c r="G97" t="s">
        <v>95</v>
      </c>
      <c r="H97"/>
      <c r="J97"/>
      <c r="K97"/>
      <c r="L97"/>
    </row>
    <row r="98" spans="1:12" ht="16">
      <c r="A98" s="43" t="s">
        <v>1177</v>
      </c>
      <c r="B98" s="43" t="s">
        <v>1178</v>
      </c>
      <c r="C98" s="43"/>
      <c r="D98" s="17" t="s">
        <v>1015</v>
      </c>
      <c r="E98" s="17"/>
      <c r="F98" s="47" t="s">
        <v>1179</v>
      </c>
      <c r="G98" s="23" t="s">
        <v>61</v>
      </c>
      <c r="H98" s="23" t="s">
        <v>55</v>
      </c>
      <c r="I98" s="47" t="s">
        <v>1180</v>
      </c>
      <c r="J98" s="41" t="s">
        <v>978</v>
      </c>
      <c r="K98" s="39" t="s">
        <v>1181</v>
      </c>
      <c r="L98" s="40" t="s">
        <v>1182</v>
      </c>
    </row>
    <row r="99" spans="1:12" ht="16">
      <c r="A99" s="43" t="s">
        <v>1183</v>
      </c>
      <c r="B99" s="43" t="s">
        <v>271</v>
      </c>
      <c r="C99" s="43"/>
      <c r="D99" s="17" t="s">
        <v>1015</v>
      </c>
      <c r="E99" s="17"/>
      <c r="F99" s="47" t="s">
        <v>1179</v>
      </c>
      <c r="G99" s="23" t="s">
        <v>61</v>
      </c>
      <c r="H99" s="23" t="s">
        <v>55</v>
      </c>
      <c r="I99" s="47" t="s">
        <v>1180</v>
      </c>
      <c r="J99" s="41" t="s">
        <v>1184</v>
      </c>
      <c r="K99" s="39" t="s">
        <v>1181</v>
      </c>
      <c r="L99" s="40" t="s">
        <v>1185</v>
      </c>
    </row>
    <row r="100" spans="1:12" ht="17" hidden="1">
      <c r="A100" s="16" t="s">
        <v>1186</v>
      </c>
      <c r="B100" s="16" t="s">
        <v>1187</v>
      </c>
      <c r="C100" s="16"/>
      <c r="D100" s="17"/>
      <c r="E100" s="17"/>
      <c r="F100" s="18" t="s">
        <v>1040</v>
      </c>
      <c r="G100" s="23" t="s">
        <v>61</v>
      </c>
      <c r="H100" s="21"/>
      <c r="I100" s="18"/>
      <c r="J100"/>
      <c r="K100" s="10"/>
      <c r="L100" s="10"/>
    </row>
    <row r="101" spans="1:12" ht="17" hidden="1">
      <c r="A101" s="3" t="s">
        <v>1188</v>
      </c>
      <c r="B101" s="3" t="s">
        <v>1189</v>
      </c>
      <c r="C101" s="3"/>
      <c r="F101"/>
      <c r="G101" t="s">
        <v>95</v>
      </c>
      <c r="H101"/>
      <c r="J101"/>
      <c r="K101"/>
      <c r="L101"/>
    </row>
    <row r="102" spans="1:12" ht="17" hidden="1">
      <c r="A102" s="1" t="s">
        <v>1190</v>
      </c>
      <c r="B102" s="1" t="s">
        <v>1191</v>
      </c>
      <c r="C102" s="1"/>
      <c r="F102"/>
      <c r="G102" t="s">
        <v>95</v>
      </c>
      <c r="H102"/>
      <c r="J102"/>
      <c r="K102"/>
      <c r="L102"/>
    </row>
    <row r="103" spans="1:12" ht="17" hidden="1">
      <c r="A103" s="3" t="s">
        <v>1192</v>
      </c>
      <c r="B103" s="3" t="s">
        <v>660</v>
      </c>
      <c r="C103" s="3"/>
      <c r="F103"/>
      <c r="G103" t="s">
        <v>95</v>
      </c>
      <c r="H103"/>
      <c r="J103"/>
      <c r="K103"/>
      <c r="L103"/>
    </row>
    <row r="104" spans="1:12" ht="17" hidden="1">
      <c r="A104" s="3" t="s">
        <v>1193</v>
      </c>
      <c r="B104" s="3" t="s">
        <v>1194</v>
      </c>
      <c r="C104" s="3"/>
      <c r="F104"/>
      <c r="G104" t="s">
        <v>95</v>
      </c>
      <c r="H104"/>
      <c r="J104"/>
      <c r="K104"/>
      <c r="L104"/>
    </row>
    <row r="105" spans="1:12" ht="17" hidden="1">
      <c r="A105" s="3" t="s">
        <v>1195</v>
      </c>
      <c r="B105" s="3" t="s">
        <v>1196</v>
      </c>
      <c r="C105" s="3"/>
      <c r="F105"/>
      <c r="G105" t="s">
        <v>95</v>
      </c>
      <c r="H105"/>
      <c r="J105"/>
      <c r="K105"/>
      <c r="L105"/>
    </row>
    <row r="106" spans="1:12" ht="17" hidden="1">
      <c r="A106" s="1" t="s">
        <v>1197</v>
      </c>
      <c r="B106" s="1" t="s">
        <v>1198</v>
      </c>
      <c r="C106" s="1"/>
      <c r="F106"/>
      <c r="G106" t="s">
        <v>95</v>
      </c>
      <c r="H106"/>
      <c r="J106"/>
      <c r="K106"/>
      <c r="L106"/>
    </row>
    <row r="107" spans="1:12" ht="140">
      <c r="A107" s="43" t="s">
        <v>215</v>
      </c>
      <c r="B107" s="43" t="s">
        <v>1199</v>
      </c>
      <c r="C107" s="43"/>
      <c r="D107" s="17" t="s">
        <v>1200</v>
      </c>
      <c r="E107" s="17" t="s">
        <v>61</v>
      </c>
      <c r="F107" s="29"/>
      <c r="G107" s="18" t="s">
        <v>61</v>
      </c>
      <c r="H107" s="23" t="s">
        <v>55</v>
      </c>
      <c r="I107" s="27" t="s">
        <v>977</v>
      </c>
      <c r="J107" s="39" t="s">
        <v>978</v>
      </c>
      <c r="K107" s="39" t="s">
        <v>1201</v>
      </c>
      <c r="L107" s="40" t="s">
        <v>1202</v>
      </c>
    </row>
    <row r="108" spans="1:12" ht="34" hidden="1">
      <c r="A108" s="16" t="s">
        <v>1203</v>
      </c>
      <c r="B108" s="16" t="s">
        <v>1204</v>
      </c>
      <c r="C108" s="16"/>
      <c r="D108" s="17" t="s">
        <v>1200</v>
      </c>
      <c r="E108" s="17" t="s">
        <v>61</v>
      </c>
      <c r="F108" s="29" t="s">
        <v>1040</v>
      </c>
      <c r="G108" s="23" t="s">
        <v>95</v>
      </c>
      <c r="H108" s="23" t="s">
        <v>55</v>
      </c>
      <c r="I108" s="27" t="s">
        <v>977</v>
      </c>
      <c r="J108"/>
      <c r="K108" s="10"/>
      <c r="L108" s="10"/>
    </row>
    <row r="109" spans="1:12" ht="17" hidden="1">
      <c r="A109" s="16" t="s">
        <v>1205</v>
      </c>
      <c r="B109" s="16" t="s">
        <v>1206</v>
      </c>
      <c r="C109" s="16"/>
      <c r="D109" s="17"/>
      <c r="E109" s="17"/>
      <c r="F109" s="18" t="s">
        <v>1040</v>
      </c>
      <c r="G109" s="23" t="s">
        <v>61</v>
      </c>
      <c r="H109" s="21"/>
      <c r="I109" s="27" t="s">
        <v>977</v>
      </c>
      <c r="J109"/>
      <c r="K109" s="10"/>
      <c r="L109" s="10"/>
    </row>
    <row r="110" spans="1:12" ht="17" hidden="1">
      <c r="A110" s="16" t="s">
        <v>1207</v>
      </c>
      <c r="B110" s="16" t="s">
        <v>344</v>
      </c>
      <c r="C110" s="16"/>
      <c r="D110" s="17"/>
      <c r="E110" s="17"/>
      <c r="F110" s="18" t="s">
        <v>1040</v>
      </c>
      <c r="G110" s="25" t="s">
        <v>95</v>
      </c>
      <c r="H110" s="21"/>
      <c r="I110" s="27" t="s">
        <v>977</v>
      </c>
      <c r="J110"/>
      <c r="K110" s="10"/>
      <c r="L110" s="10"/>
    </row>
    <row r="111" spans="1:12" ht="17" hidden="1">
      <c r="A111" s="16" t="s">
        <v>1208</v>
      </c>
      <c r="B111" s="16" t="s">
        <v>1209</v>
      </c>
      <c r="C111" s="16"/>
      <c r="D111" s="17"/>
      <c r="E111" s="17"/>
      <c r="F111" s="18" t="s">
        <v>1040</v>
      </c>
      <c r="G111" s="23" t="s">
        <v>61</v>
      </c>
      <c r="H111" s="21"/>
      <c r="I111" s="27" t="s">
        <v>977</v>
      </c>
      <c r="J111"/>
      <c r="K111" s="10"/>
      <c r="L111" s="10"/>
    </row>
    <row r="112" spans="1:12" ht="17" hidden="1">
      <c r="A112" s="3" t="s">
        <v>1210</v>
      </c>
      <c r="B112" s="3" t="s">
        <v>1211</v>
      </c>
      <c r="C112" s="3"/>
      <c r="F112"/>
      <c r="G112" t="s">
        <v>95</v>
      </c>
      <c r="H112"/>
      <c r="J112"/>
      <c r="K112"/>
      <c r="L112"/>
    </row>
    <row r="113" spans="1:12" ht="17" hidden="1">
      <c r="A113" s="3" t="s">
        <v>1212</v>
      </c>
      <c r="B113" s="3" t="s">
        <v>264</v>
      </c>
      <c r="C113" s="3"/>
      <c r="F113"/>
      <c r="G113" t="s">
        <v>95</v>
      </c>
      <c r="H113"/>
      <c r="J113"/>
      <c r="K113"/>
      <c r="L113"/>
    </row>
    <row r="114" spans="1:12" ht="17" hidden="1">
      <c r="A114" s="16" t="s">
        <v>1213</v>
      </c>
      <c r="B114" s="16" t="s">
        <v>1214</v>
      </c>
      <c r="C114" s="16"/>
      <c r="D114" s="17"/>
      <c r="E114" s="17"/>
      <c r="F114" s="20" t="s">
        <v>1094</v>
      </c>
      <c r="G114" s="23" t="s">
        <v>61</v>
      </c>
      <c r="H114" s="21"/>
      <c r="I114" s="27" t="s">
        <v>977</v>
      </c>
      <c r="J114"/>
      <c r="K114" s="10"/>
      <c r="L114" s="10"/>
    </row>
    <row r="115" spans="1:12" ht="17" hidden="1">
      <c r="A115" s="16" t="s">
        <v>1215</v>
      </c>
      <c r="B115" s="16" t="s">
        <v>101</v>
      </c>
      <c r="C115" s="16"/>
      <c r="D115" s="17"/>
      <c r="E115" s="17"/>
      <c r="F115" s="18" t="s">
        <v>1040</v>
      </c>
      <c r="G115" s="25" t="s">
        <v>95</v>
      </c>
      <c r="H115" s="21"/>
      <c r="I115" s="27" t="s">
        <v>977</v>
      </c>
      <c r="J115"/>
      <c r="K115" s="10"/>
      <c r="L115" s="10"/>
    </row>
    <row r="116" spans="1:12" ht="17" hidden="1">
      <c r="A116" s="1" t="s">
        <v>1216</v>
      </c>
      <c r="B116" s="1" t="s">
        <v>1217</v>
      </c>
      <c r="C116" s="1"/>
      <c r="F116"/>
      <c r="G116" t="s">
        <v>95</v>
      </c>
      <c r="H116"/>
      <c r="J116"/>
      <c r="K116"/>
      <c r="L116"/>
    </row>
    <row r="117" spans="1:12" ht="17" hidden="1">
      <c r="A117" s="1" t="s">
        <v>1218</v>
      </c>
      <c r="B117" s="1" t="s">
        <v>1219</v>
      </c>
      <c r="C117" s="1"/>
      <c r="F117"/>
      <c r="G117" t="s">
        <v>95</v>
      </c>
      <c r="H117"/>
      <c r="J117"/>
      <c r="K117"/>
      <c r="L117"/>
    </row>
    <row r="118" spans="1:12" ht="17" hidden="1">
      <c r="A118" s="1" t="s">
        <v>1220</v>
      </c>
      <c r="B118" s="1" t="s">
        <v>1221</v>
      </c>
      <c r="C118" s="1"/>
      <c r="F118"/>
      <c r="G118" t="s">
        <v>95</v>
      </c>
      <c r="H118"/>
      <c r="J118"/>
      <c r="K118"/>
      <c r="L118"/>
    </row>
    <row r="119" spans="1:12" ht="34" hidden="1">
      <c r="A119" s="1" t="s">
        <v>226</v>
      </c>
      <c r="B119" s="1" t="s">
        <v>1222</v>
      </c>
      <c r="C119" s="1"/>
      <c r="F119"/>
      <c r="G119" t="s">
        <v>95</v>
      </c>
      <c r="H119"/>
      <c r="J119"/>
      <c r="K119"/>
      <c r="L119"/>
    </row>
    <row r="120" spans="1:12" ht="34" hidden="1">
      <c r="A120" s="16" t="s">
        <v>1223</v>
      </c>
      <c r="B120" s="16" t="s">
        <v>1224</v>
      </c>
      <c r="C120" s="16"/>
      <c r="D120" s="17"/>
      <c r="E120" s="17"/>
      <c r="F120" s="18" t="s">
        <v>1040</v>
      </c>
      <c r="G120" s="23" t="s">
        <v>61</v>
      </c>
      <c r="H120" s="21"/>
      <c r="I120" s="27" t="s">
        <v>977</v>
      </c>
      <c r="J120"/>
      <c r="K120" s="10"/>
      <c r="L120" s="10"/>
    </row>
    <row r="121" spans="1:12" ht="17" hidden="1">
      <c r="A121" s="1" t="s">
        <v>1225</v>
      </c>
      <c r="B121" s="1" t="s">
        <v>1226</v>
      </c>
      <c r="C121" s="1"/>
      <c r="F121"/>
      <c r="G121" t="s">
        <v>95</v>
      </c>
      <c r="H121"/>
      <c r="J121"/>
      <c r="K121"/>
      <c r="L121"/>
    </row>
    <row r="122" spans="1:12" ht="17" hidden="1">
      <c r="A122" s="16" t="s">
        <v>1227</v>
      </c>
      <c r="B122" s="16" t="s">
        <v>1228</v>
      </c>
      <c r="C122" s="16"/>
      <c r="D122" s="17"/>
      <c r="E122" s="17"/>
      <c r="F122" s="18" t="s">
        <v>1040</v>
      </c>
      <c r="G122" s="18" t="s">
        <v>61</v>
      </c>
      <c r="H122" s="18" t="s">
        <v>55</v>
      </c>
      <c r="I122" s="27" t="s">
        <v>977</v>
      </c>
      <c r="J122"/>
      <c r="K122" s="10"/>
      <c r="L122" s="10"/>
    </row>
    <row r="123" spans="1:12" ht="17" hidden="1">
      <c r="A123" s="16" t="s">
        <v>1229</v>
      </c>
      <c r="B123" s="16" t="s">
        <v>1230</v>
      </c>
      <c r="C123" s="16"/>
      <c r="D123" s="17" t="s">
        <v>1077</v>
      </c>
      <c r="E123" s="17" t="s">
        <v>61</v>
      </c>
      <c r="F123" s="18"/>
      <c r="G123" s="23" t="s">
        <v>95</v>
      </c>
      <c r="H123" s="23" t="s">
        <v>104</v>
      </c>
      <c r="I123" s="18"/>
      <c r="J123"/>
      <c r="K123" s="10"/>
      <c r="L123" s="10"/>
    </row>
    <row r="124" spans="1:12" ht="17" hidden="1">
      <c r="A124" s="3" t="s">
        <v>1231</v>
      </c>
      <c r="B124" s="3" t="s">
        <v>85</v>
      </c>
      <c r="C124" s="3"/>
      <c r="F124" t="s">
        <v>1040</v>
      </c>
      <c r="G124" t="s">
        <v>61</v>
      </c>
      <c r="H124"/>
      <c r="J124"/>
      <c r="K124"/>
      <c r="L124"/>
    </row>
    <row r="125" spans="1:12" ht="17" hidden="1">
      <c r="A125" s="1" t="s">
        <v>239</v>
      </c>
      <c r="B125" s="1" t="s">
        <v>1232</v>
      </c>
      <c r="C125" s="1"/>
      <c r="F125"/>
      <c r="G125" t="s">
        <v>95</v>
      </c>
      <c r="H125"/>
      <c r="J125"/>
      <c r="K125"/>
      <c r="L125"/>
    </row>
    <row r="126" spans="1:12" ht="126">
      <c r="A126" s="16" t="s">
        <v>247</v>
      </c>
      <c r="B126" s="16" t="s">
        <v>296</v>
      </c>
      <c r="C126" s="16"/>
      <c r="D126" s="17" t="s">
        <v>1233</v>
      </c>
      <c r="E126" s="17" t="s">
        <v>61</v>
      </c>
      <c r="F126" s="18"/>
      <c r="G126" s="23" t="s">
        <v>95</v>
      </c>
      <c r="H126" s="23" t="s">
        <v>104</v>
      </c>
      <c r="I126" s="18" t="s">
        <v>977</v>
      </c>
      <c r="J126" t="s">
        <v>978</v>
      </c>
      <c r="K126" s="36" t="s">
        <v>1234</v>
      </c>
      <c r="L126" s="36" t="s">
        <v>1235</v>
      </c>
    </row>
    <row r="127" spans="1:12" ht="126">
      <c r="A127" s="16" t="s">
        <v>1236</v>
      </c>
      <c r="B127" s="16" t="s">
        <v>1237</v>
      </c>
      <c r="C127" s="16"/>
      <c r="D127" s="17" t="s">
        <v>1233</v>
      </c>
      <c r="E127" s="17" t="s">
        <v>61</v>
      </c>
      <c r="F127" s="18"/>
      <c r="G127" s="23" t="s">
        <v>95</v>
      </c>
      <c r="H127" s="23" t="s">
        <v>104</v>
      </c>
      <c r="I127" s="18"/>
      <c r="J127" t="s">
        <v>978</v>
      </c>
      <c r="K127" s="36" t="s">
        <v>1234</v>
      </c>
      <c r="L127" s="36" t="s">
        <v>1238</v>
      </c>
    </row>
    <row r="128" spans="1:12" ht="17" hidden="1">
      <c r="A128" s="1" t="s">
        <v>1239</v>
      </c>
      <c r="B128" s="1" t="s">
        <v>85</v>
      </c>
      <c r="C128" s="1"/>
      <c r="F128"/>
      <c r="G128" t="s">
        <v>95</v>
      </c>
      <c r="H128"/>
      <c r="J128"/>
      <c r="K128"/>
      <c r="L128"/>
    </row>
    <row r="129" spans="1:12" ht="17" hidden="1">
      <c r="A129" s="3" t="s">
        <v>1240</v>
      </c>
      <c r="B129" s="3" t="s">
        <v>660</v>
      </c>
      <c r="C129" s="3"/>
      <c r="F129"/>
      <c r="G129" t="s">
        <v>95</v>
      </c>
      <c r="H129"/>
      <c r="J129"/>
      <c r="K129"/>
      <c r="L129"/>
    </row>
    <row r="130" spans="1:12" ht="17" hidden="1">
      <c r="A130" s="16" t="s">
        <v>1241</v>
      </c>
      <c r="B130" s="16" t="s">
        <v>1242</v>
      </c>
      <c r="C130" s="16"/>
      <c r="D130" s="17"/>
      <c r="E130" s="17"/>
      <c r="F130" s="18" t="s">
        <v>1040</v>
      </c>
      <c r="G130" s="23" t="s">
        <v>61</v>
      </c>
      <c r="H130" s="21"/>
      <c r="I130" s="18"/>
      <c r="J130"/>
      <c r="K130" s="10"/>
      <c r="L130" s="10"/>
    </row>
    <row r="131" spans="1:12" ht="17" hidden="1">
      <c r="A131" s="1" t="s">
        <v>1243</v>
      </c>
      <c r="B131" s="1" t="s">
        <v>1244</v>
      </c>
      <c r="C131" s="1"/>
      <c r="F131"/>
      <c r="G131" t="s">
        <v>95</v>
      </c>
      <c r="H131"/>
      <c r="J131"/>
      <c r="K131"/>
      <c r="L131"/>
    </row>
    <row r="132" spans="1:12" ht="17" hidden="1">
      <c r="A132" s="1" t="s">
        <v>1245</v>
      </c>
      <c r="B132" s="1" t="s">
        <v>1246</v>
      </c>
      <c r="C132" s="1"/>
      <c r="F132"/>
      <c r="G132" t="s">
        <v>95</v>
      </c>
      <c r="H132"/>
      <c r="J132"/>
      <c r="K132"/>
      <c r="L132"/>
    </row>
    <row r="133" spans="1:12" ht="17" hidden="1">
      <c r="A133" s="3" t="s">
        <v>1247</v>
      </c>
      <c r="B133" s="3" t="s">
        <v>85</v>
      </c>
      <c r="C133" s="3"/>
      <c r="F133"/>
      <c r="G133" t="s">
        <v>95</v>
      </c>
      <c r="H133"/>
      <c r="J133"/>
      <c r="K133"/>
      <c r="L133"/>
    </row>
    <row r="134" spans="1:12" ht="17" hidden="1">
      <c r="A134" s="3" t="s">
        <v>1248</v>
      </c>
      <c r="B134" s="3" t="s">
        <v>1249</v>
      </c>
      <c r="C134" s="3"/>
      <c r="F134"/>
      <c r="G134" t="s">
        <v>95</v>
      </c>
      <c r="H134"/>
      <c r="J134"/>
      <c r="K134"/>
      <c r="L134"/>
    </row>
    <row r="135" spans="1:12" ht="17" hidden="1">
      <c r="A135" s="1" t="s">
        <v>1250</v>
      </c>
      <c r="B135" s="1" t="s">
        <v>1251</v>
      </c>
      <c r="C135" s="1"/>
      <c r="F135"/>
      <c r="G135" t="s">
        <v>95</v>
      </c>
      <c r="H135"/>
      <c r="J135"/>
      <c r="K135"/>
      <c r="L135"/>
    </row>
    <row r="136" spans="1:12" ht="17" hidden="1">
      <c r="A136" s="3" t="s">
        <v>1252</v>
      </c>
      <c r="B136" s="3" t="s">
        <v>344</v>
      </c>
      <c r="C136" s="3"/>
      <c r="F136"/>
      <c r="G136" t="s">
        <v>95</v>
      </c>
      <c r="H136"/>
      <c r="J136"/>
      <c r="K136"/>
      <c r="L136"/>
    </row>
    <row r="137" spans="1:12" ht="17" hidden="1">
      <c r="A137" s="1" t="s">
        <v>1253</v>
      </c>
      <c r="B137" s="1" t="s">
        <v>1254</v>
      </c>
      <c r="C137" s="1"/>
      <c r="F137"/>
      <c r="G137" t="s">
        <v>95</v>
      </c>
      <c r="H137"/>
      <c r="J137"/>
      <c r="K137"/>
      <c r="L137"/>
    </row>
    <row r="138" spans="1:12" ht="17" hidden="1">
      <c r="A138" s="3" t="s">
        <v>1255</v>
      </c>
      <c r="B138" s="3" t="s">
        <v>85</v>
      </c>
      <c r="C138" s="3"/>
      <c r="F138"/>
      <c r="G138" t="s">
        <v>95</v>
      </c>
      <c r="H138"/>
      <c r="J138"/>
      <c r="K138"/>
      <c r="L138"/>
    </row>
    <row r="139" spans="1:12" ht="17" hidden="1">
      <c r="A139" s="16" t="s">
        <v>1256</v>
      </c>
      <c r="B139" s="16" t="s">
        <v>216</v>
      </c>
      <c r="C139" s="16"/>
      <c r="D139" s="17"/>
      <c r="E139" s="17"/>
      <c r="F139" s="18" t="s">
        <v>1257</v>
      </c>
      <c r="G139" s="18" t="s">
        <v>61</v>
      </c>
      <c r="H139" s="18" t="s">
        <v>55</v>
      </c>
      <c r="I139" s="27" t="s">
        <v>977</v>
      </c>
      <c r="J139"/>
      <c r="K139" s="10"/>
      <c r="L139" s="10"/>
    </row>
    <row r="140" spans="1:12" ht="17" hidden="1">
      <c r="A140" s="3" t="s">
        <v>1258</v>
      </c>
      <c r="B140" s="3" t="s">
        <v>1259</v>
      </c>
      <c r="C140" s="3"/>
      <c r="F140"/>
      <c r="G140" t="s">
        <v>95</v>
      </c>
      <c r="H140"/>
      <c r="J140"/>
      <c r="K140"/>
      <c r="L140"/>
    </row>
    <row r="141" spans="1:12" ht="17" hidden="1">
      <c r="A141" s="1" t="s">
        <v>1260</v>
      </c>
      <c r="B141" s="1" t="s">
        <v>1261</v>
      </c>
      <c r="C141" s="1"/>
      <c r="F141"/>
      <c r="G141" t="s">
        <v>95</v>
      </c>
      <c r="H141"/>
      <c r="J141"/>
      <c r="K141"/>
      <c r="L141"/>
    </row>
    <row r="142" spans="1:12" ht="17" hidden="1">
      <c r="A142" s="3" t="s">
        <v>1262</v>
      </c>
      <c r="B142" s="3" t="s">
        <v>85</v>
      </c>
      <c r="C142" s="3"/>
      <c r="F142"/>
      <c r="G142" t="s">
        <v>95</v>
      </c>
      <c r="H142"/>
      <c r="J142"/>
      <c r="K142"/>
      <c r="L142"/>
    </row>
    <row r="143" spans="1:12" ht="17" hidden="1">
      <c r="A143" s="3" t="s">
        <v>1263</v>
      </c>
      <c r="B143" s="3" t="s">
        <v>1264</v>
      </c>
      <c r="C143" s="3"/>
      <c r="F143"/>
      <c r="G143" t="s">
        <v>95</v>
      </c>
      <c r="H143"/>
      <c r="J143"/>
      <c r="K143"/>
      <c r="L143"/>
    </row>
    <row r="144" spans="1:12" ht="17" hidden="1">
      <c r="A144" s="16" t="s">
        <v>1265</v>
      </c>
      <c r="B144" s="16" t="s">
        <v>1266</v>
      </c>
      <c r="C144" s="16"/>
      <c r="D144" s="17"/>
      <c r="E144" s="17"/>
      <c r="F144" s="18" t="s">
        <v>1267</v>
      </c>
      <c r="G144" s="18" t="s">
        <v>61</v>
      </c>
      <c r="H144" s="18" t="s">
        <v>55</v>
      </c>
      <c r="I144" s="27" t="s">
        <v>977</v>
      </c>
      <c r="J144"/>
      <c r="K144" s="10"/>
      <c r="L144" s="10"/>
    </row>
    <row r="145" spans="1:12" ht="17" hidden="1">
      <c r="A145" s="16" t="s">
        <v>1268</v>
      </c>
      <c r="B145" s="16" t="s">
        <v>567</v>
      </c>
      <c r="C145" s="16"/>
      <c r="D145" s="17"/>
      <c r="E145" s="17"/>
      <c r="F145" s="18" t="s">
        <v>1040</v>
      </c>
      <c r="G145" s="23" t="s">
        <v>61</v>
      </c>
      <c r="H145" s="21"/>
      <c r="I145" s="27" t="s">
        <v>977</v>
      </c>
      <c r="J145"/>
      <c r="K145" s="10"/>
      <c r="L145" s="10"/>
    </row>
    <row r="146" spans="1:12" ht="168">
      <c r="A146" s="43" t="s">
        <v>1269</v>
      </c>
      <c r="B146" s="43" t="s">
        <v>271</v>
      </c>
      <c r="C146" s="43"/>
      <c r="D146" s="17" t="s">
        <v>1006</v>
      </c>
      <c r="E146" s="17"/>
      <c r="F146" s="18" t="s">
        <v>1167</v>
      </c>
      <c r="G146" s="23" t="s">
        <v>61</v>
      </c>
      <c r="H146" s="23" t="s">
        <v>55</v>
      </c>
      <c r="I146" s="27" t="s">
        <v>977</v>
      </c>
      <c r="J146" s="39" t="s">
        <v>991</v>
      </c>
      <c r="K146" s="40" t="s">
        <v>1270</v>
      </c>
      <c r="L146" s="40" t="s">
        <v>1271</v>
      </c>
    </row>
    <row r="147" spans="1:12" ht="16">
      <c r="A147" s="43" t="s">
        <v>1272</v>
      </c>
      <c r="B147" s="43" t="s">
        <v>1273</v>
      </c>
      <c r="C147" s="43"/>
      <c r="D147" s="17" t="s">
        <v>1022</v>
      </c>
      <c r="E147" s="17"/>
      <c r="F147" s="18" t="s">
        <v>1167</v>
      </c>
      <c r="G147" s="23" t="s">
        <v>61</v>
      </c>
      <c r="H147" s="23" t="s">
        <v>55</v>
      </c>
      <c r="I147" s="27" t="s">
        <v>977</v>
      </c>
      <c r="J147" s="39" t="s">
        <v>978</v>
      </c>
      <c r="K147" s="39" t="s">
        <v>1274</v>
      </c>
      <c r="L147" s="40" t="s">
        <v>1275</v>
      </c>
    </row>
    <row r="148" spans="1:12" ht="17" hidden="1">
      <c r="A148" s="3" t="s">
        <v>263</v>
      </c>
      <c r="B148" s="3" t="s">
        <v>264</v>
      </c>
      <c r="C148" s="3"/>
      <c r="F148"/>
      <c r="G148" t="s">
        <v>95</v>
      </c>
      <c r="H148"/>
      <c r="J148"/>
      <c r="K148"/>
      <c r="L148"/>
    </row>
    <row r="149" spans="1:12" ht="17" hidden="1">
      <c r="A149" s="3" t="s">
        <v>1276</v>
      </c>
      <c r="B149" s="3" t="s">
        <v>1277</v>
      </c>
      <c r="C149" s="3"/>
      <c r="F149"/>
      <c r="G149" t="s">
        <v>95</v>
      </c>
      <c r="H149"/>
      <c r="J149"/>
      <c r="K149"/>
      <c r="L149"/>
    </row>
    <row r="150" spans="1:12" ht="17" hidden="1">
      <c r="A150" s="1" t="s">
        <v>1278</v>
      </c>
      <c r="B150" s="1" t="s">
        <v>1279</v>
      </c>
      <c r="C150" s="1"/>
      <c r="F150"/>
      <c r="G150" t="s">
        <v>95</v>
      </c>
      <c r="H150"/>
      <c r="J150"/>
      <c r="K150"/>
      <c r="L150"/>
    </row>
    <row r="151" spans="1:12" ht="16">
      <c r="A151" s="43" t="s">
        <v>270</v>
      </c>
      <c r="B151" s="43" t="s">
        <v>271</v>
      </c>
      <c r="C151" s="43"/>
      <c r="D151" s="17" t="s">
        <v>1011</v>
      </c>
      <c r="E151" s="17"/>
      <c r="F151" s="29"/>
      <c r="G151" s="25" t="s">
        <v>95</v>
      </c>
      <c r="H151" s="23" t="s">
        <v>55</v>
      </c>
      <c r="I151" s="27" t="s">
        <v>977</v>
      </c>
      <c r="J151" s="39" t="s">
        <v>978</v>
      </c>
      <c r="K151" s="39" t="s">
        <v>1280</v>
      </c>
      <c r="L151" s="40" t="s">
        <v>1281</v>
      </c>
    </row>
    <row r="152" spans="1:12" ht="17" hidden="1">
      <c r="A152" s="1" t="s">
        <v>281</v>
      </c>
      <c r="B152" s="1" t="s">
        <v>264</v>
      </c>
      <c r="C152" s="1"/>
      <c r="F152"/>
      <c r="G152" t="s">
        <v>95</v>
      </c>
      <c r="H152"/>
      <c r="J152"/>
      <c r="K152"/>
      <c r="L152"/>
    </row>
    <row r="153" spans="1:12" ht="17" hidden="1">
      <c r="A153" s="1" t="s">
        <v>1282</v>
      </c>
      <c r="B153" s="1" t="s">
        <v>1283</v>
      </c>
      <c r="C153" s="1"/>
      <c r="F153"/>
      <c r="G153" t="s">
        <v>61</v>
      </c>
      <c r="H153"/>
      <c r="J153"/>
      <c r="K153"/>
      <c r="L153"/>
    </row>
    <row r="154" spans="1:12" ht="17" hidden="1">
      <c r="A154" s="3" t="s">
        <v>1284</v>
      </c>
      <c r="B154" s="3" t="s">
        <v>1285</v>
      </c>
      <c r="C154" s="3"/>
      <c r="F154"/>
      <c r="G154" t="s">
        <v>95</v>
      </c>
      <c r="H154"/>
      <c r="J154"/>
      <c r="K154"/>
      <c r="L154"/>
    </row>
    <row r="155" spans="1:12" ht="34" hidden="1">
      <c r="A155" s="16" t="s">
        <v>1286</v>
      </c>
      <c r="B155" s="16" t="s">
        <v>1287</v>
      </c>
      <c r="C155" s="16"/>
      <c r="D155" s="17"/>
      <c r="E155" s="17"/>
      <c r="F155" s="18" t="s">
        <v>1288</v>
      </c>
      <c r="G155" s="23" t="s">
        <v>61</v>
      </c>
      <c r="H155" s="21"/>
      <c r="I155" s="27" t="s">
        <v>977</v>
      </c>
      <c r="J155"/>
      <c r="K155" s="10"/>
      <c r="L155" s="10"/>
    </row>
    <row r="156" spans="1:12" ht="16">
      <c r="A156" s="43" t="s">
        <v>1289</v>
      </c>
      <c r="B156" s="43" t="s">
        <v>1290</v>
      </c>
      <c r="C156" s="43"/>
      <c r="D156" s="17" t="s">
        <v>1022</v>
      </c>
      <c r="E156" s="17"/>
      <c r="F156" s="29"/>
      <c r="G156" s="23" t="s">
        <v>95</v>
      </c>
      <c r="H156" s="23" t="s">
        <v>55</v>
      </c>
      <c r="I156" s="27" t="s">
        <v>977</v>
      </c>
      <c r="J156" s="39" t="s">
        <v>978</v>
      </c>
      <c r="K156" s="39" t="s">
        <v>1291</v>
      </c>
      <c r="L156" s="40" t="s">
        <v>1292</v>
      </c>
    </row>
    <row r="157" spans="1:12" ht="17" hidden="1">
      <c r="A157" s="16" t="s">
        <v>1293</v>
      </c>
      <c r="B157" s="16" t="s">
        <v>1294</v>
      </c>
      <c r="C157" s="16"/>
      <c r="D157" s="17"/>
      <c r="E157" s="17"/>
      <c r="F157" s="18" t="s">
        <v>1288</v>
      </c>
      <c r="G157" s="18" t="s">
        <v>61</v>
      </c>
      <c r="H157" s="18" t="s">
        <v>55</v>
      </c>
      <c r="I157" s="27" t="s">
        <v>977</v>
      </c>
      <c r="J157"/>
      <c r="K157" s="10"/>
      <c r="L157" s="10"/>
    </row>
    <row r="158" spans="1:12" ht="17" hidden="1">
      <c r="A158" s="3" t="s">
        <v>1295</v>
      </c>
      <c r="B158" s="3" t="s">
        <v>151</v>
      </c>
      <c r="C158" s="3"/>
      <c r="F158"/>
      <c r="G158" t="s">
        <v>95</v>
      </c>
      <c r="H158"/>
      <c r="J158"/>
      <c r="K158"/>
      <c r="L158"/>
    </row>
    <row r="159" spans="1:12" ht="17" hidden="1">
      <c r="A159" s="3" t="s">
        <v>1296</v>
      </c>
      <c r="B159" s="3" t="s">
        <v>943</v>
      </c>
      <c r="C159" s="3"/>
      <c r="F159"/>
      <c r="G159" t="s">
        <v>95</v>
      </c>
      <c r="H159"/>
      <c r="J159"/>
      <c r="K159"/>
      <c r="L159"/>
    </row>
    <row r="160" spans="1:12" ht="17" hidden="1">
      <c r="A160" s="16" t="s">
        <v>1297</v>
      </c>
      <c r="B160" s="16" t="s">
        <v>1044</v>
      </c>
      <c r="C160" s="16"/>
      <c r="D160" s="17"/>
      <c r="E160" s="17"/>
      <c r="F160" s="20" t="s">
        <v>1040</v>
      </c>
      <c r="G160" s="23" t="s">
        <v>61</v>
      </c>
      <c r="H160" s="21"/>
      <c r="I160" s="27" t="s">
        <v>977</v>
      </c>
      <c r="J160"/>
      <c r="K160" s="10"/>
      <c r="L160" s="10"/>
    </row>
    <row r="161" spans="1:12" ht="84">
      <c r="A161" s="43" t="s">
        <v>1298</v>
      </c>
      <c r="B161" s="43" t="s">
        <v>1299</v>
      </c>
      <c r="C161" s="43"/>
      <c r="D161" s="17" t="s">
        <v>1011</v>
      </c>
      <c r="E161" s="17" t="s">
        <v>61</v>
      </c>
      <c r="F161" s="29"/>
      <c r="G161" s="25" t="s">
        <v>95</v>
      </c>
      <c r="H161" s="23" t="s">
        <v>55</v>
      </c>
      <c r="I161" s="27" t="s">
        <v>977</v>
      </c>
      <c r="J161" s="39" t="s">
        <v>978</v>
      </c>
      <c r="K161" s="39" t="s">
        <v>1300</v>
      </c>
      <c r="L161" s="40" t="s">
        <v>1301</v>
      </c>
    </row>
    <row r="162" spans="1:12" ht="17" hidden="1">
      <c r="A162" s="3" t="s">
        <v>1302</v>
      </c>
      <c r="B162" s="3" t="s">
        <v>85</v>
      </c>
      <c r="C162" s="3"/>
      <c r="F162"/>
      <c r="G162" t="s">
        <v>95</v>
      </c>
      <c r="H162"/>
      <c r="J162"/>
      <c r="K162"/>
      <c r="L162"/>
    </row>
    <row r="163" spans="1:12" ht="126">
      <c r="A163" s="16" t="s">
        <v>291</v>
      </c>
      <c r="B163" s="16" t="s">
        <v>1014</v>
      </c>
      <c r="C163" s="16"/>
      <c r="D163" s="17" t="s">
        <v>1303</v>
      </c>
      <c r="E163" s="17"/>
      <c r="F163" s="18"/>
      <c r="G163" s="23" t="s">
        <v>95</v>
      </c>
      <c r="H163" s="23" t="s">
        <v>104</v>
      </c>
      <c r="I163" s="18"/>
      <c r="J163" s="39" t="s">
        <v>978</v>
      </c>
      <c r="K163" s="40" t="s">
        <v>1304</v>
      </c>
      <c r="L163" s="40" t="s">
        <v>1305</v>
      </c>
    </row>
    <row r="164" spans="1:12" ht="126">
      <c r="A164" s="16" t="s">
        <v>1306</v>
      </c>
      <c r="B164" s="16" t="s">
        <v>1307</v>
      </c>
      <c r="C164" s="16"/>
      <c r="D164" s="17" t="s">
        <v>1011</v>
      </c>
      <c r="E164" s="17"/>
      <c r="F164" s="18"/>
      <c r="G164" s="23" t="s">
        <v>95</v>
      </c>
      <c r="H164" s="23" t="s">
        <v>104</v>
      </c>
      <c r="I164" s="18"/>
      <c r="J164" s="39" t="s">
        <v>978</v>
      </c>
      <c r="K164" s="40" t="s">
        <v>1308</v>
      </c>
      <c r="L164" s="40" t="s">
        <v>1309</v>
      </c>
    </row>
    <row r="165" spans="1:12" ht="17" hidden="1">
      <c r="A165" s="1" t="s">
        <v>1310</v>
      </c>
      <c r="B165" s="1" t="s">
        <v>1311</v>
      </c>
      <c r="C165" s="1"/>
      <c r="F165"/>
      <c r="G165" t="s">
        <v>95</v>
      </c>
      <c r="H165"/>
      <c r="J165"/>
      <c r="K165"/>
      <c r="L165"/>
    </row>
    <row r="166" spans="1:12" ht="17" hidden="1">
      <c r="A166" s="3" t="s">
        <v>1312</v>
      </c>
      <c r="B166" s="3" t="s">
        <v>1313</v>
      </c>
      <c r="C166" s="3"/>
      <c r="F166"/>
      <c r="G166" t="s">
        <v>95</v>
      </c>
      <c r="H166"/>
      <c r="J166"/>
      <c r="K166"/>
      <c r="L166"/>
    </row>
    <row r="167" spans="1:12" ht="17" hidden="1">
      <c r="A167" s="1" t="s">
        <v>1314</v>
      </c>
      <c r="B167" s="1" t="s">
        <v>52</v>
      </c>
      <c r="C167" s="1"/>
      <c r="F167"/>
      <c r="G167" t="s">
        <v>95</v>
      </c>
      <c r="H167" t="s">
        <v>104</v>
      </c>
      <c r="J167"/>
      <c r="K167"/>
      <c r="L167"/>
    </row>
    <row r="168" spans="1:12" ht="16">
      <c r="A168" s="43" t="s">
        <v>1315</v>
      </c>
      <c r="B168" s="43" t="s">
        <v>296</v>
      </c>
      <c r="C168" s="43"/>
      <c r="D168" s="17" t="s">
        <v>1015</v>
      </c>
      <c r="E168" s="17"/>
      <c r="F168" s="29"/>
      <c r="G168" s="23" t="s">
        <v>95</v>
      </c>
      <c r="H168" s="23" t="s">
        <v>55</v>
      </c>
      <c r="I168" s="27" t="s">
        <v>977</v>
      </c>
      <c r="J168" s="39" t="s">
        <v>978</v>
      </c>
      <c r="K168" s="39" t="s">
        <v>1316</v>
      </c>
      <c r="L168" s="40" t="s">
        <v>1317</v>
      </c>
    </row>
    <row r="169" spans="1:12" ht="17" hidden="1">
      <c r="A169" s="16" t="s">
        <v>1318</v>
      </c>
      <c r="B169" s="16" t="s">
        <v>1319</v>
      </c>
      <c r="C169" s="16"/>
      <c r="D169" s="17"/>
      <c r="E169" s="17"/>
      <c r="F169" s="20" t="s">
        <v>1040</v>
      </c>
      <c r="G169" s="23" t="s">
        <v>61</v>
      </c>
      <c r="H169" s="21"/>
      <c r="I169" s="27" t="s">
        <v>977</v>
      </c>
      <c r="J169"/>
      <c r="K169" s="10"/>
      <c r="L169" s="10"/>
    </row>
    <row r="170" spans="1:12" ht="17" hidden="1">
      <c r="A170" s="1" t="s">
        <v>1320</v>
      </c>
      <c r="B170" s="1" t="s">
        <v>1321</v>
      </c>
      <c r="C170" s="1"/>
      <c r="F170"/>
      <c r="G170" t="s">
        <v>95</v>
      </c>
      <c r="H170"/>
      <c r="J170"/>
      <c r="K170"/>
      <c r="L170"/>
    </row>
    <row r="171" spans="1:12" ht="17" hidden="1">
      <c r="A171" s="3" t="s">
        <v>1322</v>
      </c>
      <c r="B171" s="3" t="s">
        <v>1323</v>
      </c>
      <c r="C171" s="3"/>
      <c r="F171"/>
      <c r="G171" t="s">
        <v>95</v>
      </c>
      <c r="H171"/>
      <c r="J171"/>
      <c r="K171"/>
      <c r="L171"/>
    </row>
    <row r="172" spans="1:12" ht="17" hidden="1">
      <c r="A172" s="3" t="s">
        <v>1324</v>
      </c>
      <c r="B172" s="3" t="s">
        <v>264</v>
      </c>
      <c r="C172" s="3"/>
      <c r="F172"/>
      <c r="G172" t="s">
        <v>95</v>
      </c>
      <c r="H172"/>
      <c r="J172"/>
      <c r="K172"/>
      <c r="L172"/>
    </row>
    <row r="173" spans="1:12" ht="17" hidden="1">
      <c r="A173" s="16" t="s">
        <v>304</v>
      </c>
      <c r="B173" s="16" t="s">
        <v>1251</v>
      </c>
      <c r="C173" s="16"/>
      <c r="D173" s="17"/>
      <c r="E173" s="17"/>
      <c r="F173" s="20" t="s">
        <v>1040</v>
      </c>
      <c r="G173" s="23" t="s">
        <v>61</v>
      </c>
      <c r="H173" s="21"/>
      <c r="I173" s="27" t="s">
        <v>977</v>
      </c>
      <c r="J173"/>
      <c r="K173" s="10"/>
      <c r="L173" s="10"/>
    </row>
    <row r="174" spans="1:12" ht="28">
      <c r="A174" s="45" t="s">
        <v>950</v>
      </c>
      <c r="B174" s="45" t="s">
        <v>1325</v>
      </c>
      <c r="C174" s="45"/>
      <c r="D174" s="46" t="s">
        <v>986</v>
      </c>
      <c r="E174" s="46"/>
      <c r="F174" s="18"/>
      <c r="G174" s="25" t="s">
        <v>95</v>
      </c>
      <c r="H174" s="23" t="s">
        <v>55</v>
      </c>
      <c r="I174" s="47"/>
      <c r="J174" s="41" t="s">
        <v>978</v>
      </c>
      <c r="K174" s="39" t="s">
        <v>1326</v>
      </c>
      <c r="L174" s="40" t="s">
        <v>1327</v>
      </c>
    </row>
    <row r="175" spans="1:12" ht="34" hidden="1">
      <c r="A175" s="3" t="s">
        <v>1328</v>
      </c>
      <c r="B175" s="3" t="s">
        <v>1287</v>
      </c>
      <c r="C175" s="3"/>
      <c r="F175"/>
      <c r="G175" t="s">
        <v>95</v>
      </c>
      <c r="H175"/>
      <c r="J175"/>
      <c r="K175"/>
      <c r="L175"/>
    </row>
    <row r="176" spans="1:12" ht="17" hidden="1">
      <c r="A176" s="1" t="s">
        <v>1329</v>
      </c>
      <c r="B176" s="1" t="s">
        <v>1330</v>
      </c>
      <c r="C176" s="1"/>
      <c r="F176"/>
      <c r="G176" t="s">
        <v>95</v>
      </c>
      <c r="H176"/>
      <c r="J176"/>
      <c r="K176"/>
      <c r="L176"/>
    </row>
    <row r="177" spans="1:12" ht="17" hidden="1">
      <c r="A177" s="3" t="s">
        <v>1331</v>
      </c>
      <c r="B177" s="3" t="s">
        <v>1332</v>
      </c>
      <c r="C177" s="3"/>
      <c r="F177"/>
      <c r="G177" t="s">
        <v>95</v>
      </c>
      <c r="H177"/>
      <c r="J177"/>
      <c r="K177"/>
      <c r="L177"/>
    </row>
    <row r="178" spans="1:12" ht="17" hidden="1">
      <c r="A178" s="1" t="s">
        <v>1333</v>
      </c>
      <c r="B178" s="1" t="s">
        <v>296</v>
      </c>
      <c r="C178" s="1"/>
      <c r="F178"/>
      <c r="G178" t="s">
        <v>95</v>
      </c>
      <c r="H178"/>
      <c r="J178"/>
      <c r="K178"/>
      <c r="L178"/>
    </row>
    <row r="179" spans="1:12" ht="17" hidden="1">
      <c r="A179" s="3" t="s">
        <v>316</v>
      </c>
      <c r="B179" s="3" t="s">
        <v>1264</v>
      </c>
      <c r="C179" s="3"/>
      <c r="F179"/>
      <c r="G179" t="s">
        <v>95</v>
      </c>
      <c r="H179"/>
      <c r="J179"/>
      <c r="K179"/>
      <c r="L179"/>
    </row>
    <row r="180" spans="1:12" ht="17" hidden="1">
      <c r="A180" s="1" t="s">
        <v>1334</v>
      </c>
      <c r="B180" s="1" t="s">
        <v>1251</v>
      </c>
      <c r="C180" s="1"/>
      <c r="F180"/>
      <c r="G180" t="s">
        <v>95</v>
      </c>
      <c r="H180"/>
      <c r="J180"/>
      <c r="K180"/>
      <c r="L180"/>
    </row>
    <row r="181" spans="1:12" ht="17" hidden="1">
      <c r="A181" s="3" t="s">
        <v>1335</v>
      </c>
      <c r="B181" s="3" t="s">
        <v>1336</v>
      </c>
      <c r="C181" s="3"/>
      <c r="F181"/>
      <c r="G181" t="s">
        <v>95</v>
      </c>
      <c r="H181"/>
      <c r="J181"/>
      <c r="K181"/>
      <c r="L181"/>
    </row>
    <row r="182" spans="1:12" ht="17" hidden="1">
      <c r="A182" s="16" t="s">
        <v>1337</v>
      </c>
      <c r="B182" s="16" t="s">
        <v>1338</v>
      </c>
      <c r="C182" s="16"/>
      <c r="D182" s="17"/>
      <c r="E182" s="17"/>
      <c r="F182" s="20" t="s">
        <v>1040</v>
      </c>
      <c r="G182" s="18" t="s">
        <v>61</v>
      </c>
      <c r="H182" s="18" t="s">
        <v>55</v>
      </c>
      <c r="I182" s="27" t="s">
        <v>977</v>
      </c>
      <c r="J182"/>
      <c r="K182" s="10"/>
      <c r="L182" s="10"/>
    </row>
    <row r="183" spans="1:12" ht="17" hidden="1">
      <c r="A183" s="1" t="s">
        <v>1339</v>
      </c>
      <c r="B183" s="1" t="s">
        <v>660</v>
      </c>
      <c r="C183" s="1"/>
      <c r="F183"/>
      <c r="G183" t="s">
        <v>95</v>
      </c>
      <c r="H183"/>
      <c r="J183"/>
      <c r="K183"/>
      <c r="L183"/>
    </row>
    <row r="184" spans="1:12" ht="17" hidden="1">
      <c r="A184" s="3" t="s">
        <v>1340</v>
      </c>
      <c r="B184" s="3" t="s">
        <v>85</v>
      </c>
      <c r="C184" s="3"/>
      <c r="F184"/>
      <c r="G184" t="s">
        <v>95</v>
      </c>
      <c r="H184"/>
      <c r="J184"/>
      <c r="K184"/>
      <c r="L184"/>
    </row>
    <row r="185" spans="1:12" ht="17" hidden="1">
      <c r="A185" s="16" t="s">
        <v>1341</v>
      </c>
      <c r="B185" s="16" t="s">
        <v>1342</v>
      </c>
      <c r="C185" s="16"/>
      <c r="D185" s="17"/>
      <c r="E185" s="17"/>
      <c r="F185" s="20" t="s">
        <v>1040</v>
      </c>
      <c r="G185" s="23" t="s">
        <v>61</v>
      </c>
      <c r="H185" s="21"/>
      <c r="I185" s="27" t="s">
        <v>977</v>
      </c>
      <c r="J185"/>
      <c r="K185" s="10"/>
      <c r="L185" s="10"/>
    </row>
    <row r="186" spans="1:12" ht="17" hidden="1">
      <c r="A186" s="1" t="s">
        <v>1343</v>
      </c>
      <c r="B186" s="1" t="s">
        <v>1344</v>
      </c>
      <c r="C186" s="1"/>
      <c r="F186"/>
      <c r="G186" t="s">
        <v>95</v>
      </c>
      <c r="H186"/>
      <c r="J186"/>
      <c r="K186"/>
      <c r="L186"/>
    </row>
    <row r="187" spans="1:12" ht="34" hidden="1">
      <c r="A187" s="16" t="s">
        <v>1345</v>
      </c>
      <c r="B187" s="16" t="s">
        <v>1346</v>
      </c>
      <c r="C187" s="16"/>
      <c r="D187" s="17"/>
      <c r="E187" s="17"/>
      <c r="F187" s="20" t="s">
        <v>1135</v>
      </c>
      <c r="G187" s="23" t="s">
        <v>61</v>
      </c>
      <c r="H187" s="21"/>
      <c r="I187" s="18"/>
      <c r="J187"/>
      <c r="K187" s="10"/>
      <c r="L187" s="10"/>
    </row>
    <row r="188" spans="1:12" ht="17" hidden="1">
      <c r="A188" s="3" t="s">
        <v>1347</v>
      </c>
      <c r="B188" s="3" t="s">
        <v>1348</v>
      </c>
      <c r="C188" s="3"/>
      <c r="F188"/>
      <c r="G188" t="s">
        <v>95</v>
      </c>
      <c r="H188"/>
      <c r="J188"/>
      <c r="K188"/>
      <c r="L188"/>
    </row>
    <row r="189" spans="1:12" ht="17" hidden="1">
      <c r="A189" s="3" t="s">
        <v>1349</v>
      </c>
      <c r="B189" s="3" t="s">
        <v>113</v>
      </c>
      <c r="C189" s="3"/>
      <c r="F189"/>
      <c r="G189" t="s">
        <v>95</v>
      </c>
      <c r="H189"/>
      <c r="J189"/>
      <c r="K189"/>
      <c r="L189"/>
    </row>
    <row r="190" spans="1:12" ht="16">
      <c r="A190" s="45" t="s">
        <v>1350</v>
      </c>
      <c r="B190" s="45" t="s">
        <v>1351</v>
      </c>
      <c r="C190" s="45"/>
      <c r="D190" s="46" t="s">
        <v>1303</v>
      </c>
      <c r="E190" s="46"/>
      <c r="F190" s="18"/>
      <c r="G190" s="23" t="s">
        <v>61</v>
      </c>
      <c r="H190" s="23" t="s">
        <v>55</v>
      </c>
      <c r="I190" s="47"/>
      <c r="J190" s="41" t="s">
        <v>978</v>
      </c>
      <c r="K190" s="39" t="s">
        <v>1352</v>
      </c>
      <c r="L190" s="40" t="s">
        <v>1353</v>
      </c>
    </row>
    <row r="191" spans="1:12" ht="17" hidden="1">
      <c r="A191" s="3" t="s">
        <v>1354</v>
      </c>
      <c r="B191" s="3" t="s">
        <v>1355</v>
      </c>
      <c r="C191" s="3"/>
      <c r="F191"/>
      <c r="G191" t="s">
        <v>95</v>
      </c>
      <c r="H191"/>
      <c r="J191"/>
      <c r="K191"/>
      <c r="L191"/>
    </row>
    <row r="192" spans="1:12" ht="56">
      <c r="A192" s="43" t="s">
        <v>1356</v>
      </c>
      <c r="B192" s="43" t="s">
        <v>1357</v>
      </c>
      <c r="C192" s="43"/>
      <c r="D192" s="17" t="s">
        <v>1011</v>
      </c>
      <c r="E192" s="17" t="s">
        <v>61</v>
      </c>
      <c r="F192" s="29"/>
      <c r="G192" s="25" t="s">
        <v>95</v>
      </c>
      <c r="H192" s="23" t="s">
        <v>55</v>
      </c>
      <c r="I192" s="27" t="s">
        <v>977</v>
      </c>
      <c r="J192" s="39" t="s">
        <v>978</v>
      </c>
      <c r="K192" s="39" t="s">
        <v>1358</v>
      </c>
      <c r="L192" s="40" t="s">
        <v>1359</v>
      </c>
    </row>
    <row r="193" spans="1:12" ht="17" hidden="1">
      <c r="A193" s="1" t="s">
        <v>1360</v>
      </c>
      <c r="B193" s="1" t="s">
        <v>1214</v>
      </c>
      <c r="C193" s="1"/>
      <c r="F193"/>
      <c r="G193" t="s">
        <v>95</v>
      </c>
      <c r="H193"/>
      <c r="J193"/>
      <c r="K193"/>
      <c r="L193"/>
    </row>
    <row r="194" spans="1:12" ht="126">
      <c r="A194" s="16" t="s">
        <v>1361</v>
      </c>
      <c r="B194" s="16" t="s">
        <v>675</v>
      </c>
      <c r="C194" s="16"/>
      <c r="D194" s="17" t="s">
        <v>1011</v>
      </c>
      <c r="E194" s="17"/>
      <c r="F194" s="18"/>
      <c r="G194" s="23" t="s">
        <v>95</v>
      </c>
      <c r="H194" s="23" t="s">
        <v>104</v>
      </c>
      <c r="I194" s="18"/>
      <c r="J194" s="39" t="s">
        <v>978</v>
      </c>
      <c r="K194" s="40" t="s">
        <v>1362</v>
      </c>
      <c r="L194" s="40" t="s">
        <v>1363</v>
      </c>
    </row>
    <row r="195" spans="1:12" ht="16">
      <c r="A195" s="43" t="s">
        <v>1364</v>
      </c>
      <c r="B195" s="43" t="s">
        <v>1365</v>
      </c>
      <c r="C195" s="43"/>
      <c r="D195" s="17" t="s">
        <v>986</v>
      </c>
      <c r="E195" s="17"/>
      <c r="F195" s="29"/>
      <c r="G195" s="25" t="s">
        <v>95</v>
      </c>
      <c r="H195" s="23" t="s">
        <v>55</v>
      </c>
      <c r="I195" s="27" t="s">
        <v>977</v>
      </c>
      <c r="J195" s="39" t="s">
        <v>978</v>
      </c>
      <c r="K195" s="39" t="s">
        <v>1366</v>
      </c>
      <c r="L195" s="40" t="s">
        <v>1367</v>
      </c>
    </row>
    <row r="196" spans="1:12" ht="126">
      <c r="A196" s="16" t="s">
        <v>1368</v>
      </c>
      <c r="B196" s="16" t="s">
        <v>1369</v>
      </c>
      <c r="C196" s="16"/>
      <c r="D196" s="17" t="s">
        <v>1011</v>
      </c>
      <c r="E196" s="17"/>
      <c r="F196" s="18"/>
      <c r="G196" s="23" t="s">
        <v>95</v>
      </c>
      <c r="H196" s="23" t="s">
        <v>104</v>
      </c>
      <c r="I196" s="18"/>
      <c r="J196" s="39" t="s">
        <v>978</v>
      </c>
      <c r="K196" s="40" t="s">
        <v>1370</v>
      </c>
      <c r="L196" s="40" t="s">
        <v>1371</v>
      </c>
    </row>
    <row r="197" spans="1:12" ht="17" hidden="1">
      <c r="A197" s="1" t="s">
        <v>1372</v>
      </c>
      <c r="B197" s="1" t="s">
        <v>1373</v>
      </c>
      <c r="C197" s="1"/>
      <c r="F197"/>
      <c r="G197" t="s">
        <v>95</v>
      </c>
      <c r="H197"/>
      <c r="J197"/>
      <c r="K197"/>
      <c r="L197"/>
    </row>
    <row r="198" spans="1:12" ht="17" hidden="1">
      <c r="A198" s="3" t="s">
        <v>1374</v>
      </c>
      <c r="B198" s="3" t="s">
        <v>1375</v>
      </c>
      <c r="C198" s="3"/>
      <c r="F198"/>
      <c r="G198" t="s">
        <v>95</v>
      </c>
      <c r="H198"/>
      <c r="J198"/>
      <c r="K198"/>
      <c r="L198"/>
    </row>
    <row r="199" spans="1:12" ht="17" hidden="1">
      <c r="A199" s="3" t="s">
        <v>1376</v>
      </c>
      <c r="B199" s="3" t="s">
        <v>1377</v>
      </c>
      <c r="C199" s="3"/>
      <c r="F199"/>
      <c r="G199" t="s">
        <v>95</v>
      </c>
      <c r="H199"/>
      <c r="J199"/>
      <c r="K199"/>
      <c r="L199"/>
    </row>
    <row r="200" spans="1:12" ht="42">
      <c r="A200" s="43" t="s">
        <v>1378</v>
      </c>
      <c r="B200" s="43" t="s">
        <v>1379</v>
      </c>
      <c r="C200" s="43"/>
      <c r="D200" s="17" t="s">
        <v>986</v>
      </c>
      <c r="E200" s="17"/>
      <c r="F200" s="29"/>
      <c r="G200" s="23" t="s">
        <v>95</v>
      </c>
      <c r="H200" s="23" t="s">
        <v>55</v>
      </c>
      <c r="I200" s="27" t="s">
        <v>977</v>
      </c>
      <c r="J200" s="39" t="s">
        <v>978</v>
      </c>
      <c r="K200" s="39" t="s">
        <v>1380</v>
      </c>
      <c r="L200" s="40" t="s">
        <v>1381</v>
      </c>
    </row>
    <row r="201" spans="1:12" ht="16">
      <c r="A201" s="43" t="s">
        <v>1382</v>
      </c>
      <c r="B201" s="43" t="s">
        <v>1383</v>
      </c>
      <c r="C201" s="43"/>
      <c r="D201" s="17" t="s">
        <v>986</v>
      </c>
      <c r="E201" s="17"/>
      <c r="F201" s="29"/>
      <c r="G201" s="23" t="s">
        <v>95</v>
      </c>
      <c r="H201" s="23" t="s">
        <v>55</v>
      </c>
      <c r="I201" s="27" t="s">
        <v>977</v>
      </c>
      <c r="J201" s="39" t="s">
        <v>978</v>
      </c>
      <c r="K201" s="39" t="s">
        <v>1380</v>
      </c>
      <c r="L201" s="40" t="s">
        <v>1384</v>
      </c>
    </row>
    <row r="202" spans="1:12" ht="17" hidden="1">
      <c r="A202" s="1" t="s">
        <v>1385</v>
      </c>
      <c r="B202" s="1" t="s">
        <v>1386</v>
      </c>
      <c r="C202" s="1"/>
      <c r="F202"/>
      <c r="G202" t="s">
        <v>95</v>
      </c>
      <c r="H202"/>
      <c r="J202"/>
      <c r="K202"/>
      <c r="L202"/>
    </row>
    <row r="203" spans="1:12" ht="34" hidden="1">
      <c r="A203" s="3" t="s">
        <v>331</v>
      </c>
      <c r="B203" s="3" t="s">
        <v>1387</v>
      </c>
      <c r="C203" s="3"/>
      <c r="F203"/>
      <c r="G203" t="s">
        <v>95</v>
      </c>
      <c r="H203"/>
      <c r="J203"/>
      <c r="K203"/>
      <c r="L203"/>
    </row>
    <row r="204" spans="1:12" ht="28">
      <c r="A204" s="43" t="s">
        <v>337</v>
      </c>
      <c r="B204" s="43" t="s">
        <v>338</v>
      </c>
      <c r="C204" s="43"/>
      <c r="D204" s="17" t="s">
        <v>1015</v>
      </c>
      <c r="E204" s="17"/>
      <c r="F204" s="29"/>
      <c r="G204" s="23" t="s">
        <v>95</v>
      </c>
      <c r="H204" s="23" t="s">
        <v>55</v>
      </c>
      <c r="I204" s="27" t="s">
        <v>977</v>
      </c>
      <c r="J204" s="39" t="s">
        <v>978</v>
      </c>
      <c r="K204" s="39" t="s">
        <v>1388</v>
      </c>
      <c r="L204" s="40" t="s">
        <v>1389</v>
      </c>
    </row>
    <row r="205" spans="1:12" ht="17" hidden="1">
      <c r="A205" s="3" t="s">
        <v>1390</v>
      </c>
      <c r="B205" s="3" t="s">
        <v>1391</v>
      </c>
      <c r="C205" s="3"/>
      <c r="F205"/>
      <c r="G205" t="s">
        <v>95</v>
      </c>
      <c r="H205"/>
      <c r="J205"/>
      <c r="K205"/>
      <c r="L205"/>
    </row>
    <row r="206" spans="1:12" ht="17" hidden="1">
      <c r="A206" s="3" t="s">
        <v>343</v>
      </c>
      <c r="B206" s="3" t="s">
        <v>344</v>
      </c>
      <c r="C206" s="3"/>
      <c r="F206"/>
      <c r="G206" t="s">
        <v>95</v>
      </c>
      <c r="H206"/>
      <c r="J206"/>
      <c r="K206"/>
      <c r="L206"/>
    </row>
    <row r="207" spans="1:12" ht="17" hidden="1">
      <c r="A207" s="1" t="s">
        <v>1392</v>
      </c>
      <c r="B207" s="1" t="s">
        <v>1393</v>
      </c>
      <c r="C207" s="1"/>
      <c r="F207"/>
      <c r="G207" t="s">
        <v>95</v>
      </c>
      <c r="H207"/>
      <c r="J207"/>
      <c r="K207"/>
      <c r="L207"/>
    </row>
    <row r="208" spans="1:12" ht="16">
      <c r="A208" s="43" t="s">
        <v>1394</v>
      </c>
      <c r="B208" s="43" t="s">
        <v>1395</v>
      </c>
      <c r="C208" s="43"/>
      <c r="D208" s="17" t="s">
        <v>1303</v>
      </c>
      <c r="E208" s="17"/>
      <c r="F208" s="29" t="s">
        <v>1167</v>
      </c>
      <c r="G208" s="23" t="s">
        <v>61</v>
      </c>
      <c r="H208" s="23" t="s">
        <v>172</v>
      </c>
      <c r="I208" s="27" t="s">
        <v>977</v>
      </c>
      <c r="J208" s="39" t="s">
        <v>978</v>
      </c>
      <c r="K208" s="39" t="s">
        <v>1396</v>
      </c>
      <c r="L208" s="40" t="s">
        <v>1397</v>
      </c>
    </row>
    <row r="209" spans="1:12" ht="17" hidden="1">
      <c r="A209" s="1" t="s">
        <v>1398</v>
      </c>
      <c r="B209" s="1" t="s">
        <v>1399</v>
      </c>
      <c r="C209" s="1"/>
      <c r="F209"/>
      <c r="G209" t="s">
        <v>95</v>
      </c>
      <c r="H209"/>
      <c r="J209"/>
      <c r="K209"/>
      <c r="L209"/>
    </row>
    <row r="210" spans="1:12" ht="17" hidden="1">
      <c r="A210" s="3" t="s">
        <v>1400</v>
      </c>
      <c r="B210" s="3" t="s">
        <v>296</v>
      </c>
      <c r="C210" s="3"/>
      <c r="F210"/>
      <c r="G210" t="s">
        <v>95</v>
      </c>
      <c r="H210"/>
      <c r="J210"/>
      <c r="K210"/>
      <c r="L210"/>
    </row>
    <row r="211" spans="1:12" ht="17" hidden="1">
      <c r="A211" s="1" t="s">
        <v>1401</v>
      </c>
      <c r="B211" s="1" t="s">
        <v>1402</v>
      </c>
      <c r="C211" s="1"/>
      <c r="F211"/>
      <c r="G211" t="s">
        <v>95</v>
      </c>
      <c r="H211"/>
      <c r="J211"/>
      <c r="K211"/>
      <c r="L211"/>
    </row>
    <row r="212" spans="1:12" ht="17" hidden="1">
      <c r="A212" s="1" t="s">
        <v>1403</v>
      </c>
      <c r="B212" s="1" t="s">
        <v>1404</v>
      </c>
      <c r="C212" s="1"/>
      <c r="F212"/>
      <c r="G212" t="s">
        <v>95</v>
      </c>
      <c r="H212"/>
      <c r="J212"/>
      <c r="K212"/>
      <c r="L212"/>
    </row>
    <row r="213" spans="1:12" ht="17" hidden="1">
      <c r="A213" s="1" t="s">
        <v>1405</v>
      </c>
      <c r="B213" s="1" t="s">
        <v>1406</v>
      </c>
      <c r="C213" s="1"/>
      <c r="F213"/>
      <c r="G213" t="s">
        <v>95</v>
      </c>
      <c r="H213"/>
      <c r="J213"/>
      <c r="K213"/>
      <c r="L213"/>
    </row>
    <row r="214" spans="1:12" ht="16">
      <c r="A214" s="43" t="s">
        <v>1407</v>
      </c>
      <c r="B214" s="43" t="s">
        <v>1408</v>
      </c>
      <c r="C214" s="43"/>
      <c r="D214" s="17" t="s">
        <v>1006</v>
      </c>
      <c r="E214" s="17"/>
      <c r="F214" s="29" t="s">
        <v>1167</v>
      </c>
      <c r="G214" s="23" t="s">
        <v>61</v>
      </c>
      <c r="H214" s="23" t="s">
        <v>172</v>
      </c>
      <c r="I214" s="27" t="s">
        <v>977</v>
      </c>
      <c r="J214" s="39" t="s">
        <v>978</v>
      </c>
      <c r="K214" s="39" t="s">
        <v>1409</v>
      </c>
      <c r="L214" s="40" t="s">
        <v>1410</v>
      </c>
    </row>
    <row r="215" spans="1:12" ht="16">
      <c r="A215" s="43" t="s">
        <v>351</v>
      </c>
      <c r="B215" s="43" t="s">
        <v>352</v>
      </c>
      <c r="C215" s="43"/>
      <c r="D215" s="17" t="s">
        <v>986</v>
      </c>
      <c r="E215" s="17"/>
      <c r="F215" s="29"/>
      <c r="G215" s="25" t="s">
        <v>95</v>
      </c>
      <c r="H215" s="23" t="s">
        <v>172</v>
      </c>
      <c r="I215" s="27" t="s">
        <v>977</v>
      </c>
      <c r="J215" s="39" t="s">
        <v>978</v>
      </c>
      <c r="K215" s="39" t="s">
        <v>1411</v>
      </c>
      <c r="L215" s="40"/>
    </row>
    <row r="216" spans="1:12" ht="17" hidden="1">
      <c r="A216" s="3" t="s">
        <v>358</v>
      </c>
      <c r="B216" s="3" t="s">
        <v>52</v>
      </c>
      <c r="C216" s="3"/>
      <c r="F216"/>
      <c r="G216" t="s">
        <v>95</v>
      </c>
      <c r="H216" t="s">
        <v>104</v>
      </c>
      <c r="J216"/>
      <c r="K216"/>
      <c r="L216"/>
    </row>
    <row r="217" spans="1:12" ht="17" hidden="1">
      <c r="A217" s="3" t="s">
        <v>1412</v>
      </c>
      <c r="B217" s="3" t="s">
        <v>1413</v>
      </c>
      <c r="C217" s="3"/>
      <c r="F217"/>
      <c r="G217" t="s">
        <v>95</v>
      </c>
      <c r="H217"/>
      <c r="J217"/>
      <c r="K217"/>
      <c r="L217"/>
    </row>
    <row r="218" spans="1:12" ht="17" hidden="1">
      <c r="A218" s="1" t="s">
        <v>1414</v>
      </c>
      <c r="B218" s="1" t="s">
        <v>344</v>
      </c>
      <c r="C218" s="1"/>
      <c r="F218"/>
      <c r="G218" t="s">
        <v>95</v>
      </c>
      <c r="H218"/>
      <c r="J218"/>
      <c r="K218"/>
      <c r="L218"/>
    </row>
    <row r="219" spans="1:12" ht="17" hidden="1">
      <c r="A219" s="1" t="s">
        <v>366</v>
      </c>
      <c r="B219" s="1" t="s">
        <v>367</v>
      </c>
      <c r="C219" s="1"/>
      <c r="F219"/>
      <c r="G219" t="s">
        <v>95</v>
      </c>
      <c r="H219"/>
      <c r="J219"/>
      <c r="K219"/>
      <c r="L219"/>
    </row>
    <row r="220" spans="1:12" ht="17" hidden="1">
      <c r="A220" s="1" t="s">
        <v>1415</v>
      </c>
      <c r="B220" s="1" t="s">
        <v>1416</v>
      </c>
      <c r="C220" s="1"/>
      <c r="F220"/>
      <c r="G220" t="s">
        <v>95</v>
      </c>
      <c r="H220"/>
      <c r="J220"/>
      <c r="K220"/>
      <c r="L220"/>
    </row>
    <row r="221" spans="1:12" ht="17" hidden="1">
      <c r="A221" s="1" t="s">
        <v>1417</v>
      </c>
      <c r="B221" s="1" t="s">
        <v>1261</v>
      </c>
      <c r="C221" s="1"/>
      <c r="F221"/>
      <c r="G221" t="s">
        <v>95</v>
      </c>
      <c r="H221"/>
      <c r="J221"/>
      <c r="K221"/>
      <c r="L221"/>
    </row>
    <row r="222" spans="1:12" ht="17" hidden="1">
      <c r="A222" s="3" t="s">
        <v>374</v>
      </c>
      <c r="B222" s="3" t="s">
        <v>375</v>
      </c>
      <c r="C222" s="3"/>
      <c r="F222"/>
      <c r="G222" t="s">
        <v>95</v>
      </c>
      <c r="H222"/>
      <c r="J222"/>
      <c r="K222"/>
      <c r="L222"/>
    </row>
    <row r="223" spans="1:12" ht="34" hidden="1">
      <c r="A223" s="3" t="s">
        <v>1418</v>
      </c>
      <c r="B223" s="3" t="s">
        <v>1419</v>
      </c>
      <c r="C223" s="3"/>
      <c r="F223"/>
      <c r="G223" t="s">
        <v>95</v>
      </c>
      <c r="H223"/>
      <c r="J223"/>
      <c r="K223"/>
      <c r="L223"/>
    </row>
    <row r="224" spans="1:12" ht="140">
      <c r="A224" s="16" t="s">
        <v>1420</v>
      </c>
      <c r="B224" s="16" t="s">
        <v>1290</v>
      </c>
      <c r="C224" s="16"/>
      <c r="D224" s="17" t="s">
        <v>1015</v>
      </c>
      <c r="E224" s="17"/>
      <c r="F224" s="18"/>
      <c r="G224" s="23" t="s">
        <v>95</v>
      </c>
      <c r="H224" s="23" t="s">
        <v>104</v>
      </c>
      <c r="I224" s="18"/>
      <c r="J224" s="39" t="s">
        <v>978</v>
      </c>
      <c r="K224" s="40" t="s">
        <v>1421</v>
      </c>
      <c r="L224" s="40" t="s">
        <v>1422</v>
      </c>
    </row>
    <row r="225" spans="1:12" ht="17" hidden="1">
      <c r="A225" s="1" t="s">
        <v>1423</v>
      </c>
      <c r="B225" s="1" t="s">
        <v>1424</v>
      </c>
      <c r="C225" s="1"/>
      <c r="F225"/>
      <c r="G225" t="s">
        <v>95</v>
      </c>
      <c r="H225"/>
      <c r="J225"/>
      <c r="K225"/>
      <c r="L225"/>
    </row>
    <row r="226" spans="1:12" ht="16">
      <c r="A226" s="43" t="s">
        <v>380</v>
      </c>
      <c r="B226" s="43" t="s">
        <v>296</v>
      </c>
      <c r="C226" s="43"/>
      <c r="D226" s="17" t="s">
        <v>1011</v>
      </c>
      <c r="E226" s="17"/>
      <c r="F226" s="29"/>
      <c r="G226" s="25" t="s">
        <v>95</v>
      </c>
      <c r="H226" s="23" t="s">
        <v>172</v>
      </c>
      <c r="I226" s="27" t="s">
        <v>977</v>
      </c>
      <c r="J226" s="39" t="s">
        <v>978</v>
      </c>
      <c r="K226" s="39" t="s">
        <v>1425</v>
      </c>
      <c r="L226" s="40"/>
    </row>
    <row r="227" spans="1:12" ht="17" hidden="1">
      <c r="A227" s="1" t="s">
        <v>1426</v>
      </c>
      <c r="B227" s="1" t="s">
        <v>85</v>
      </c>
      <c r="C227" s="1"/>
      <c r="F227"/>
      <c r="G227" t="s">
        <v>95</v>
      </c>
      <c r="H227"/>
      <c r="J227"/>
      <c r="K227"/>
      <c r="L227"/>
    </row>
    <row r="228" spans="1:12" ht="17" hidden="1">
      <c r="A228" s="1" t="s">
        <v>1427</v>
      </c>
      <c r="B228" s="1" t="s">
        <v>1428</v>
      </c>
      <c r="C228" s="1"/>
      <c r="F228"/>
      <c r="G228" t="s">
        <v>95</v>
      </c>
      <c r="H228" t="s">
        <v>104</v>
      </c>
      <c r="J228"/>
      <c r="K228"/>
      <c r="L228"/>
    </row>
    <row r="229" spans="1:12" ht="17" hidden="1">
      <c r="A229" s="3" t="s">
        <v>1429</v>
      </c>
      <c r="B229" s="3" t="s">
        <v>1430</v>
      </c>
      <c r="C229" s="3"/>
      <c r="F229"/>
      <c r="G229" t="s">
        <v>95</v>
      </c>
      <c r="H229"/>
      <c r="J229"/>
      <c r="K229"/>
      <c r="L229"/>
    </row>
    <row r="230" spans="1:12" ht="17" hidden="1">
      <c r="A230" s="1" t="s">
        <v>1431</v>
      </c>
      <c r="B230" s="1" t="s">
        <v>1261</v>
      </c>
      <c r="C230" s="1"/>
      <c r="F230"/>
      <c r="G230" t="s">
        <v>95</v>
      </c>
      <c r="H230"/>
      <c r="J230"/>
      <c r="K230"/>
      <c r="L230"/>
    </row>
    <row r="231" spans="1:12" ht="34" hidden="1">
      <c r="A231" s="3" t="s">
        <v>1432</v>
      </c>
      <c r="B231" s="3" t="s">
        <v>1433</v>
      </c>
      <c r="C231" s="3"/>
      <c r="F231"/>
      <c r="G231" t="s">
        <v>95</v>
      </c>
      <c r="H231"/>
      <c r="J231"/>
      <c r="K231"/>
      <c r="L231"/>
    </row>
    <row r="232" spans="1:12" ht="17" hidden="1">
      <c r="A232" s="3" t="s">
        <v>1434</v>
      </c>
      <c r="B232" s="3" t="s">
        <v>1187</v>
      </c>
      <c r="C232" s="3"/>
      <c r="F232"/>
      <c r="G232" t="s">
        <v>95</v>
      </c>
      <c r="H232"/>
      <c r="J232"/>
      <c r="K232"/>
      <c r="L232"/>
    </row>
    <row r="233" spans="1:12" ht="17" hidden="1">
      <c r="A233" s="3" t="s">
        <v>1435</v>
      </c>
      <c r="B233" s="3" t="s">
        <v>1436</v>
      </c>
      <c r="C233" s="3"/>
      <c r="F233"/>
      <c r="G233" t="s">
        <v>95</v>
      </c>
      <c r="H233"/>
      <c r="J233"/>
      <c r="K233"/>
      <c r="L233"/>
    </row>
    <row r="234" spans="1:12" ht="17" hidden="1">
      <c r="A234" s="3" t="s">
        <v>1437</v>
      </c>
      <c r="B234" s="3" t="s">
        <v>675</v>
      </c>
      <c r="C234" s="3"/>
      <c r="F234"/>
      <c r="G234" t="s">
        <v>95</v>
      </c>
      <c r="H234"/>
      <c r="J234"/>
      <c r="K234"/>
      <c r="L234"/>
    </row>
    <row r="235" spans="1:12" ht="16">
      <c r="A235" s="45" t="s">
        <v>1438</v>
      </c>
      <c r="B235" s="45" t="s">
        <v>666</v>
      </c>
      <c r="C235" s="45"/>
      <c r="D235" s="46" t="s">
        <v>1022</v>
      </c>
      <c r="E235" s="46"/>
      <c r="F235" s="47"/>
      <c r="G235" s="26" t="s">
        <v>95</v>
      </c>
      <c r="H235" s="23" t="s">
        <v>172</v>
      </c>
      <c r="I235" s="47" t="s">
        <v>1439</v>
      </c>
      <c r="J235" s="39" t="s">
        <v>978</v>
      </c>
      <c r="K235" s="39" t="s">
        <v>1440</v>
      </c>
      <c r="L235" s="40" t="s">
        <v>1441</v>
      </c>
    </row>
    <row r="236" spans="1:12" ht="140">
      <c r="A236" s="16" t="s">
        <v>399</v>
      </c>
      <c r="B236" s="16" t="s">
        <v>1442</v>
      </c>
      <c r="C236" s="16"/>
      <c r="D236" s="17" t="s">
        <v>1006</v>
      </c>
      <c r="E236" s="17" t="s">
        <v>61</v>
      </c>
      <c r="F236" s="18"/>
      <c r="G236" s="18" t="s">
        <v>61</v>
      </c>
      <c r="H236" s="23" t="s">
        <v>782</v>
      </c>
      <c r="I236" s="18"/>
      <c r="J236" t="s">
        <v>978</v>
      </c>
      <c r="K236" s="36" t="s">
        <v>1443</v>
      </c>
      <c r="L236" s="36" t="s">
        <v>1444</v>
      </c>
    </row>
    <row r="237" spans="1:12" ht="140">
      <c r="A237" s="16" t="s">
        <v>1445</v>
      </c>
      <c r="B237" s="16" t="s">
        <v>1446</v>
      </c>
      <c r="C237" s="16"/>
      <c r="D237" s="17" t="s">
        <v>1006</v>
      </c>
      <c r="E237" s="17" t="s">
        <v>61</v>
      </c>
      <c r="F237" s="18"/>
      <c r="G237" s="23" t="s">
        <v>95</v>
      </c>
      <c r="H237" s="23" t="s">
        <v>782</v>
      </c>
      <c r="I237" s="18"/>
      <c r="J237" t="s">
        <v>978</v>
      </c>
      <c r="K237" s="36" t="s">
        <v>1447</v>
      </c>
      <c r="L237" s="36" t="s">
        <v>1448</v>
      </c>
    </row>
    <row r="238" spans="1:12" ht="140">
      <c r="A238" s="16" t="s">
        <v>1449</v>
      </c>
      <c r="B238" s="16" t="s">
        <v>85</v>
      </c>
      <c r="C238" s="16"/>
      <c r="D238" s="17" t="s">
        <v>1006</v>
      </c>
      <c r="E238" s="17" t="s">
        <v>61</v>
      </c>
      <c r="F238" s="18"/>
      <c r="G238" s="23" t="s">
        <v>95</v>
      </c>
      <c r="H238" s="23" t="s">
        <v>782</v>
      </c>
      <c r="I238" s="18"/>
      <c r="J238" t="s">
        <v>978</v>
      </c>
      <c r="K238" s="36" t="s">
        <v>1450</v>
      </c>
      <c r="L238" s="36" t="s">
        <v>1451</v>
      </c>
    </row>
    <row r="239" spans="1:12" ht="140">
      <c r="A239" s="16" t="s">
        <v>1452</v>
      </c>
      <c r="B239" s="16" t="s">
        <v>1453</v>
      </c>
      <c r="C239" s="16"/>
      <c r="D239" s="17" t="s">
        <v>1006</v>
      </c>
      <c r="E239" s="17" t="s">
        <v>61</v>
      </c>
      <c r="F239" s="18"/>
      <c r="G239" s="23" t="s">
        <v>95</v>
      </c>
      <c r="H239" s="23" t="s">
        <v>782</v>
      </c>
      <c r="I239" s="18"/>
      <c r="J239" t="s">
        <v>978</v>
      </c>
      <c r="K239" s="36" t="s">
        <v>1454</v>
      </c>
      <c r="L239" s="36" t="s">
        <v>1455</v>
      </c>
    </row>
    <row r="240" spans="1:12" ht="126">
      <c r="A240" s="16" t="s">
        <v>409</v>
      </c>
      <c r="B240" s="16" t="s">
        <v>1456</v>
      </c>
      <c r="C240" s="16"/>
      <c r="D240" s="17" t="s">
        <v>1011</v>
      </c>
      <c r="E240" s="17" t="s">
        <v>61</v>
      </c>
      <c r="F240" s="18"/>
      <c r="G240" s="23" t="s">
        <v>95</v>
      </c>
      <c r="H240" s="23" t="s">
        <v>104</v>
      </c>
      <c r="I240" s="18"/>
      <c r="J240" s="39" t="s">
        <v>978</v>
      </c>
      <c r="K240" s="40" t="s">
        <v>1457</v>
      </c>
      <c r="L240" s="40" t="s">
        <v>1458</v>
      </c>
    </row>
    <row r="241" spans="1:12" ht="126">
      <c r="A241" s="16" t="s">
        <v>415</v>
      </c>
      <c r="B241" s="16" t="s">
        <v>1459</v>
      </c>
      <c r="C241" s="16"/>
      <c r="D241" s="17" t="s">
        <v>1011</v>
      </c>
      <c r="E241" s="17" t="s">
        <v>61</v>
      </c>
      <c r="F241" s="18"/>
      <c r="G241" s="23" t="s">
        <v>95</v>
      </c>
      <c r="H241" s="23" t="s">
        <v>104</v>
      </c>
      <c r="I241" s="18"/>
      <c r="J241" s="39" t="s">
        <v>978</v>
      </c>
      <c r="K241" s="40" t="s">
        <v>1460</v>
      </c>
      <c r="L241" s="40" t="s">
        <v>1461</v>
      </c>
    </row>
    <row r="242" spans="1:12" ht="17" hidden="1">
      <c r="A242" s="3" t="s">
        <v>424</v>
      </c>
      <c r="B242" s="3" t="s">
        <v>425</v>
      </c>
      <c r="C242" s="3"/>
      <c r="F242"/>
      <c r="G242" t="s">
        <v>95</v>
      </c>
      <c r="H242"/>
      <c r="J242"/>
      <c r="K242"/>
      <c r="L242"/>
    </row>
    <row r="243" spans="1:12" ht="17" hidden="1">
      <c r="A243" s="3" t="s">
        <v>1462</v>
      </c>
      <c r="B243" s="3" t="s">
        <v>1463</v>
      </c>
      <c r="C243" s="3"/>
      <c r="F243"/>
      <c r="G243" t="s">
        <v>95</v>
      </c>
      <c r="H243"/>
      <c r="J243"/>
      <c r="K243"/>
      <c r="L243"/>
    </row>
    <row r="244" spans="1:12" ht="17" hidden="1">
      <c r="A244" s="3" t="s">
        <v>1464</v>
      </c>
      <c r="B244" s="3" t="s">
        <v>1465</v>
      </c>
      <c r="C244" s="3"/>
      <c r="F244"/>
      <c r="G244" t="s">
        <v>95</v>
      </c>
      <c r="H244"/>
      <c r="J244"/>
      <c r="K244"/>
      <c r="L244"/>
    </row>
    <row r="245" spans="1:12" ht="17" hidden="1">
      <c r="A245" s="3" t="s">
        <v>432</v>
      </c>
      <c r="B245" s="3" t="s">
        <v>433</v>
      </c>
      <c r="C245" s="3"/>
      <c r="F245"/>
      <c r="G245" t="s">
        <v>95</v>
      </c>
      <c r="H245"/>
      <c r="J245"/>
      <c r="K245"/>
      <c r="L245"/>
    </row>
    <row r="246" spans="1:12" ht="17" hidden="1">
      <c r="A246" s="3" t="s">
        <v>1466</v>
      </c>
      <c r="B246" s="3" t="s">
        <v>271</v>
      </c>
      <c r="C246" s="3"/>
      <c r="F246"/>
      <c r="G246" t="s">
        <v>95</v>
      </c>
      <c r="H246"/>
      <c r="J246"/>
      <c r="K246"/>
      <c r="L246"/>
    </row>
    <row r="247" spans="1:12" ht="16">
      <c r="A247" s="43" t="s">
        <v>439</v>
      </c>
      <c r="B247" s="43" t="s">
        <v>440</v>
      </c>
      <c r="C247" s="43"/>
      <c r="D247" s="17" t="s">
        <v>986</v>
      </c>
      <c r="E247" s="17"/>
      <c r="F247" s="29"/>
      <c r="G247" s="31" t="s">
        <v>95</v>
      </c>
      <c r="H247" s="23" t="s">
        <v>172</v>
      </c>
      <c r="I247" s="27" t="s">
        <v>977</v>
      </c>
      <c r="J247" s="39" t="s">
        <v>978</v>
      </c>
      <c r="K247" s="39" t="s">
        <v>1467</v>
      </c>
      <c r="L247" s="40" t="s">
        <v>1468</v>
      </c>
    </row>
    <row r="248" spans="1:12" ht="17" hidden="1">
      <c r="A248" s="3" t="s">
        <v>1469</v>
      </c>
      <c r="B248" s="3" t="s">
        <v>1470</v>
      </c>
      <c r="C248" s="3"/>
      <c r="F248"/>
      <c r="G248" t="s">
        <v>95</v>
      </c>
      <c r="H248"/>
      <c r="J248"/>
      <c r="K248"/>
      <c r="L248"/>
    </row>
    <row r="249" spans="1:12" ht="17" hidden="1">
      <c r="A249" s="3" t="s">
        <v>447</v>
      </c>
      <c r="B249" s="3" t="s">
        <v>1471</v>
      </c>
      <c r="C249" s="3"/>
      <c r="F249"/>
      <c r="G249" t="s">
        <v>95</v>
      </c>
      <c r="H249"/>
      <c r="J249"/>
      <c r="K249"/>
      <c r="L249"/>
    </row>
    <row r="250" spans="1:12" ht="17" hidden="1">
      <c r="A250" s="3" t="s">
        <v>1472</v>
      </c>
      <c r="B250" s="3" t="s">
        <v>1473</v>
      </c>
      <c r="C250" s="3"/>
      <c r="F250"/>
      <c r="G250" t="s">
        <v>95</v>
      </c>
      <c r="H250"/>
      <c r="J250"/>
      <c r="K250"/>
      <c r="L250"/>
    </row>
    <row r="251" spans="1:12" ht="17" hidden="1">
      <c r="A251" s="3" t="s">
        <v>1474</v>
      </c>
      <c r="B251" s="3" t="s">
        <v>1475</v>
      </c>
      <c r="C251" s="3"/>
      <c r="F251"/>
      <c r="G251" t="s">
        <v>95</v>
      </c>
      <c r="H251"/>
      <c r="J251"/>
      <c r="K251"/>
      <c r="L251"/>
    </row>
    <row r="252" spans="1:12" ht="17" hidden="1">
      <c r="A252" s="3" t="s">
        <v>1476</v>
      </c>
      <c r="B252" s="3" t="s">
        <v>1477</v>
      </c>
      <c r="C252" s="3"/>
      <c r="F252"/>
      <c r="G252" t="s">
        <v>95</v>
      </c>
      <c r="H252"/>
      <c r="J252"/>
      <c r="K252"/>
      <c r="L252"/>
    </row>
    <row r="253" spans="1:12" ht="17" hidden="1">
      <c r="A253" s="3" t="s">
        <v>1478</v>
      </c>
      <c r="B253" s="3" t="s">
        <v>296</v>
      </c>
      <c r="C253" s="3"/>
      <c r="F253"/>
      <c r="G253" t="s">
        <v>95</v>
      </c>
      <c r="H253"/>
      <c r="J253"/>
      <c r="K253"/>
      <c r="L253"/>
    </row>
    <row r="254" spans="1:12" ht="17" hidden="1">
      <c r="A254" s="1" t="s">
        <v>1479</v>
      </c>
      <c r="B254" s="1" t="s">
        <v>296</v>
      </c>
      <c r="C254" s="1"/>
      <c r="F254"/>
      <c r="G254" t="s">
        <v>95</v>
      </c>
      <c r="H254"/>
      <c r="J254"/>
      <c r="K254"/>
      <c r="L254"/>
    </row>
    <row r="255" spans="1:12" ht="16">
      <c r="A255" s="43" t="s">
        <v>1480</v>
      </c>
      <c r="B255" s="43" t="s">
        <v>943</v>
      </c>
      <c r="C255" s="43"/>
      <c r="D255" s="17" t="s">
        <v>986</v>
      </c>
      <c r="E255" s="17"/>
      <c r="F255" s="29"/>
      <c r="G255" s="31" t="s">
        <v>95</v>
      </c>
      <c r="H255" s="23" t="s">
        <v>172</v>
      </c>
      <c r="I255" s="27" t="s">
        <v>977</v>
      </c>
      <c r="J255" s="39" t="s">
        <v>978</v>
      </c>
      <c r="K255" s="39" t="s">
        <v>1467</v>
      </c>
      <c r="L255" s="40" t="s">
        <v>1481</v>
      </c>
    </row>
    <row r="256" spans="1:12" ht="17" hidden="1">
      <c r="A256" s="3" t="s">
        <v>454</v>
      </c>
      <c r="B256" s="3" t="s">
        <v>1482</v>
      </c>
      <c r="C256" s="3"/>
      <c r="F256"/>
      <c r="G256" t="s">
        <v>95</v>
      </c>
      <c r="H256"/>
      <c r="J256"/>
      <c r="K256"/>
      <c r="L256"/>
    </row>
    <row r="257" spans="1:12" ht="17" hidden="1">
      <c r="A257" s="1" t="s">
        <v>1483</v>
      </c>
      <c r="B257" s="1" t="s">
        <v>1484</v>
      </c>
      <c r="C257" s="1"/>
      <c r="F257"/>
      <c r="G257" t="s">
        <v>95</v>
      </c>
      <c r="H257"/>
      <c r="J257"/>
      <c r="K257"/>
      <c r="L257"/>
    </row>
    <row r="258" spans="1:12" ht="16">
      <c r="A258" s="45" t="s">
        <v>1485</v>
      </c>
      <c r="B258" s="45" t="s">
        <v>1254</v>
      </c>
      <c r="C258" s="45"/>
      <c r="D258" s="46" t="s">
        <v>1022</v>
      </c>
      <c r="E258" s="46"/>
      <c r="F258" s="47" t="s">
        <v>1486</v>
      </c>
      <c r="G258" s="26" t="s">
        <v>95</v>
      </c>
      <c r="H258" s="23" t="s">
        <v>172</v>
      </c>
      <c r="I258" s="47" t="s">
        <v>1180</v>
      </c>
      <c r="J258" s="39" t="s">
        <v>978</v>
      </c>
      <c r="K258" s="39" t="s">
        <v>1487</v>
      </c>
      <c r="L258" s="40" t="s">
        <v>1488</v>
      </c>
    </row>
    <row r="259" spans="1:12" ht="17" hidden="1">
      <c r="A259" s="3" t="s">
        <v>460</v>
      </c>
      <c r="B259" s="3" t="s">
        <v>461</v>
      </c>
      <c r="C259" s="3"/>
      <c r="F259"/>
      <c r="G259" t="s">
        <v>95</v>
      </c>
      <c r="H259"/>
      <c r="J259"/>
      <c r="K259"/>
      <c r="L259"/>
    </row>
    <row r="260" spans="1:12" ht="17" hidden="1">
      <c r="A260" s="3" t="s">
        <v>1489</v>
      </c>
      <c r="B260" s="3" t="s">
        <v>1490</v>
      </c>
      <c r="C260" s="3"/>
      <c r="F260"/>
      <c r="G260" t="s">
        <v>95</v>
      </c>
      <c r="H260"/>
      <c r="J260"/>
      <c r="K260"/>
      <c r="L260"/>
    </row>
    <row r="261" spans="1:12" ht="17" hidden="1">
      <c r="A261" s="3" t="s">
        <v>1491</v>
      </c>
      <c r="B261" s="3" t="s">
        <v>1492</v>
      </c>
      <c r="C261" s="3"/>
      <c r="F261"/>
      <c r="G261" t="s">
        <v>95</v>
      </c>
      <c r="H261"/>
      <c r="J261"/>
      <c r="K261"/>
      <c r="L261"/>
    </row>
    <row r="262" spans="1:12" ht="17" hidden="1">
      <c r="A262" s="3" t="s">
        <v>1493</v>
      </c>
      <c r="B262" s="3" t="s">
        <v>1386</v>
      </c>
      <c r="C262" s="3"/>
      <c r="F262"/>
      <c r="G262" t="s">
        <v>95</v>
      </c>
      <c r="H262"/>
      <c r="J262"/>
      <c r="K262"/>
      <c r="L262"/>
    </row>
    <row r="263" spans="1:12" ht="17" hidden="1">
      <c r="A263" s="16" t="s">
        <v>469</v>
      </c>
      <c r="B263" s="16" t="s">
        <v>296</v>
      </c>
      <c r="C263" s="16"/>
      <c r="D263" s="17"/>
      <c r="E263" s="17"/>
      <c r="F263" s="20" t="s">
        <v>1135</v>
      </c>
      <c r="G263" s="23" t="s">
        <v>61</v>
      </c>
      <c r="H263" s="21"/>
      <c r="I263" s="18"/>
      <c r="J263"/>
      <c r="K263" s="10"/>
      <c r="L263" s="10"/>
    </row>
    <row r="264" spans="1:12" ht="17" hidden="1">
      <c r="A264" s="16" t="s">
        <v>1494</v>
      </c>
      <c r="B264" s="16" t="s">
        <v>1495</v>
      </c>
      <c r="C264" s="16"/>
      <c r="D264" s="17"/>
      <c r="E264" s="17"/>
      <c r="F264" s="20" t="s">
        <v>1135</v>
      </c>
      <c r="G264" s="23" t="s">
        <v>61</v>
      </c>
      <c r="H264" s="21"/>
      <c r="I264" s="18"/>
      <c r="J264"/>
      <c r="K264" s="10"/>
      <c r="L264" s="10"/>
    </row>
    <row r="265" spans="1:12" ht="16">
      <c r="A265" s="43" t="s">
        <v>1496</v>
      </c>
      <c r="B265" s="43" t="s">
        <v>1497</v>
      </c>
      <c r="C265" s="43"/>
      <c r="D265" s="17" t="s">
        <v>1011</v>
      </c>
      <c r="E265" s="17" t="s">
        <v>61</v>
      </c>
      <c r="F265" s="18"/>
      <c r="G265" s="25" t="s">
        <v>95</v>
      </c>
      <c r="H265" s="23" t="s">
        <v>172</v>
      </c>
      <c r="I265" s="27" t="s">
        <v>977</v>
      </c>
      <c r="J265" s="39" t="s">
        <v>978</v>
      </c>
      <c r="K265" s="39" t="s">
        <v>1498</v>
      </c>
      <c r="L265" s="40" t="s">
        <v>1499</v>
      </c>
    </row>
    <row r="266" spans="1:12" ht="17" hidden="1">
      <c r="A266" s="3" t="s">
        <v>478</v>
      </c>
      <c r="B266" s="3" t="s">
        <v>344</v>
      </c>
      <c r="C266" s="3"/>
      <c r="F266"/>
      <c r="G266" t="s">
        <v>95</v>
      </c>
      <c r="H266"/>
      <c r="J266"/>
      <c r="K266"/>
      <c r="L266"/>
    </row>
    <row r="267" spans="1:12" ht="17" hidden="1">
      <c r="A267" s="3" t="s">
        <v>1500</v>
      </c>
      <c r="B267" s="3" t="s">
        <v>1261</v>
      </c>
      <c r="C267" s="3"/>
      <c r="F267"/>
      <c r="G267" t="s">
        <v>95</v>
      </c>
      <c r="H267"/>
      <c r="J267"/>
      <c r="K267"/>
      <c r="L267"/>
    </row>
    <row r="268" spans="1:12" ht="16">
      <c r="A268" s="45" t="s">
        <v>1501</v>
      </c>
      <c r="B268" s="45" t="s">
        <v>1502</v>
      </c>
      <c r="C268" s="45"/>
      <c r="D268" s="46" t="s">
        <v>1303</v>
      </c>
      <c r="E268" s="46"/>
      <c r="F268" s="48" t="s">
        <v>1503</v>
      </c>
      <c r="G268" s="30" t="s">
        <v>95</v>
      </c>
      <c r="H268" s="23" t="s">
        <v>172</v>
      </c>
      <c r="I268" s="47" t="s">
        <v>1180</v>
      </c>
      <c r="J268" s="39" t="s">
        <v>978</v>
      </c>
      <c r="K268" s="39" t="s">
        <v>1504</v>
      </c>
      <c r="L268" s="40" t="s">
        <v>1505</v>
      </c>
    </row>
    <row r="269" spans="1:12" ht="16">
      <c r="A269" s="45" t="s">
        <v>1506</v>
      </c>
      <c r="B269" s="45" t="s">
        <v>1507</v>
      </c>
      <c r="C269" s="45"/>
      <c r="D269" s="46" t="s">
        <v>1303</v>
      </c>
      <c r="E269" s="46"/>
      <c r="F269" s="48" t="s">
        <v>1503</v>
      </c>
      <c r="G269" s="30" t="s">
        <v>95</v>
      </c>
      <c r="H269" s="23" t="s">
        <v>172</v>
      </c>
      <c r="I269" s="47" t="s">
        <v>1180</v>
      </c>
      <c r="J269" s="39" t="s">
        <v>978</v>
      </c>
      <c r="K269" s="39" t="s">
        <v>1504</v>
      </c>
      <c r="L269" s="40" t="s">
        <v>1505</v>
      </c>
    </row>
    <row r="270" spans="1:12" ht="17" hidden="1">
      <c r="A270" s="16" t="s">
        <v>1508</v>
      </c>
      <c r="B270" s="16" t="s">
        <v>1509</v>
      </c>
      <c r="C270" s="16"/>
      <c r="D270" s="17" t="s">
        <v>986</v>
      </c>
      <c r="E270" s="17"/>
      <c r="F270" s="18" t="s">
        <v>123</v>
      </c>
      <c r="G270" s="25" t="s">
        <v>95</v>
      </c>
      <c r="H270" s="23" t="s">
        <v>123</v>
      </c>
      <c r="I270" s="18"/>
      <c r="J270"/>
      <c r="K270" s="36"/>
      <c r="L270" s="10"/>
    </row>
    <row r="271" spans="1:12" ht="17" hidden="1">
      <c r="A271" s="16" t="s">
        <v>489</v>
      </c>
      <c r="B271" s="16" t="s">
        <v>490</v>
      </c>
      <c r="C271" s="16"/>
      <c r="D271" s="17"/>
      <c r="E271" s="17"/>
      <c r="F271" s="20" t="s">
        <v>1510</v>
      </c>
      <c r="G271" s="23" t="s">
        <v>61</v>
      </c>
      <c r="H271" s="21"/>
      <c r="I271" s="27" t="s">
        <v>977</v>
      </c>
      <c r="J271"/>
      <c r="K271" s="10"/>
      <c r="L271" s="10"/>
    </row>
    <row r="272" spans="1:12" ht="17" hidden="1">
      <c r="A272" s="16" t="s">
        <v>1511</v>
      </c>
      <c r="B272" s="16" t="s">
        <v>1512</v>
      </c>
      <c r="C272" s="16"/>
      <c r="D272" s="17"/>
      <c r="E272" s="17"/>
      <c r="F272" s="20" t="s">
        <v>1510</v>
      </c>
      <c r="G272" s="23" t="s">
        <v>61</v>
      </c>
      <c r="H272" s="21"/>
      <c r="I272" s="27" t="s">
        <v>977</v>
      </c>
      <c r="J272"/>
      <c r="K272" s="10"/>
      <c r="L272" s="10"/>
    </row>
    <row r="273" spans="1:12" ht="17" hidden="1">
      <c r="A273" s="3" t="s">
        <v>1513</v>
      </c>
      <c r="B273" s="3" t="s">
        <v>1514</v>
      </c>
      <c r="C273" s="3"/>
      <c r="F273"/>
      <c r="G273" t="s">
        <v>95</v>
      </c>
      <c r="H273"/>
      <c r="J273"/>
      <c r="K273"/>
      <c r="L273"/>
    </row>
    <row r="274" spans="1:12" ht="85">
      <c r="A274" s="6" t="s">
        <v>1515</v>
      </c>
      <c r="B274" s="6" t="s">
        <v>1516</v>
      </c>
      <c r="C274" s="6"/>
      <c r="D274" s="8"/>
      <c r="E274" s="8" t="s">
        <v>61</v>
      </c>
      <c r="F274"/>
      <c r="G274" t="s">
        <v>95</v>
      </c>
      <c r="H274"/>
      <c r="J274" t="s">
        <v>1517</v>
      </c>
      <c r="K274" s="10" t="s">
        <v>1518</v>
      </c>
      <c r="L274" s="10" t="s">
        <v>1519</v>
      </c>
    </row>
    <row r="275" spans="1:12" ht="398">
      <c r="A275" s="16" t="s">
        <v>1520</v>
      </c>
      <c r="B275" s="16" t="s">
        <v>1521</v>
      </c>
      <c r="C275" s="16"/>
      <c r="D275" s="17" t="s">
        <v>1522</v>
      </c>
      <c r="E275" s="17" t="s">
        <v>61</v>
      </c>
      <c r="F275" s="18" t="s">
        <v>1523</v>
      </c>
      <c r="G275" s="23" t="s">
        <v>61</v>
      </c>
      <c r="H275" s="23" t="s">
        <v>123</v>
      </c>
      <c r="I275" s="27" t="s">
        <v>977</v>
      </c>
      <c r="J275" t="s">
        <v>1517</v>
      </c>
      <c r="K275" s="10"/>
      <c r="L275" s="10" t="s">
        <v>1524</v>
      </c>
    </row>
    <row r="276" spans="1:12" ht="17">
      <c r="A276" s="16" t="s">
        <v>496</v>
      </c>
      <c r="B276" s="16" t="s">
        <v>497</v>
      </c>
      <c r="C276" s="16" t="s">
        <v>1525</v>
      </c>
      <c r="D276" s="17" t="s">
        <v>1522</v>
      </c>
      <c r="E276" s="17" t="s">
        <v>61</v>
      </c>
      <c r="F276" s="18" t="s">
        <v>1523</v>
      </c>
      <c r="G276" s="23" t="s">
        <v>61</v>
      </c>
      <c r="H276" s="23" t="s">
        <v>123</v>
      </c>
      <c r="I276" s="27" t="s">
        <v>977</v>
      </c>
      <c r="J276" t="s">
        <v>1517</v>
      </c>
      <c r="K276" s="10"/>
      <c r="L276" s="10"/>
    </row>
    <row r="277" spans="1:12" ht="17">
      <c r="A277" s="16" t="s">
        <v>1526</v>
      </c>
      <c r="B277" s="16" t="s">
        <v>1527</v>
      </c>
      <c r="C277" s="16" t="s">
        <v>1528</v>
      </c>
      <c r="D277" s="17" t="s">
        <v>1522</v>
      </c>
      <c r="E277" s="17" t="s">
        <v>61</v>
      </c>
      <c r="F277" s="18" t="s">
        <v>1523</v>
      </c>
      <c r="G277" s="23" t="s">
        <v>61</v>
      </c>
      <c r="H277" s="23" t="s">
        <v>123</v>
      </c>
      <c r="I277" s="27" t="s">
        <v>977</v>
      </c>
      <c r="J277" t="s">
        <v>1517</v>
      </c>
      <c r="K277" s="10"/>
      <c r="L277" s="10"/>
    </row>
    <row r="278" spans="1:12" ht="16">
      <c r="A278" s="43" t="s">
        <v>504</v>
      </c>
      <c r="B278" s="43" t="s">
        <v>1529</v>
      </c>
      <c r="C278" s="43"/>
      <c r="D278" s="17" t="s">
        <v>1011</v>
      </c>
      <c r="E278" s="17"/>
      <c r="F278" s="29"/>
      <c r="G278" s="25" t="s">
        <v>95</v>
      </c>
      <c r="H278" s="23" t="s">
        <v>172</v>
      </c>
      <c r="I278" s="27" t="s">
        <v>977</v>
      </c>
      <c r="J278" s="39" t="s">
        <v>978</v>
      </c>
      <c r="K278" s="39" t="s">
        <v>1498</v>
      </c>
      <c r="L278" s="40" t="s">
        <v>1530</v>
      </c>
    </row>
    <row r="279" spans="1:12" ht="17" hidden="1">
      <c r="A279" s="3" t="s">
        <v>1531</v>
      </c>
      <c r="B279" s="3" t="s">
        <v>1532</v>
      </c>
      <c r="C279" s="3"/>
      <c r="F279"/>
      <c r="G279" t="s">
        <v>95</v>
      </c>
      <c r="H279"/>
      <c r="J279"/>
      <c r="K279"/>
      <c r="L279"/>
    </row>
    <row r="280" spans="1:12" ht="17" hidden="1">
      <c r="A280" s="1" t="s">
        <v>1533</v>
      </c>
      <c r="B280" s="1" t="s">
        <v>1386</v>
      </c>
      <c r="C280" s="1"/>
      <c r="F280"/>
      <c r="G280" t="s">
        <v>95</v>
      </c>
      <c r="H280"/>
      <c r="J280"/>
      <c r="K280"/>
      <c r="L280"/>
    </row>
    <row r="281" spans="1:12" ht="17" hidden="1">
      <c r="A281" s="16" t="s">
        <v>1534</v>
      </c>
      <c r="B281" s="16" t="s">
        <v>344</v>
      </c>
      <c r="C281" s="16"/>
      <c r="D281" s="17"/>
      <c r="E281" s="17"/>
      <c r="F281" s="20" t="s">
        <v>1040</v>
      </c>
      <c r="G281" s="23" t="s">
        <v>61</v>
      </c>
      <c r="H281" s="21"/>
      <c r="I281" s="27" t="s">
        <v>977</v>
      </c>
      <c r="J281"/>
      <c r="K281" s="10"/>
      <c r="L281" s="10"/>
    </row>
    <row r="282" spans="1:12" ht="16">
      <c r="A282" s="43" t="s">
        <v>510</v>
      </c>
      <c r="B282" s="43" t="s">
        <v>511</v>
      </c>
      <c r="C282" s="43"/>
      <c r="D282" s="17" t="s">
        <v>986</v>
      </c>
      <c r="E282" s="17"/>
      <c r="F282" s="32" t="s">
        <v>1535</v>
      </c>
      <c r="G282" s="23" t="s">
        <v>61</v>
      </c>
      <c r="H282" s="23" t="s">
        <v>55</v>
      </c>
      <c r="I282" s="27" t="s">
        <v>977</v>
      </c>
      <c r="J282" s="39" t="s">
        <v>978</v>
      </c>
      <c r="K282" s="39" t="s">
        <v>1536</v>
      </c>
      <c r="L282" s="40" t="s">
        <v>1537</v>
      </c>
    </row>
    <row r="283" spans="1:12" ht="34" hidden="1">
      <c r="A283" s="16" t="s">
        <v>518</v>
      </c>
      <c r="B283" s="16" t="s">
        <v>1538</v>
      </c>
      <c r="C283" s="16"/>
      <c r="D283" s="17" t="s">
        <v>986</v>
      </c>
      <c r="E283" s="17"/>
      <c r="F283" s="32" t="s">
        <v>1040</v>
      </c>
      <c r="G283" s="18" t="s">
        <v>61</v>
      </c>
      <c r="H283" s="23" t="s">
        <v>55</v>
      </c>
      <c r="I283" s="27" t="s">
        <v>977</v>
      </c>
      <c r="J283"/>
      <c r="K283" s="10"/>
      <c r="L283" s="10"/>
    </row>
    <row r="284" spans="1:12" ht="16">
      <c r="A284" s="49" t="s">
        <v>1539</v>
      </c>
      <c r="B284" s="49" t="s">
        <v>1540</v>
      </c>
      <c r="C284" s="49"/>
      <c r="D284" s="8" t="s">
        <v>1541</v>
      </c>
      <c r="E284" s="8" t="s">
        <v>61</v>
      </c>
      <c r="F284"/>
      <c r="G284" t="s">
        <v>95</v>
      </c>
      <c r="H284" s="23"/>
      <c r="I284" s="27" t="s">
        <v>977</v>
      </c>
      <c r="J284" s="39" t="s">
        <v>107</v>
      </c>
      <c r="K284" s="39" t="s">
        <v>107</v>
      </c>
      <c r="L284" s="40"/>
    </row>
    <row r="285" spans="1:12" ht="17" hidden="1">
      <c r="A285" s="3" t="s">
        <v>1542</v>
      </c>
      <c r="B285" s="3" t="s">
        <v>1543</v>
      </c>
      <c r="C285" s="3"/>
      <c r="F285"/>
      <c r="G285" t="s">
        <v>95</v>
      </c>
      <c r="H285"/>
      <c r="J285"/>
      <c r="K285"/>
      <c r="L285"/>
    </row>
    <row r="286" spans="1:12" ht="17" hidden="1">
      <c r="A286" s="1" t="s">
        <v>1544</v>
      </c>
      <c r="B286" s="1" t="s">
        <v>1545</v>
      </c>
      <c r="C286" s="1"/>
      <c r="F286"/>
      <c r="G286" t="s">
        <v>95</v>
      </c>
      <c r="H286"/>
      <c r="J286"/>
      <c r="K286"/>
      <c r="L286"/>
    </row>
    <row r="287" spans="1:12" ht="17" hidden="1">
      <c r="A287" s="1" t="s">
        <v>1546</v>
      </c>
      <c r="B287" s="1" t="s">
        <v>264</v>
      </c>
      <c r="C287" s="1"/>
      <c r="F287"/>
      <c r="G287" t="s">
        <v>95</v>
      </c>
      <c r="H287"/>
      <c r="J287"/>
      <c r="K287"/>
      <c r="L287"/>
    </row>
    <row r="288" spans="1:12" ht="17" hidden="1">
      <c r="A288" s="1" t="s">
        <v>1547</v>
      </c>
      <c r="B288" s="1" t="s">
        <v>1548</v>
      </c>
      <c r="C288" s="1"/>
      <c r="F288"/>
      <c r="G288" t="s">
        <v>95</v>
      </c>
      <c r="H288"/>
      <c r="J288"/>
      <c r="K288"/>
      <c r="L288"/>
    </row>
    <row r="289" spans="1:12" ht="17" hidden="1">
      <c r="A289" s="16" t="s">
        <v>1549</v>
      </c>
      <c r="B289" s="16" t="s">
        <v>567</v>
      </c>
      <c r="C289" s="16"/>
      <c r="D289" s="17"/>
      <c r="E289" s="17"/>
      <c r="F289" s="20" t="s">
        <v>1040</v>
      </c>
      <c r="G289" s="23" t="s">
        <v>61</v>
      </c>
      <c r="H289" s="21"/>
      <c r="I289" s="18"/>
      <c r="J289"/>
      <c r="K289" s="10"/>
      <c r="L289" s="10"/>
    </row>
    <row r="290" spans="1:12" ht="17" hidden="1">
      <c r="A290" s="3" t="s">
        <v>1550</v>
      </c>
      <c r="B290" s="3" t="s">
        <v>1551</v>
      </c>
      <c r="C290" s="3"/>
      <c r="F290"/>
      <c r="G290" t="s">
        <v>95</v>
      </c>
      <c r="H290"/>
      <c r="J290"/>
      <c r="K290"/>
      <c r="L290"/>
    </row>
    <row r="291" spans="1:12" ht="17" hidden="1">
      <c r="A291" s="3" t="s">
        <v>1552</v>
      </c>
      <c r="B291" s="3" t="s">
        <v>1553</v>
      </c>
      <c r="C291" s="3"/>
      <c r="F291"/>
      <c r="G291" t="s">
        <v>95</v>
      </c>
      <c r="H291"/>
      <c r="J291"/>
      <c r="K291"/>
      <c r="L291"/>
    </row>
    <row r="292" spans="1:12" ht="17" hidden="1">
      <c r="A292" s="16" t="s">
        <v>1554</v>
      </c>
      <c r="B292" s="16" t="s">
        <v>1555</v>
      </c>
      <c r="C292" s="16"/>
      <c r="D292" s="17"/>
      <c r="E292" s="17"/>
      <c r="F292" s="20" t="s">
        <v>1040</v>
      </c>
      <c r="G292" s="23" t="s">
        <v>61</v>
      </c>
      <c r="H292" s="21"/>
      <c r="I292" s="27" t="s">
        <v>977</v>
      </c>
      <c r="J292"/>
      <c r="K292" s="10"/>
      <c r="L292" s="10"/>
    </row>
    <row r="293" spans="1:12" ht="17" hidden="1">
      <c r="A293" s="1" t="s">
        <v>1556</v>
      </c>
      <c r="B293" s="1" t="s">
        <v>1054</v>
      </c>
      <c r="C293" s="1"/>
      <c r="F293"/>
      <c r="G293" t="s">
        <v>95</v>
      </c>
      <c r="H293"/>
      <c r="J293"/>
      <c r="K293"/>
      <c r="L293"/>
    </row>
    <row r="294" spans="1:12" ht="17" hidden="1">
      <c r="A294" s="3" t="s">
        <v>1557</v>
      </c>
      <c r="B294" s="3" t="s">
        <v>305</v>
      </c>
      <c r="C294" s="3"/>
      <c r="F294"/>
      <c r="G294" t="s">
        <v>95</v>
      </c>
      <c r="H294"/>
      <c r="J294"/>
      <c r="K294"/>
      <c r="L294"/>
    </row>
    <row r="295" spans="1:12" ht="17" hidden="1">
      <c r="A295" s="3" t="s">
        <v>1558</v>
      </c>
      <c r="B295" s="3" t="s">
        <v>1559</v>
      </c>
      <c r="C295" s="3"/>
      <c r="F295"/>
      <c r="G295" t="s">
        <v>95</v>
      </c>
      <c r="H295"/>
      <c r="J295"/>
      <c r="K295"/>
      <c r="L295"/>
    </row>
    <row r="296" spans="1:12" ht="34" hidden="1">
      <c r="A296" s="3" t="s">
        <v>1560</v>
      </c>
      <c r="B296" s="3" t="s">
        <v>1561</v>
      </c>
      <c r="C296" s="3"/>
      <c r="F296"/>
      <c r="G296" t="s">
        <v>95</v>
      </c>
      <c r="H296"/>
      <c r="J296"/>
      <c r="K296"/>
      <c r="L296"/>
    </row>
    <row r="297" spans="1:12" ht="17" hidden="1">
      <c r="A297" s="16" t="s">
        <v>1562</v>
      </c>
      <c r="B297" s="16" t="s">
        <v>85</v>
      </c>
      <c r="C297" s="16"/>
      <c r="D297" s="17"/>
      <c r="E297" s="17"/>
      <c r="F297" s="20" t="s">
        <v>1040</v>
      </c>
      <c r="G297" s="23" t="s">
        <v>61</v>
      </c>
      <c r="H297" s="21"/>
      <c r="I297" s="27" t="s">
        <v>977</v>
      </c>
      <c r="J297"/>
      <c r="K297" s="10"/>
      <c r="L297" s="10"/>
    </row>
    <row r="298" spans="1:12" ht="17" hidden="1">
      <c r="A298" s="1" t="s">
        <v>1563</v>
      </c>
      <c r="B298" s="1" t="s">
        <v>1564</v>
      </c>
      <c r="C298" s="1"/>
      <c r="F298"/>
      <c r="G298" t="s">
        <v>95</v>
      </c>
      <c r="H298"/>
      <c r="J298"/>
      <c r="K298"/>
      <c r="L298"/>
    </row>
    <row r="299" spans="1:12" ht="17" hidden="1">
      <c r="A299" s="3" t="s">
        <v>1565</v>
      </c>
      <c r="B299" s="3" t="s">
        <v>1566</v>
      </c>
      <c r="C299" s="3"/>
      <c r="F299"/>
      <c r="G299" t="s">
        <v>95</v>
      </c>
      <c r="H299"/>
      <c r="J299"/>
      <c r="K299"/>
      <c r="L299"/>
    </row>
    <row r="300" spans="1:12" ht="17" hidden="1">
      <c r="A300" s="3" t="s">
        <v>1567</v>
      </c>
      <c r="B300" s="3" t="s">
        <v>85</v>
      </c>
      <c r="C300" s="3"/>
      <c r="F300"/>
      <c r="G300" t="s">
        <v>95</v>
      </c>
      <c r="H300"/>
      <c r="J300"/>
      <c r="K300"/>
      <c r="L300"/>
    </row>
    <row r="301" spans="1:12" ht="17" hidden="1">
      <c r="A301" s="3" t="s">
        <v>1568</v>
      </c>
      <c r="B301" s="3" t="s">
        <v>1569</v>
      </c>
      <c r="C301" s="3"/>
      <c r="F301"/>
      <c r="G301" t="s">
        <v>95</v>
      </c>
      <c r="H301"/>
      <c r="J301"/>
      <c r="K301"/>
      <c r="L301"/>
    </row>
    <row r="302" spans="1:12" ht="17" hidden="1">
      <c r="A302" s="3" t="s">
        <v>1570</v>
      </c>
      <c r="B302" s="3" t="s">
        <v>85</v>
      </c>
      <c r="C302" s="3"/>
      <c r="F302"/>
      <c r="G302" t="s">
        <v>95</v>
      </c>
      <c r="H302"/>
      <c r="J302"/>
      <c r="K302"/>
      <c r="L302"/>
    </row>
    <row r="303" spans="1:12" ht="17" hidden="1">
      <c r="A303" s="1" t="s">
        <v>1571</v>
      </c>
      <c r="B303" s="1" t="s">
        <v>1572</v>
      </c>
      <c r="C303" s="1"/>
      <c r="F303"/>
      <c r="G303" t="s">
        <v>95</v>
      </c>
      <c r="H303"/>
      <c r="J303"/>
      <c r="K303"/>
      <c r="L303"/>
    </row>
    <row r="304" spans="1:12" ht="17" hidden="1">
      <c r="A304" s="3" t="s">
        <v>1573</v>
      </c>
      <c r="B304" s="3" t="s">
        <v>1254</v>
      </c>
      <c r="C304" s="3"/>
      <c r="F304"/>
      <c r="G304" t="s">
        <v>95</v>
      </c>
      <c r="H304"/>
      <c r="J304"/>
      <c r="K304"/>
      <c r="L304"/>
    </row>
    <row r="305" spans="1:12" ht="17" hidden="1">
      <c r="A305" s="16" t="s">
        <v>1574</v>
      </c>
      <c r="B305" s="16" t="s">
        <v>1056</v>
      </c>
      <c r="C305" s="16"/>
      <c r="D305" s="17"/>
      <c r="E305" s="17"/>
      <c r="F305" s="20" t="s">
        <v>1040</v>
      </c>
      <c r="G305" s="23" t="s">
        <v>61</v>
      </c>
      <c r="H305" s="21"/>
      <c r="I305" s="27" t="s">
        <v>977</v>
      </c>
      <c r="J305"/>
      <c r="K305" s="10"/>
      <c r="L305" s="10"/>
    </row>
    <row r="306" spans="1:12" ht="34" hidden="1">
      <c r="A306" s="1" t="s">
        <v>1575</v>
      </c>
      <c r="B306" s="1" t="s">
        <v>1576</v>
      </c>
      <c r="C306" s="1"/>
      <c r="F306"/>
      <c r="G306" t="s">
        <v>95</v>
      </c>
      <c r="H306"/>
      <c r="J306"/>
      <c r="K306"/>
      <c r="L306"/>
    </row>
    <row r="307" spans="1:12" ht="17" hidden="1">
      <c r="A307" s="3" t="s">
        <v>1577</v>
      </c>
      <c r="B307" s="3" t="s">
        <v>85</v>
      </c>
      <c r="C307" s="3"/>
      <c r="F307"/>
      <c r="G307" t="s">
        <v>95</v>
      </c>
      <c r="H307"/>
      <c r="J307"/>
      <c r="K307"/>
      <c r="L307"/>
    </row>
    <row r="308" spans="1:12" ht="17" hidden="1">
      <c r="A308" s="3" t="s">
        <v>1578</v>
      </c>
      <c r="B308" s="3" t="s">
        <v>675</v>
      </c>
      <c r="C308" s="3"/>
      <c r="F308"/>
      <c r="G308" t="s">
        <v>95</v>
      </c>
      <c r="H308"/>
      <c r="J308"/>
      <c r="K308"/>
      <c r="L308"/>
    </row>
    <row r="309" spans="1:12" ht="17" hidden="1">
      <c r="A309" s="3" t="s">
        <v>1579</v>
      </c>
      <c r="B309" s="3" t="s">
        <v>52</v>
      </c>
      <c r="C309" s="3"/>
      <c r="F309"/>
      <c r="G309" t="s">
        <v>95</v>
      </c>
      <c r="H309"/>
      <c r="J309"/>
      <c r="K309"/>
      <c r="L309"/>
    </row>
    <row r="310" spans="1:12" ht="17" hidden="1">
      <c r="A310" s="1" t="s">
        <v>1580</v>
      </c>
      <c r="B310" s="1" t="s">
        <v>1107</v>
      </c>
      <c r="C310" s="1"/>
      <c r="F310"/>
      <c r="G310" t="s">
        <v>95</v>
      </c>
      <c r="H310"/>
      <c r="J310"/>
      <c r="K310"/>
      <c r="L310"/>
    </row>
    <row r="311" spans="1:12" ht="17" hidden="1">
      <c r="A311" s="3" t="s">
        <v>1581</v>
      </c>
      <c r="B311" s="3" t="s">
        <v>1582</v>
      </c>
      <c r="C311" s="3"/>
      <c r="F311"/>
      <c r="G311" t="s">
        <v>95</v>
      </c>
      <c r="H311"/>
      <c r="J311"/>
      <c r="K311"/>
      <c r="L311"/>
    </row>
    <row r="312" spans="1:12" ht="17" hidden="1">
      <c r="A312" s="3" t="s">
        <v>1583</v>
      </c>
      <c r="B312" s="3" t="s">
        <v>1584</v>
      </c>
      <c r="C312" s="3"/>
      <c r="F312"/>
      <c r="G312" t="s">
        <v>95</v>
      </c>
      <c r="H312"/>
      <c r="J312"/>
      <c r="K312"/>
      <c r="L312"/>
    </row>
    <row r="313" spans="1:12" ht="17" hidden="1">
      <c r="A313" s="16" t="s">
        <v>530</v>
      </c>
      <c r="B313" s="16" t="s">
        <v>296</v>
      </c>
      <c r="C313" s="16"/>
      <c r="D313" s="17"/>
      <c r="E313" s="17"/>
      <c r="F313" s="20" t="s">
        <v>1585</v>
      </c>
      <c r="G313" s="18" t="s">
        <v>61</v>
      </c>
      <c r="H313" s="18" t="s">
        <v>55</v>
      </c>
      <c r="I313" s="27" t="s">
        <v>977</v>
      </c>
      <c r="J313"/>
      <c r="K313" s="10"/>
      <c r="L313" s="10"/>
    </row>
    <row r="314" spans="1:12" ht="17" hidden="1">
      <c r="A314" s="1" t="s">
        <v>1586</v>
      </c>
      <c r="B314" s="1" t="s">
        <v>132</v>
      </c>
      <c r="C314" s="1"/>
      <c r="F314"/>
      <c r="G314" t="s">
        <v>95</v>
      </c>
      <c r="H314"/>
      <c r="J314"/>
      <c r="K314"/>
      <c r="L314"/>
    </row>
    <row r="315" spans="1:12" ht="17" hidden="1">
      <c r="A315" s="16" t="s">
        <v>542</v>
      </c>
      <c r="B315" s="16" t="s">
        <v>543</v>
      </c>
      <c r="C315" s="16"/>
      <c r="D315" s="17"/>
      <c r="E315" s="17"/>
      <c r="F315" s="20" t="s">
        <v>1135</v>
      </c>
      <c r="G315" s="18" t="s">
        <v>61</v>
      </c>
      <c r="H315" s="18" t="s">
        <v>55</v>
      </c>
      <c r="I315" s="27" t="s">
        <v>977</v>
      </c>
      <c r="J315"/>
      <c r="K315" s="10"/>
      <c r="L315" s="10"/>
    </row>
    <row r="316" spans="1:12" ht="17" hidden="1">
      <c r="A316" s="1" t="s">
        <v>1587</v>
      </c>
      <c r="B316" s="1" t="s">
        <v>1588</v>
      </c>
      <c r="C316" s="1"/>
      <c r="F316"/>
      <c r="G316" t="s">
        <v>95</v>
      </c>
      <c r="H316"/>
      <c r="J316"/>
      <c r="K316"/>
      <c r="L316"/>
    </row>
    <row r="317" spans="1:12" ht="17" hidden="1">
      <c r="A317" s="1" t="s">
        <v>559</v>
      </c>
      <c r="B317" s="1" t="s">
        <v>1589</v>
      </c>
      <c r="C317" s="1"/>
      <c r="F317"/>
      <c r="G317" t="s">
        <v>95</v>
      </c>
      <c r="H317"/>
      <c r="J317"/>
      <c r="K317"/>
      <c r="L317"/>
    </row>
    <row r="318" spans="1:12" ht="17" hidden="1">
      <c r="A318" s="3" t="s">
        <v>1590</v>
      </c>
      <c r="B318" s="3" t="s">
        <v>1591</v>
      </c>
      <c r="C318" s="3"/>
      <c r="F318"/>
      <c r="G318" t="s">
        <v>95</v>
      </c>
      <c r="H318"/>
      <c r="J318"/>
      <c r="K318"/>
      <c r="L318"/>
    </row>
    <row r="319" spans="1:12" ht="17" hidden="1">
      <c r="A319" s="3" t="s">
        <v>580</v>
      </c>
      <c r="B319" s="3" t="s">
        <v>1592</v>
      </c>
      <c r="C319" s="3"/>
      <c r="F319"/>
      <c r="G319" t="s">
        <v>95</v>
      </c>
      <c r="H319"/>
      <c r="J319"/>
      <c r="K319"/>
      <c r="L319"/>
    </row>
    <row r="320" spans="1:12" ht="17" hidden="1">
      <c r="A320" s="1" t="s">
        <v>1593</v>
      </c>
      <c r="B320" s="1" t="s">
        <v>344</v>
      </c>
      <c r="C320" s="1"/>
      <c r="F320"/>
      <c r="G320" t="s">
        <v>95</v>
      </c>
      <c r="H320"/>
      <c r="J320"/>
      <c r="K320"/>
      <c r="L320"/>
    </row>
    <row r="321" spans="1:12" ht="17" hidden="1">
      <c r="A321" s="1" t="s">
        <v>597</v>
      </c>
      <c r="B321" s="1" t="s">
        <v>121</v>
      </c>
      <c r="C321" s="1"/>
      <c r="F321"/>
      <c r="G321" t="s">
        <v>95</v>
      </c>
      <c r="H321"/>
      <c r="J321"/>
      <c r="K321"/>
      <c r="L321"/>
    </row>
    <row r="322" spans="1:12" ht="16">
      <c r="A322" s="43" t="s">
        <v>1594</v>
      </c>
      <c r="B322" s="43" t="s">
        <v>1595</v>
      </c>
      <c r="C322" s="43"/>
      <c r="D322" s="17" t="s">
        <v>1011</v>
      </c>
      <c r="E322" s="17"/>
      <c r="F322" s="29"/>
      <c r="G322" s="25" t="s">
        <v>95</v>
      </c>
      <c r="H322" s="23" t="s">
        <v>172</v>
      </c>
      <c r="I322" s="27" t="s">
        <v>977</v>
      </c>
      <c r="J322" s="39" t="s">
        <v>978</v>
      </c>
      <c r="K322" s="39" t="s">
        <v>1498</v>
      </c>
      <c r="L322" s="40" t="s">
        <v>1596</v>
      </c>
    </row>
    <row r="323" spans="1:12" ht="16">
      <c r="A323" s="43" t="s">
        <v>1597</v>
      </c>
      <c r="B323" s="43" t="s">
        <v>1598</v>
      </c>
      <c r="C323" s="43"/>
      <c r="D323" s="17" t="s">
        <v>1015</v>
      </c>
      <c r="E323" s="17"/>
      <c r="F323" s="29" t="s">
        <v>1523</v>
      </c>
      <c r="G323" s="23" t="s">
        <v>95</v>
      </c>
      <c r="H323" s="23" t="s">
        <v>172</v>
      </c>
      <c r="I323" s="27" t="s">
        <v>977</v>
      </c>
      <c r="J323" s="39" t="s">
        <v>978</v>
      </c>
      <c r="K323" s="39" t="s">
        <v>1498</v>
      </c>
      <c r="L323" s="40" t="s">
        <v>1599</v>
      </c>
    </row>
    <row r="324" spans="1:12" ht="16">
      <c r="A324" s="43" t="s">
        <v>604</v>
      </c>
      <c r="B324" s="43" t="s">
        <v>1600</v>
      </c>
      <c r="C324" s="43"/>
      <c r="D324" s="17" t="s">
        <v>1011</v>
      </c>
      <c r="E324" s="17"/>
      <c r="F324" s="29"/>
      <c r="G324" s="23" t="s">
        <v>95</v>
      </c>
      <c r="H324" s="23" t="s">
        <v>55</v>
      </c>
      <c r="I324" s="27" t="s">
        <v>977</v>
      </c>
      <c r="J324" s="39" t="s">
        <v>978</v>
      </c>
      <c r="K324" s="39" t="s">
        <v>1601</v>
      </c>
      <c r="L324" s="40" t="s">
        <v>1602</v>
      </c>
    </row>
    <row r="325" spans="1:12" ht="126">
      <c r="A325" s="43" t="s">
        <v>604</v>
      </c>
      <c r="B325" s="43" t="s">
        <v>1603</v>
      </c>
      <c r="C325" s="43"/>
      <c r="D325" s="17" t="s">
        <v>1011</v>
      </c>
      <c r="E325" s="17"/>
      <c r="F325" s="32" t="s">
        <v>1585</v>
      </c>
      <c r="G325" s="18" t="s">
        <v>61</v>
      </c>
      <c r="H325" s="23" t="s">
        <v>55</v>
      </c>
      <c r="I325" s="27" t="s">
        <v>977</v>
      </c>
      <c r="J325" s="39" t="s">
        <v>978</v>
      </c>
      <c r="K325" s="39" t="s">
        <v>1604</v>
      </c>
      <c r="L325" s="40" t="s">
        <v>1605</v>
      </c>
    </row>
    <row r="326" spans="1:12" ht="17">
      <c r="A326" s="16" t="s">
        <v>1606</v>
      </c>
      <c r="B326" s="16" t="s">
        <v>1607</v>
      </c>
      <c r="C326" s="16"/>
      <c r="D326" s="17" t="s">
        <v>1522</v>
      </c>
      <c r="E326" s="17" t="s">
        <v>61</v>
      </c>
      <c r="F326" s="20" t="s">
        <v>1608</v>
      </c>
      <c r="G326" s="18" t="s">
        <v>61</v>
      </c>
      <c r="H326" s="23" t="s">
        <v>123</v>
      </c>
      <c r="I326" s="27" t="s">
        <v>977</v>
      </c>
      <c r="J326" t="s">
        <v>1517</v>
      </c>
      <c r="K326" s="10"/>
      <c r="L326" s="10"/>
    </row>
    <row r="327" spans="1:12" ht="17">
      <c r="A327" s="16" t="s">
        <v>1609</v>
      </c>
      <c r="B327" s="16" t="s">
        <v>1330</v>
      </c>
      <c r="C327" s="16"/>
      <c r="D327" s="17" t="s">
        <v>1522</v>
      </c>
      <c r="E327" s="17" t="s">
        <v>61</v>
      </c>
      <c r="F327" s="20" t="s">
        <v>1608</v>
      </c>
      <c r="G327" s="18" t="s">
        <v>61</v>
      </c>
      <c r="H327" s="23" t="s">
        <v>123</v>
      </c>
      <c r="I327" s="27" t="s">
        <v>977</v>
      </c>
      <c r="J327" t="s">
        <v>1517</v>
      </c>
      <c r="K327" s="10"/>
      <c r="L327" s="10"/>
    </row>
    <row r="328" spans="1:12" ht="34">
      <c r="A328" s="16" t="s">
        <v>1610</v>
      </c>
      <c r="B328" s="16" t="s">
        <v>1611</v>
      </c>
      <c r="C328" s="16"/>
      <c r="D328" s="17" t="s">
        <v>1522</v>
      </c>
      <c r="E328" s="17" t="s">
        <v>61</v>
      </c>
      <c r="F328" s="18" t="s">
        <v>1523</v>
      </c>
      <c r="G328" s="23" t="s">
        <v>95</v>
      </c>
      <c r="H328" s="23" t="s">
        <v>123</v>
      </c>
      <c r="I328" s="27" t="s">
        <v>977</v>
      </c>
      <c r="J328" t="s">
        <v>1517</v>
      </c>
      <c r="K328" s="10"/>
      <c r="L328" s="10"/>
    </row>
    <row r="329" spans="1:12" ht="51">
      <c r="A329" s="16" t="s">
        <v>1612</v>
      </c>
      <c r="B329" s="16" t="s">
        <v>1613</v>
      </c>
      <c r="C329" s="16"/>
      <c r="D329" s="17" t="s">
        <v>1522</v>
      </c>
      <c r="E329" s="17" t="s">
        <v>61</v>
      </c>
      <c r="F329" s="18" t="s">
        <v>1523</v>
      </c>
      <c r="G329" s="23" t="s">
        <v>95</v>
      </c>
      <c r="H329" s="23" t="s">
        <v>123</v>
      </c>
      <c r="I329" s="27" t="s">
        <v>977</v>
      </c>
      <c r="J329" t="s">
        <v>1517</v>
      </c>
      <c r="K329" s="10"/>
      <c r="L329" s="10"/>
    </row>
    <row r="330" spans="1:12" ht="17">
      <c r="A330" s="16" t="s">
        <v>1614</v>
      </c>
      <c r="B330" s="16" t="s">
        <v>1615</v>
      </c>
      <c r="C330" s="16"/>
      <c r="D330" s="17" t="s">
        <v>1522</v>
      </c>
      <c r="E330" s="17" t="s">
        <v>61</v>
      </c>
      <c r="F330" s="18" t="s">
        <v>1523</v>
      </c>
      <c r="G330" s="23" t="s">
        <v>95</v>
      </c>
      <c r="H330" s="23" t="s">
        <v>123</v>
      </c>
      <c r="I330" s="27" t="s">
        <v>977</v>
      </c>
      <c r="J330" t="s">
        <v>1517</v>
      </c>
      <c r="K330" s="10"/>
      <c r="L330" s="10"/>
    </row>
    <row r="331" spans="1:12" ht="17">
      <c r="A331" s="16" t="s">
        <v>617</v>
      </c>
      <c r="B331" s="16" t="s">
        <v>618</v>
      </c>
      <c r="C331" s="16"/>
      <c r="D331" s="17" t="s">
        <v>1522</v>
      </c>
      <c r="E331" s="17" t="s">
        <v>61</v>
      </c>
      <c r="F331" s="18" t="s">
        <v>1523</v>
      </c>
      <c r="G331" s="23" t="s">
        <v>95</v>
      </c>
      <c r="H331" s="23" t="s">
        <v>123</v>
      </c>
      <c r="I331" s="27" t="s">
        <v>977</v>
      </c>
      <c r="J331" t="s">
        <v>1517</v>
      </c>
      <c r="K331" s="10"/>
      <c r="L331" s="10"/>
    </row>
    <row r="332" spans="1:12" ht="17" hidden="1">
      <c r="A332" s="3" t="s">
        <v>1616</v>
      </c>
      <c r="B332" s="3" t="s">
        <v>675</v>
      </c>
      <c r="C332" s="3"/>
      <c r="F332"/>
      <c r="G332" t="s">
        <v>95</v>
      </c>
      <c r="H332"/>
      <c r="J332"/>
      <c r="K332"/>
      <c r="L332"/>
    </row>
    <row r="333" spans="1:12" ht="17" hidden="1">
      <c r="A333" s="1" t="s">
        <v>1617</v>
      </c>
      <c r="B333" s="1" t="s">
        <v>1618</v>
      </c>
      <c r="C333" s="1"/>
      <c r="F333"/>
      <c r="G333" t="s">
        <v>95</v>
      </c>
      <c r="H333"/>
      <c r="J333"/>
      <c r="K333"/>
      <c r="L333"/>
    </row>
    <row r="334" spans="1:12" ht="17" hidden="1">
      <c r="A334" s="16" t="s">
        <v>1619</v>
      </c>
      <c r="B334" s="16" t="s">
        <v>1620</v>
      </c>
      <c r="C334" s="16"/>
      <c r="D334" s="17"/>
      <c r="E334" s="17"/>
      <c r="F334" s="20" t="s">
        <v>1094</v>
      </c>
      <c r="G334" s="23" t="s">
        <v>61</v>
      </c>
      <c r="H334" s="21"/>
      <c r="I334" s="28"/>
      <c r="J334"/>
      <c r="K334" s="10"/>
      <c r="L334" s="10"/>
    </row>
    <row r="335" spans="1:12" ht="34" hidden="1">
      <c r="A335" s="16" t="s">
        <v>1621</v>
      </c>
      <c r="B335" s="16" t="s">
        <v>1622</v>
      </c>
      <c r="C335" s="16"/>
      <c r="D335" s="17"/>
      <c r="E335" s="17"/>
      <c r="F335" s="18"/>
      <c r="G335" s="23" t="s">
        <v>61</v>
      </c>
      <c r="H335" s="21"/>
      <c r="I335" s="28"/>
      <c r="J335"/>
      <c r="K335" s="10"/>
      <c r="L335" s="10"/>
    </row>
    <row r="336" spans="1:12" ht="34" hidden="1">
      <c r="A336" s="16" t="s">
        <v>1623</v>
      </c>
      <c r="B336" s="16" t="s">
        <v>1624</v>
      </c>
      <c r="C336" s="16"/>
      <c r="D336" s="17"/>
      <c r="E336" s="17"/>
      <c r="F336" s="20" t="s">
        <v>1040</v>
      </c>
      <c r="G336" s="23" t="s">
        <v>61</v>
      </c>
      <c r="H336" s="21"/>
      <c r="I336" s="27" t="s">
        <v>977</v>
      </c>
      <c r="J336"/>
      <c r="K336" s="10"/>
      <c r="L336" s="10"/>
    </row>
    <row r="337" spans="1:12" ht="17" hidden="1">
      <c r="A337" s="3" t="s">
        <v>1625</v>
      </c>
      <c r="B337" s="3" t="s">
        <v>296</v>
      </c>
      <c r="C337" s="3"/>
      <c r="F337"/>
      <c r="G337" t="s">
        <v>95</v>
      </c>
      <c r="H337"/>
      <c r="J337"/>
      <c r="K337"/>
      <c r="L337"/>
    </row>
    <row r="338" spans="1:12" ht="17" hidden="1">
      <c r="A338" s="3" t="s">
        <v>1626</v>
      </c>
      <c r="B338" s="3" t="s">
        <v>1627</v>
      </c>
      <c r="C338" s="3"/>
      <c r="F338"/>
      <c r="G338" t="s">
        <v>95</v>
      </c>
      <c r="H338"/>
      <c r="J338"/>
      <c r="K338"/>
      <c r="L338"/>
    </row>
    <row r="339" spans="1:12" ht="17" hidden="1">
      <c r="A339" s="3" t="s">
        <v>1628</v>
      </c>
      <c r="B339" s="3" t="s">
        <v>1629</v>
      </c>
      <c r="C339" s="3"/>
      <c r="F339"/>
      <c r="G339" t="s">
        <v>95</v>
      </c>
      <c r="H339"/>
      <c r="J339"/>
      <c r="K339"/>
      <c r="L339"/>
    </row>
    <row r="340" spans="1:12" ht="17" hidden="1">
      <c r="A340" s="1" t="s">
        <v>1630</v>
      </c>
      <c r="B340" s="1" t="s">
        <v>1254</v>
      </c>
      <c r="C340" s="1"/>
      <c r="F340"/>
      <c r="G340" t="s">
        <v>95</v>
      </c>
      <c r="H340"/>
      <c r="J340"/>
      <c r="K340"/>
      <c r="L340"/>
    </row>
    <row r="341" spans="1:12" ht="17" hidden="1">
      <c r="A341" s="3" t="s">
        <v>1631</v>
      </c>
      <c r="B341" s="3" t="s">
        <v>1632</v>
      </c>
      <c r="C341" s="3"/>
      <c r="F341"/>
      <c r="G341" t="s">
        <v>95</v>
      </c>
      <c r="H341"/>
      <c r="J341"/>
      <c r="K341"/>
      <c r="L341"/>
    </row>
    <row r="342" spans="1:12" ht="17" hidden="1">
      <c r="A342" s="1" t="s">
        <v>1633</v>
      </c>
      <c r="B342" s="1" t="s">
        <v>1214</v>
      </c>
      <c r="C342" s="1"/>
      <c r="F342"/>
      <c r="G342" t="s">
        <v>95</v>
      </c>
      <c r="H342"/>
      <c r="J342"/>
      <c r="K342"/>
      <c r="L342"/>
    </row>
    <row r="343" spans="1:12" ht="16">
      <c r="A343" s="45" t="s">
        <v>1634</v>
      </c>
      <c r="B343" s="45" t="s">
        <v>1635</v>
      </c>
      <c r="C343" s="45"/>
      <c r="D343" s="46" t="s">
        <v>1022</v>
      </c>
      <c r="E343" s="46"/>
      <c r="F343" s="47" t="s">
        <v>1636</v>
      </c>
      <c r="G343" s="26" t="s">
        <v>95</v>
      </c>
      <c r="H343" s="23" t="s">
        <v>172</v>
      </c>
      <c r="I343" s="47" t="s">
        <v>1439</v>
      </c>
      <c r="J343" s="39" t="s">
        <v>978</v>
      </c>
      <c r="K343" s="39" t="s">
        <v>1504</v>
      </c>
      <c r="L343" s="40" t="s">
        <v>1637</v>
      </c>
    </row>
    <row r="344" spans="1:12" ht="17" hidden="1">
      <c r="A344" s="3" t="s">
        <v>1638</v>
      </c>
      <c r="B344" s="3" t="s">
        <v>85</v>
      </c>
      <c r="C344" s="3"/>
      <c r="F344"/>
      <c r="G344" t="s">
        <v>95</v>
      </c>
      <c r="H344"/>
      <c r="J344"/>
      <c r="K344"/>
      <c r="L344"/>
    </row>
    <row r="345" spans="1:12" ht="17" hidden="1">
      <c r="A345" s="1" t="s">
        <v>638</v>
      </c>
      <c r="B345" s="1" t="s">
        <v>85</v>
      </c>
      <c r="C345" s="1"/>
      <c r="F345"/>
      <c r="G345" t="s">
        <v>95</v>
      </c>
      <c r="H345"/>
      <c r="J345"/>
      <c r="K345"/>
      <c r="L345"/>
    </row>
    <row r="346" spans="1:12" ht="17" hidden="1">
      <c r="A346" s="16" t="s">
        <v>1639</v>
      </c>
      <c r="B346" s="16" t="s">
        <v>1640</v>
      </c>
      <c r="C346" s="16"/>
      <c r="D346" s="17"/>
      <c r="E346" s="17"/>
      <c r="F346" s="20" t="s">
        <v>1641</v>
      </c>
      <c r="G346" s="18" t="s">
        <v>61</v>
      </c>
      <c r="H346" s="23" t="s">
        <v>104</v>
      </c>
      <c r="I346" s="27" t="s">
        <v>977</v>
      </c>
      <c r="J346"/>
      <c r="K346" s="10"/>
      <c r="L346" s="10"/>
    </row>
    <row r="347" spans="1:12" ht="17" hidden="1">
      <c r="A347" s="3" t="s">
        <v>1642</v>
      </c>
      <c r="B347" s="3" t="s">
        <v>1643</v>
      </c>
      <c r="C347" s="3"/>
      <c r="F347"/>
      <c r="G347" t="s">
        <v>95</v>
      </c>
      <c r="H347"/>
      <c r="J347"/>
      <c r="K347"/>
      <c r="L347"/>
    </row>
    <row r="348" spans="1:12" ht="17" hidden="1">
      <c r="A348" s="3" t="s">
        <v>1644</v>
      </c>
      <c r="B348" s="3" t="s">
        <v>1645</v>
      </c>
      <c r="C348" s="3"/>
      <c r="F348"/>
      <c r="G348" t="s">
        <v>95</v>
      </c>
      <c r="H348"/>
      <c r="J348"/>
      <c r="K348"/>
      <c r="L348"/>
    </row>
    <row r="349" spans="1:12" ht="34" hidden="1">
      <c r="A349" s="3" t="s">
        <v>1646</v>
      </c>
      <c r="B349" s="3" t="s">
        <v>1647</v>
      </c>
      <c r="C349" s="3"/>
      <c r="F349"/>
      <c r="G349" t="s">
        <v>95</v>
      </c>
      <c r="H349"/>
      <c r="J349"/>
      <c r="K349"/>
      <c r="L349"/>
    </row>
    <row r="350" spans="1:12" ht="16">
      <c r="A350" s="43" t="s">
        <v>1648</v>
      </c>
      <c r="B350" s="43" t="s">
        <v>1649</v>
      </c>
      <c r="C350" s="43"/>
      <c r="D350" s="17" t="s">
        <v>1006</v>
      </c>
      <c r="E350" s="17" t="s">
        <v>61</v>
      </c>
      <c r="F350" s="29" t="s">
        <v>1167</v>
      </c>
      <c r="G350" s="23" t="s">
        <v>61</v>
      </c>
      <c r="H350" s="23" t="s">
        <v>172</v>
      </c>
      <c r="I350" s="27" t="s">
        <v>977</v>
      </c>
      <c r="J350" s="39" t="s">
        <v>978</v>
      </c>
      <c r="L350" s="40"/>
    </row>
    <row r="351" spans="1:12" ht="16">
      <c r="A351" s="43" t="s">
        <v>1650</v>
      </c>
      <c r="B351" s="43" t="s">
        <v>1651</v>
      </c>
      <c r="C351" s="43"/>
      <c r="D351" s="17" t="s">
        <v>1006</v>
      </c>
      <c r="E351" s="17"/>
      <c r="F351" s="29" t="s">
        <v>1167</v>
      </c>
      <c r="G351" s="23" t="s">
        <v>61</v>
      </c>
      <c r="H351" s="23" t="s">
        <v>172</v>
      </c>
      <c r="I351" s="27" t="s">
        <v>977</v>
      </c>
      <c r="J351" s="39" t="s">
        <v>978</v>
      </c>
      <c r="L351" s="40"/>
    </row>
    <row r="352" spans="1:12" ht="17" hidden="1">
      <c r="A352" s="1" t="s">
        <v>1652</v>
      </c>
      <c r="B352" s="1" t="s">
        <v>1653</v>
      </c>
      <c r="C352" s="1"/>
      <c r="F352"/>
      <c r="G352" t="s">
        <v>95</v>
      </c>
      <c r="H352"/>
      <c r="J352"/>
      <c r="K352"/>
      <c r="L352"/>
    </row>
    <row r="353" spans="1:12" ht="17" hidden="1">
      <c r="A353" s="1" t="s">
        <v>654</v>
      </c>
      <c r="B353" s="1" t="s">
        <v>85</v>
      </c>
      <c r="C353" s="1"/>
      <c r="F353"/>
      <c r="G353" t="s">
        <v>95</v>
      </c>
      <c r="H353"/>
      <c r="J353"/>
      <c r="K353"/>
      <c r="L353"/>
    </row>
    <row r="354" spans="1:12" ht="17" hidden="1">
      <c r="A354" s="3" t="s">
        <v>1654</v>
      </c>
      <c r="B354" s="3" t="s">
        <v>1655</v>
      </c>
      <c r="C354" s="3"/>
      <c r="F354"/>
      <c r="G354" t="s">
        <v>95</v>
      </c>
      <c r="H354"/>
      <c r="J354"/>
      <c r="K354"/>
      <c r="L354"/>
    </row>
    <row r="355" spans="1:12" ht="17" hidden="1">
      <c r="A355" s="3" t="s">
        <v>1656</v>
      </c>
      <c r="B355" s="3" t="s">
        <v>1657</v>
      </c>
      <c r="C355" s="3"/>
      <c r="F355"/>
      <c r="G355" t="s">
        <v>95</v>
      </c>
      <c r="H355"/>
      <c r="J355"/>
      <c r="K355"/>
      <c r="L355"/>
    </row>
    <row r="356" spans="1:12" ht="17" hidden="1">
      <c r="A356" s="3" t="s">
        <v>1658</v>
      </c>
      <c r="B356" s="3" t="s">
        <v>1659</v>
      </c>
      <c r="C356" s="3"/>
      <c r="F356"/>
      <c r="G356" t="s">
        <v>95</v>
      </c>
      <c r="H356"/>
      <c r="J356"/>
      <c r="K356"/>
      <c r="L356"/>
    </row>
    <row r="357" spans="1:12" ht="17" hidden="1">
      <c r="A357" s="1" t="s">
        <v>1660</v>
      </c>
      <c r="B357" s="1" t="s">
        <v>1661</v>
      </c>
      <c r="C357" s="1"/>
      <c r="F357"/>
      <c r="G357" t="s">
        <v>95</v>
      </c>
      <c r="H357"/>
      <c r="J357"/>
      <c r="K357"/>
      <c r="L357"/>
    </row>
    <row r="358" spans="1:12" ht="126">
      <c r="A358" s="16" t="s">
        <v>1662</v>
      </c>
      <c r="B358" s="16" t="s">
        <v>271</v>
      </c>
      <c r="C358" s="16"/>
      <c r="D358" s="17" t="s">
        <v>1011</v>
      </c>
      <c r="E358" s="17"/>
      <c r="F358" s="18"/>
      <c r="G358" s="23" t="s">
        <v>95</v>
      </c>
      <c r="H358" s="23" t="s">
        <v>104</v>
      </c>
      <c r="I358" s="18"/>
      <c r="J358" s="39" t="s">
        <v>978</v>
      </c>
      <c r="K358" s="40" t="s">
        <v>1460</v>
      </c>
      <c r="L358" s="40" t="s">
        <v>1663</v>
      </c>
    </row>
    <row r="359" spans="1:12" ht="16">
      <c r="A359" s="43" t="s">
        <v>1664</v>
      </c>
      <c r="B359" s="43" t="s">
        <v>1665</v>
      </c>
      <c r="C359" s="43"/>
      <c r="D359" s="17" t="s">
        <v>1015</v>
      </c>
      <c r="E359" s="17"/>
      <c r="F359" s="29" t="s">
        <v>1167</v>
      </c>
      <c r="G359" s="23" t="s">
        <v>61</v>
      </c>
      <c r="H359" s="23" t="s">
        <v>172</v>
      </c>
      <c r="I359" s="27" t="s">
        <v>977</v>
      </c>
      <c r="J359" s="39" t="s">
        <v>978</v>
      </c>
      <c r="K359" s="39" t="s">
        <v>1498</v>
      </c>
      <c r="L359" s="40" t="s">
        <v>622</v>
      </c>
    </row>
    <row r="360" spans="1:12" ht="17" hidden="1">
      <c r="A360" s="1" t="s">
        <v>674</v>
      </c>
      <c r="B360" s="1" t="s">
        <v>675</v>
      </c>
      <c r="C360" s="1"/>
      <c r="F360"/>
      <c r="G360" t="s">
        <v>95</v>
      </c>
      <c r="H360"/>
      <c r="J360"/>
      <c r="K360"/>
      <c r="L360"/>
    </row>
    <row r="361" spans="1:12" ht="17" hidden="1">
      <c r="A361" s="16" t="s">
        <v>1666</v>
      </c>
      <c r="B361" s="16" t="s">
        <v>85</v>
      </c>
      <c r="C361" s="16"/>
      <c r="D361" s="17"/>
      <c r="E361" s="17"/>
      <c r="F361" s="20" t="s">
        <v>1040</v>
      </c>
      <c r="G361" s="23" t="s">
        <v>61</v>
      </c>
      <c r="H361" s="21"/>
      <c r="I361" s="27" t="s">
        <v>977</v>
      </c>
      <c r="J361"/>
      <c r="K361" s="10"/>
      <c r="L361" s="10"/>
    </row>
    <row r="362" spans="1:12" ht="17" hidden="1">
      <c r="A362" s="16" t="s">
        <v>1667</v>
      </c>
      <c r="B362" s="16" t="s">
        <v>344</v>
      </c>
      <c r="C362" s="16"/>
      <c r="D362" s="17"/>
      <c r="E362" s="17"/>
      <c r="F362" s="20" t="s">
        <v>1040</v>
      </c>
      <c r="G362" s="25" t="s">
        <v>95</v>
      </c>
      <c r="H362" s="21"/>
      <c r="I362" s="27" t="s">
        <v>977</v>
      </c>
      <c r="J362"/>
      <c r="K362" s="10"/>
      <c r="L362" s="10"/>
    </row>
    <row r="363" spans="1:12" ht="17" hidden="1">
      <c r="A363" s="1" t="s">
        <v>1668</v>
      </c>
      <c r="B363" s="1" t="s">
        <v>1669</v>
      </c>
      <c r="C363" s="1"/>
      <c r="F363"/>
      <c r="G363" t="s">
        <v>95</v>
      </c>
      <c r="H363"/>
      <c r="J363"/>
      <c r="K363"/>
      <c r="L363"/>
    </row>
    <row r="364" spans="1:12" ht="17" hidden="1">
      <c r="A364" s="3" t="s">
        <v>683</v>
      </c>
      <c r="B364" s="3" t="s">
        <v>684</v>
      </c>
      <c r="C364" s="3"/>
      <c r="F364"/>
      <c r="G364" t="s">
        <v>95</v>
      </c>
      <c r="H364"/>
      <c r="J364"/>
      <c r="K364"/>
      <c r="L364"/>
    </row>
    <row r="365" spans="1:12" ht="17" hidden="1">
      <c r="A365" s="1" t="s">
        <v>1670</v>
      </c>
      <c r="B365" s="1" t="s">
        <v>1671</v>
      </c>
      <c r="C365" s="1"/>
      <c r="F365"/>
      <c r="G365" t="s">
        <v>95</v>
      </c>
      <c r="H365"/>
      <c r="J365"/>
      <c r="K365"/>
      <c r="L365"/>
    </row>
    <row r="366" spans="1:12" ht="17" hidden="1">
      <c r="A366" s="3" t="s">
        <v>692</v>
      </c>
      <c r="B366" s="3" t="s">
        <v>712</v>
      </c>
      <c r="C366" s="3"/>
      <c r="F366"/>
      <c r="G366" t="s">
        <v>95</v>
      </c>
      <c r="H366"/>
      <c r="J366"/>
      <c r="K366"/>
      <c r="L366"/>
    </row>
    <row r="367" spans="1:12" ht="17" hidden="1">
      <c r="A367" s="16" t="s">
        <v>705</v>
      </c>
      <c r="B367" s="16" t="s">
        <v>344</v>
      </c>
      <c r="C367" s="16"/>
      <c r="D367" s="17"/>
      <c r="E367" s="17"/>
      <c r="F367" s="20" t="s">
        <v>1672</v>
      </c>
      <c r="G367" s="18" t="s">
        <v>61</v>
      </c>
      <c r="H367" s="18" t="s">
        <v>55</v>
      </c>
      <c r="I367" s="27" t="s">
        <v>977</v>
      </c>
      <c r="J367"/>
      <c r="K367" s="10"/>
      <c r="L367" s="10"/>
    </row>
    <row r="368" spans="1:12" ht="17" hidden="1">
      <c r="A368" s="16" t="s">
        <v>1673</v>
      </c>
      <c r="B368" s="16" t="s">
        <v>1251</v>
      </c>
      <c r="C368" s="16"/>
      <c r="D368" s="17"/>
      <c r="E368" s="17"/>
      <c r="F368" s="20" t="s">
        <v>1672</v>
      </c>
      <c r="G368" s="18" t="s">
        <v>61</v>
      </c>
      <c r="H368" s="18" t="s">
        <v>55</v>
      </c>
      <c r="I368" s="27" t="s">
        <v>977</v>
      </c>
      <c r="J368"/>
      <c r="K368" s="10"/>
      <c r="L368" s="10"/>
    </row>
    <row r="369" spans="1:12" ht="17" hidden="1">
      <c r="A369" s="1" t="s">
        <v>942</v>
      </c>
      <c r="B369" s="1" t="s">
        <v>943</v>
      </c>
      <c r="C369" s="1"/>
      <c r="F369"/>
      <c r="G369" t="s">
        <v>95</v>
      </c>
      <c r="H369"/>
      <c r="J369"/>
      <c r="K369"/>
      <c r="L369"/>
    </row>
    <row r="370" spans="1:12" ht="17" hidden="1">
      <c r="A370" s="3" t="s">
        <v>717</v>
      </c>
      <c r="B370" s="3" t="s">
        <v>718</v>
      </c>
      <c r="C370" s="3"/>
      <c r="F370"/>
      <c r="G370" t="s">
        <v>95</v>
      </c>
      <c r="H370"/>
      <c r="J370"/>
      <c r="K370"/>
      <c r="L370"/>
    </row>
    <row r="371" spans="1:12" ht="17" hidden="1">
      <c r="A371" s="1" t="s">
        <v>1674</v>
      </c>
      <c r="B371" s="1" t="s">
        <v>1386</v>
      </c>
      <c r="C371" s="1"/>
      <c r="F371"/>
      <c r="G371" t="s">
        <v>95</v>
      </c>
      <c r="H371"/>
      <c r="J371"/>
      <c r="K371"/>
      <c r="L371"/>
    </row>
    <row r="372" spans="1:12" ht="17" hidden="1">
      <c r="A372" s="1" t="s">
        <v>1675</v>
      </c>
      <c r="B372" s="1" t="s">
        <v>1261</v>
      </c>
      <c r="C372" s="1"/>
      <c r="F372"/>
      <c r="G372" t="s">
        <v>95</v>
      </c>
      <c r="H372"/>
      <c r="J372"/>
      <c r="K372"/>
      <c r="L372"/>
    </row>
    <row r="373" spans="1:12" ht="70">
      <c r="A373" s="43" t="s">
        <v>1676</v>
      </c>
      <c r="B373" s="43" t="s">
        <v>1677</v>
      </c>
      <c r="C373" s="43"/>
      <c r="D373" s="17" t="s">
        <v>986</v>
      </c>
      <c r="E373" s="17"/>
      <c r="F373" s="29"/>
      <c r="G373" s="25" t="s">
        <v>95</v>
      </c>
      <c r="H373" s="23" t="s">
        <v>172</v>
      </c>
      <c r="I373" s="27" t="s">
        <v>977</v>
      </c>
      <c r="J373" s="39" t="s">
        <v>978</v>
      </c>
      <c r="K373" s="39" t="s">
        <v>1498</v>
      </c>
      <c r="L373" s="40" t="s">
        <v>1678</v>
      </c>
    </row>
    <row r="374" spans="1:12" ht="17" hidden="1">
      <c r="A374" s="3" t="s">
        <v>1679</v>
      </c>
      <c r="B374" s="3" t="s">
        <v>1680</v>
      </c>
      <c r="C374" s="3"/>
      <c r="F374"/>
      <c r="G374" t="s">
        <v>95</v>
      </c>
      <c r="H374"/>
      <c r="J374"/>
      <c r="K374"/>
      <c r="L374"/>
    </row>
    <row r="375" spans="1:12" ht="17" hidden="1">
      <c r="A375" s="16" t="s">
        <v>1681</v>
      </c>
      <c r="B375" s="16" t="s">
        <v>85</v>
      </c>
      <c r="C375" s="16"/>
      <c r="D375" s="17"/>
      <c r="E375" s="17"/>
      <c r="F375" s="20" t="s">
        <v>1682</v>
      </c>
      <c r="G375" s="18" t="s">
        <v>61</v>
      </c>
      <c r="H375" s="18" t="s">
        <v>55</v>
      </c>
      <c r="I375" s="27" t="s">
        <v>977</v>
      </c>
      <c r="J375"/>
      <c r="K375" s="10"/>
      <c r="L375" s="10"/>
    </row>
    <row r="376" spans="1:12" ht="17" hidden="1">
      <c r="A376" s="1" t="s">
        <v>1683</v>
      </c>
      <c r="B376" s="1" t="s">
        <v>1684</v>
      </c>
      <c r="C376" s="1"/>
      <c r="F376"/>
      <c r="G376" t="s">
        <v>95</v>
      </c>
      <c r="H376"/>
      <c r="J376"/>
      <c r="K376"/>
      <c r="L376"/>
    </row>
    <row r="377" spans="1:12" ht="17" hidden="1">
      <c r="A377" s="3" t="s">
        <v>1685</v>
      </c>
      <c r="B377" s="3" t="s">
        <v>1686</v>
      </c>
      <c r="C377" s="3"/>
      <c r="F377"/>
      <c r="G377" t="s">
        <v>95</v>
      </c>
      <c r="H377"/>
      <c r="J377"/>
      <c r="K377"/>
      <c r="L377"/>
    </row>
    <row r="378" spans="1:12" ht="17" hidden="1">
      <c r="A378" s="1" t="s">
        <v>1687</v>
      </c>
      <c r="B378" s="1" t="s">
        <v>1688</v>
      </c>
      <c r="C378" s="1"/>
      <c r="F378"/>
      <c r="G378" t="s">
        <v>95</v>
      </c>
      <c r="H378"/>
      <c r="J378"/>
      <c r="K378"/>
      <c r="L378"/>
    </row>
    <row r="379" spans="1:12" ht="17" hidden="1">
      <c r="A379" s="1" t="s">
        <v>1689</v>
      </c>
      <c r="B379" s="1" t="s">
        <v>1690</v>
      </c>
      <c r="C379" s="1"/>
      <c r="F379"/>
      <c r="G379" t="s">
        <v>95</v>
      </c>
      <c r="H379"/>
      <c r="J379"/>
      <c r="K379"/>
      <c r="L379"/>
    </row>
    <row r="380" spans="1:12" ht="17" hidden="1">
      <c r="A380" s="3" t="s">
        <v>1691</v>
      </c>
      <c r="B380" s="3" t="s">
        <v>1386</v>
      </c>
      <c r="C380" s="3"/>
      <c r="F380"/>
      <c r="G380" t="s">
        <v>95</v>
      </c>
      <c r="H380"/>
      <c r="J380"/>
      <c r="K380"/>
      <c r="L380"/>
    </row>
    <row r="381" spans="1:12" ht="17" hidden="1">
      <c r="A381" s="3" t="s">
        <v>1692</v>
      </c>
      <c r="B381" s="3" t="s">
        <v>1693</v>
      </c>
      <c r="C381" s="3"/>
      <c r="F381"/>
      <c r="G381" t="s">
        <v>95</v>
      </c>
      <c r="H381"/>
      <c r="J381"/>
      <c r="K381"/>
      <c r="L381"/>
    </row>
    <row r="382" spans="1:12" ht="17" hidden="1">
      <c r="A382" s="3" t="s">
        <v>1694</v>
      </c>
      <c r="B382" s="3" t="s">
        <v>1695</v>
      </c>
      <c r="C382" s="3"/>
      <c r="F382"/>
      <c r="G382" t="s">
        <v>95</v>
      </c>
      <c r="H382"/>
      <c r="J382"/>
      <c r="K382"/>
      <c r="L382"/>
    </row>
    <row r="383" spans="1:12" ht="34" hidden="1">
      <c r="A383" s="3" t="s">
        <v>1696</v>
      </c>
      <c r="B383" s="3" t="s">
        <v>1697</v>
      </c>
      <c r="C383" s="3"/>
      <c r="F383"/>
      <c r="G383" t="s">
        <v>95</v>
      </c>
      <c r="H383"/>
      <c r="J383"/>
      <c r="K383"/>
      <c r="L383"/>
    </row>
    <row r="384" spans="1:12" ht="17" hidden="1">
      <c r="A384" s="16" t="s">
        <v>1698</v>
      </c>
      <c r="B384" s="16" t="s">
        <v>1079</v>
      </c>
      <c r="C384" s="16"/>
      <c r="D384" s="17"/>
      <c r="E384" s="17"/>
      <c r="F384" s="18" t="s">
        <v>1699</v>
      </c>
      <c r="G384" s="18" t="s">
        <v>61</v>
      </c>
      <c r="H384" s="18" t="s">
        <v>55</v>
      </c>
      <c r="I384" s="27" t="s">
        <v>977</v>
      </c>
      <c r="J384"/>
      <c r="K384" s="10"/>
      <c r="L384" s="10"/>
    </row>
    <row r="385" spans="1:12" ht="17" hidden="1">
      <c r="A385" s="1" t="s">
        <v>1700</v>
      </c>
      <c r="B385" s="1" t="s">
        <v>1701</v>
      </c>
      <c r="C385" s="1"/>
      <c r="F385"/>
      <c r="G385" t="s">
        <v>95</v>
      </c>
      <c r="H385"/>
      <c r="J385"/>
      <c r="K385"/>
      <c r="L385"/>
    </row>
    <row r="386" spans="1:12" ht="17" hidden="1">
      <c r="A386" s="16" t="s">
        <v>1702</v>
      </c>
      <c r="B386" s="16" t="s">
        <v>1703</v>
      </c>
      <c r="C386" s="16"/>
      <c r="D386" s="17"/>
      <c r="E386" s="17"/>
      <c r="F386" s="20" t="s">
        <v>1704</v>
      </c>
      <c r="G386" s="18" t="s">
        <v>61</v>
      </c>
      <c r="H386" s="18" t="s">
        <v>123</v>
      </c>
      <c r="I386" s="27" t="s">
        <v>977</v>
      </c>
      <c r="J386"/>
      <c r="K386" s="10"/>
      <c r="L386" s="10"/>
    </row>
    <row r="387" spans="1:12" ht="17" hidden="1">
      <c r="A387" s="3" t="s">
        <v>1705</v>
      </c>
      <c r="B387" s="3" t="s">
        <v>1706</v>
      </c>
      <c r="C387" s="3"/>
      <c r="F387"/>
      <c r="G387" t="s">
        <v>95</v>
      </c>
      <c r="H387"/>
      <c r="J387"/>
      <c r="K387"/>
      <c r="L387"/>
    </row>
    <row r="388" spans="1:12" ht="17" hidden="1">
      <c r="A388" s="1" t="s">
        <v>1707</v>
      </c>
      <c r="B388" s="1" t="s">
        <v>1708</v>
      </c>
      <c r="C388" s="1"/>
      <c r="F388"/>
      <c r="G388" t="s">
        <v>95</v>
      </c>
      <c r="H388"/>
      <c r="J388"/>
      <c r="K388"/>
      <c r="L388"/>
    </row>
    <row r="389" spans="1:12" ht="17" hidden="1">
      <c r="A389" s="1" t="s">
        <v>1709</v>
      </c>
      <c r="B389" s="1" t="s">
        <v>1710</v>
      </c>
      <c r="C389" s="1"/>
      <c r="F389"/>
      <c r="G389" t="s">
        <v>95</v>
      </c>
      <c r="H389"/>
      <c r="J389"/>
      <c r="K389"/>
      <c r="L389"/>
    </row>
    <row r="390" spans="1:12" ht="16">
      <c r="A390" s="45" t="s">
        <v>738</v>
      </c>
      <c r="B390" s="45" t="s">
        <v>739</v>
      </c>
      <c r="C390" s="45"/>
      <c r="D390" s="46" t="s">
        <v>986</v>
      </c>
      <c r="E390" s="46"/>
      <c r="F390" s="47"/>
      <c r="G390" s="26" t="s">
        <v>95</v>
      </c>
      <c r="H390" s="23" t="s">
        <v>172</v>
      </c>
      <c r="I390" s="47" t="s">
        <v>1439</v>
      </c>
      <c r="J390" s="39" t="s">
        <v>978</v>
      </c>
      <c r="K390" s="39" t="s">
        <v>1711</v>
      </c>
      <c r="L390" s="40" t="s">
        <v>1712</v>
      </c>
    </row>
    <row r="391" spans="1:12" ht="17" hidden="1">
      <c r="A391" s="3" t="s">
        <v>1713</v>
      </c>
      <c r="B391" s="3" t="s">
        <v>1714</v>
      </c>
      <c r="C391" s="3"/>
      <c r="F391"/>
      <c r="G391" t="s">
        <v>95</v>
      </c>
      <c r="H391"/>
      <c r="J391"/>
      <c r="K391"/>
      <c r="L391"/>
    </row>
    <row r="392" spans="1:12" ht="17" hidden="1">
      <c r="A392" s="16" t="s">
        <v>1715</v>
      </c>
      <c r="B392" s="16" t="s">
        <v>85</v>
      </c>
      <c r="C392" s="16"/>
      <c r="D392" s="17"/>
      <c r="E392" s="17"/>
      <c r="F392" s="18" t="s">
        <v>1716</v>
      </c>
      <c r="G392" s="18" t="s">
        <v>61</v>
      </c>
      <c r="H392" s="18" t="s">
        <v>55</v>
      </c>
      <c r="I392" s="27" t="s">
        <v>977</v>
      </c>
      <c r="J392"/>
      <c r="K392" s="10"/>
      <c r="L392" s="10"/>
    </row>
    <row r="393" spans="1:12" ht="17" hidden="1">
      <c r="A393" s="1" t="s">
        <v>1717</v>
      </c>
      <c r="B393" s="1" t="s">
        <v>1718</v>
      </c>
      <c r="C393" s="1"/>
      <c r="F393"/>
      <c r="G393" t="s">
        <v>95</v>
      </c>
      <c r="H393"/>
      <c r="J393"/>
      <c r="K393"/>
      <c r="L393"/>
    </row>
    <row r="394" spans="1:12" ht="17" hidden="1">
      <c r="A394" s="3" t="s">
        <v>745</v>
      </c>
      <c r="B394" s="3" t="s">
        <v>746</v>
      </c>
      <c r="C394" s="3"/>
      <c r="F394"/>
      <c r="G394" t="s">
        <v>95</v>
      </c>
      <c r="H394"/>
      <c r="J394"/>
      <c r="K394"/>
      <c r="L394"/>
    </row>
    <row r="395" spans="1:12" ht="17" hidden="1">
      <c r="A395" s="16" t="s">
        <v>1719</v>
      </c>
      <c r="B395" s="16" t="s">
        <v>1076</v>
      </c>
      <c r="C395" s="16"/>
      <c r="D395" s="17"/>
      <c r="E395" s="17"/>
      <c r="F395" s="20" t="s">
        <v>1720</v>
      </c>
      <c r="G395" s="18" t="s">
        <v>61</v>
      </c>
      <c r="H395" s="18" t="s">
        <v>55</v>
      </c>
      <c r="I395" s="27" t="s">
        <v>977</v>
      </c>
      <c r="J395"/>
      <c r="K395" s="10"/>
      <c r="L395" s="10"/>
    </row>
    <row r="396" spans="1:12" ht="17" hidden="1">
      <c r="A396" s="3" t="s">
        <v>1721</v>
      </c>
      <c r="B396" s="3" t="s">
        <v>52</v>
      </c>
      <c r="C396" s="3"/>
      <c r="F396"/>
      <c r="G396" t="s">
        <v>95</v>
      </c>
      <c r="H396"/>
      <c r="J396"/>
      <c r="K396"/>
      <c r="L396"/>
    </row>
    <row r="397" spans="1:12" ht="17" hidden="1">
      <c r="A397" s="3" t="s">
        <v>1722</v>
      </c>
      <c r="B397" s="3" t="s">
        <v>1723</v>
      </c>
      <c r="C397" s="3"/>
      <c r="F397"/>
      <c r="G397" t="s">
        <v>95</v>
      </c>
      <c r="H397"/>
      <c r="J397"/>
      <c r="K397"/>
      <c r="L397"/>
    </row>
    <row r="398" spans="1:12" ht="17" hidden="1">
      <c r="A398" s="16" t="s">
        <v>1724</v>
      </c>
      <c r="B398" s="16" t="s">
        <v>1725</v>
      </c>
      <c r="C398" s="16"/>
      <c r="D398" s="17"/>
      <c r="E398" s="17"/>
      <c r="F398" s="18" t="s">
        <v>1726</v>
      </c>
      <c r="G398" s="23" t="s">
        <v>95</v>
      </c>
      <c r="H398" s="23" t="s">
        <v>104</v>
      </c>
      <c r="I398" s="27" t="s">
        <v>977</v>
      </c>
      <c r="J398"/>
      <c r="K398" s="10"/>
      <c r="L398" s="10"/>
    </row>
    <row r="399" spans="1:12" ht="17" hidden="1">
      <c r="A399" s="16" t="s">
        <v>1727</v>
      </c>
      <c r="B399" s="16" t="s">
        <v>1728</v>
      </c>
      <c r="C399" s="16"/>
      <c r="D399" s="17"/>
      <c r="E399" s="17"/>
      <c r="F399" s="18" t="s">
        <v>1726</v>
      </c>
      <c r="G399" s="18" t="s">
        <v>61</v>
      </c>
      <c r="H399" s="23" t="s">
        <v>104</v>
      </c>
      <c r="I399" s="27" t="s">
        <v>977</v>
      </c>
      <c r="J399"/>
      <c r="K399" s="10"/>
      <c r="L399" s="10"/>
    </row>
    <row r="400" spans="1:12" ht="17" hidden="1">
      <c r="A400" s="16" t="s">
        <v>1729</v>
      </c>
      <c r="B400" s="16" t="s">
        <v>1730</v>
      </c>
      <c r="C400" s="16"/>
      <c r="D400" s="17"/>
      <c r="E400" s="17"/>
      <c r="F400" s="18" t="s">
        <v>1726</v>
      </c>
      <c r="G400" s="23" t="s">
        <v>95</v>
      </c>
      <c r="H400" s="23" t="s">
        <v>104</v>
      </c>
      <c r="I400" s="27" t="s">
        <v>977</v>
      </c>
      <c r="J400"/>
      <c r="K400" s="10"/>
      <c r="L400" s="10"/>
    </row>
    <row r="401" spans="1:12" ht="17" hidden="1">
      <c r="A401" s="16" t="s">
        <v>1731</v>
      </c>
      <c r="B401" s="16" t="s">
        <v>1732</v>
      </c>
      <c r="C401" s="16"/>
      <c r="D401" s="17"/>
      <c r="E401" s="17"/>
      <c r="F401" s="18" t="s">
        <v>1726</v>
      </c>
      <c r="G401" s="23" t="s">
        <v>95</v>
      </c>
      <c r="H401" s="23" t="s">
        <v>104</v>
      </c>
      <c r="I401" s="27" t="s">
        <v>977</v>
      </c>
      <c r="J401"/>
      <c r="K401" s="10"/>
      <c r="L401" s="10"/>
    </row>
    <row r="402" spans="1:12" ht="17" hidden="1">
      <c r="A402" s="16" t="s">
        <v>1733</v>
      </c>
      <c r="B402" s="16" t="s">
        <v>1734</v>
      </c>
      <c r="C402" s="16"/>
      <c r="D402" s="17"/>
      <c r="E402" s="17"/>
      <c r="F402" s="18" t="s">
        <v>1726</v>
      </c>
      <c r="G402" s="23" t="s">
        <v>95</v>
      </c>
      <c r="H402" s="23" t="s">
        <v>104</v>
      </c>
      <c r="I402" s="27" t="s">
        <v>977</v>
      </c>
      <c r="J402"/>
      <c r="K402" s="10"/>
      <c r="L402" s="10"/>
    </row>
    <row r="403" spans="1:12" ht="17" hidden="1">
      <c r="A403" s="1" t="s">
        <v>1735</v>
      </c>
      <c r="B403" s="1" t="s">
        <v>1736</v>
      </c>
      <c r="C403" s="1"/>
      <c r="F403"/>
      <c r="G403" t="s">
        <v>95</v>
      </c>
      <c r="H403"/>
      <c r="J403"/>
      <c r="K403"/>
      <c r="L403"/>
    </row>
    <row r="404" spans="1:12" ht="17" hidden="1">
      <c r="A404" s="3" t="s">
        <v>1737</v>
      </c>
      <c r="B404" s="3" t="s">
        <v>1738</v>
      </c>
      <c r="C404" s="3"/>
      <c r="F404"/>
      <c r="G404" t="s">
        <v>95</v>
      </c>
      <c r="H404"/>
      <c r="J404"/>
      <c r="K404"/>
      <c r="L404"/>
    </row>
    <row r="405" spans="1:12" ht="17" hidden="1">
      <c r="A405" s="1" t="s">
        <v>765</v>
      </c>
      <c r="B405" s="1" t="s">
        <v>271</v>
      </c>
      <c r="C405" s="1"/>
      <c r="F405"/>
      <c r="G405" t="s">
        <v>95</v>
      </c>
      <c r="H405"/>
      <c r="J405"/>
      <c r="K405"/>
      <c r="L405"/>
    </row>
    <row r="406" spans="1:12" ht="17" hidden="1">
      <c r="A406" s="3" t="s">
        <v>1739</v>
      </c>
      <c r="B406" s="3" t="s">
        <v>1740</v>
      </c>
      <c r="C406" s="3"/>
      <c r="F406"/>
      <c r="G406" t="s">
        <v>95</v>
      </c>
      <c r="H406"/>
      <c r="J406"/>
      <c r="K406"/>
      <c r="L406"/>
    </row>
    <row r="407" spans="1:12" ht="34" hidden="1">
      <c r="A407" s="3" t="s">
        <v>1741</v>
      </c>
      <c r="B407" s="3" t="s">
        <v>1742</v>
      </c>
      <c r="C407" s="3"/>
      <c r="F407"/>
      <c r="G407" t="s">
        <v>95</v>
      </c>
      <c r="H407"/>
      <c r="J407"/>
      <c r="K407"/>
      <c r="L407"/>
    </row>
    <row r="408" spans="1:12" ht="17" hidden="1">
      <c r="A408" s="16" t="s">
        <v>780</v>
      </c>
      <c r="B408" s="16" t="s">
        <v>771</v>
      </c>
      <c r="C408" s="16"/>
      <c r="D408" s="17"/>
      <c r="E408" s="17" t="s">
        <v>61</v>
      </c>
      <c r="F408" s="17" t="s">
        <v>1743</v>
      </c>
      <c r="G408" s="18" t="s">
        <v>61</v>
      </c>
      <c r="H408" s="23" t="s">
        <v>782</v>
      </c>
      <c r="I408" s="27" t="s">
        <v>977</v>
      </c>
      <c r="J408"/>
      <c r="K408" s="10"/>
      <c r="L408" s="10"/>
    </row>
    <row r="409" spans="1:12" ht="17" hidden="1">
      <c r="A409" s="1" t="s">
        <v>1744</v>
      </c>
      <c r="B409" s="1" t="s">
        <v>1745</v>
      </c>
      <c r="C409" s="1"/>
      <c r="F409"/>
      <c r="G409" t="s">
        <v>95</v>
      </c>
      <c r="H409"/>
      <c r="J409"/>
      <c r="K409"/>
      <c r="L409"/>
    </row>
    <row r="410" spans="1:12" ht="17" hidden="1">
      <c r="A410" s="1" t="s">
        <v>1746</v>
      </c>
      <c r="B410" s="1" t="s">
        <v>1747</v>
      </c>
      <c r="C410" s="1"/>
      <c r="F410"/>
      <c r="G410" t="s">
        <v>95</v>
      </c>
      <c r="H410"/>
      <c r="J410"/>
      <c r="K410"/>
      <c r="L410"/>
    </row>
    <row r="411" spans="1:12" ht="17" hidden="1">
      <c r="A411" s="3" t="s">
        <v>1748</v>
      </c>
      <c r="B411" s="3" t="s">
        <v>1749</v>
      </c>
      <c r="C411" s="3"/>
      <c r="F411"/>
      <c r="G411" t="s">
        <v>95</v>
      </c>
      <c r="H411" t="s">
        <v>104</v>
      </c>
      <c r="J411"/>
      <c r="K411"/>
      <c r="L411"/>
    </row>
    <row r="412" spans="1:12" ht="17" hidden="1">
      <c r="A412" s="3" t="s">
        <v>1750</v>
      </c>
      <c r="B412" s="3" t="s">
        <v>1751</v>
      </c>
      <c r="C412" s="3"/>
      <c r="F412"/>
      <c r="G412" t="s">
        <v>95</v>
      </c>
      <c r="H412"/>
      <c r="J412"/>
      <c r="K412"/>
      <c r="L412"/>
    </row>
    <row r="413" spans="1:12" ht="17" hidden="1">
      <c r="A413" s="1" t="s">
        <v>1752</v>
      </c>
      <c r="B413" s="1" t="s">
        <v>1753</v>
      </c>
      <c r="C413" s="1"/>
      <c r="F413"/>
      <c r="G413" t="s">
        <v>95</v>
      </c>
      <c r="H413"/>
      <c r="J413"/>
      <c r="K413"/>
      <c r="L413"/>
    </row>
    <row r="414" spans="1:12" ht="17" hidden="1">
      <c r="A414" s="3" t="s">
        <v>1754</v>
      </c>
      <c r="B414" s="3" t="s">
        <v>1755</v>
      </c>
      <c r="C414" s="3"/>
      <c r="F414"/>
      <c r="G414" t="s">
        <v>95</v>
      </c>
      <c r="H414"/>
      <c r="J414"/>
      <c r="K414"/>
      <c r="L414"/>
    </row>
    <row r="415" spans="1:12" ht="34" hidden="1">
      <c r="A415" s="16" t="s">
        <v>1756</v>
      </c>
      <c r="B415" s="16" t="s">
        <v>1757</v>
      </c>
      <c r="C415" s="16"/>
      <c r="D415" s="17"/>
      <c r="E415" s="17" t="s">
        <v>61</v>
      </c>
      <c r="F415" s="17"/>
      <c r="G415" s="25" t="s">
        <v>95</v>
      </c>
      <c r="H415" s="21"/>
      <c r="I415" s="18"/>
      <c r="J415"/>
      <c r="K415" s="10"/>
      <c r="L415" s="10"/>
    </row>
    <row r="416" spans="1:12" ht="17" hidden="1">
      <c r="A416" s="16" t="s">
        <v>1758</v>
      </c>
      <c r="B416" s="16" t="s">
        <v>1759</v>
      </c>
      <c r="C416" s="16"/>
      <c r="D416" s="17"/>
      <c r="E416" s="17" t="s">
        <v>61</v>
      </c>
      <c r="F416" s="17"/>
      <c r="G416" s="25" t="s">
        <v>95</v>
      </c>
      <c r="H416" s="21"/>
      <c r="I416" s="18"/>
      <c r="J416"/>
      <c r="K416" s="10"/>
      <c r="L416" s="10"/>
    </row>
    <row r="417" spans="1:12" ht="34" hidden="1">
      <c r="A417" s="16" t="s">
        <v>1760</v>
      </c>
      <c r="B417" s="16" t="s">
        <v>1761</v>
      </c>
      <c r="C417" s="16"/>
      <c r="D417" s="17"/>
      <c r="E417" s="17" t="s">
        <v>61</v>
      </c>
      <c r="F417" s="17"/>
      <c r="G417" s="25" t="s">
        <v>95</v>
      </c>
      <c r="H417" s="21"/>
      <c r="I417" s="18"/>
      <c r="J417"/>
      <c r="K417" s="10"/>
      <c r="L417" s="10"/>
    </row>
    <row r="418" spans="1:12" ht="17" hidden="1">
      <c r="A418" s="1" t="s">
        <v>1762</v>
      </c>
      <c r="B418" s="1" t="s">
        <v>1251</v>
      </c>
      <c r="C418" s="1"/>
      <c r="F418"/>
      <c r="G418" t="s">
        <v>95</v>
      </c>
      <c r="H418"/>
      <c r="J418"/>
      <c r="K418"/>
      <c r="L418"/>
    </row>
    <row r="419" spans="1:12" ht="17" hidden="1">
      <c r="A419" s="1" t="s">
        <v>1763</v>
      </c>
      <c r="B419" s="1" t="s">
        <v>1764</v>
      </c>
      <c r="C419" s="1"/>
      <c r="F419"/>
      <c r="G419" t="s">
        <v>95</v>
      </c>
      <c r="H419"/>
      <c r="J419"/>
      <c r="K419"/>
      <c r="L419"/>
    </row>
    <row r="420" spans="1:12" ht="17" hidden="1">
      <c r="A420" s="1" t="s">
        <v>1765</v>
      </c>
      <c r="B420" s="1" t="s">
        <v>1766</v>
      </c>
      <c r="C420" s="1"/>
      <c r="F420"/>
      <c r="G420" t="s">
        <v>95</v>
      </c>
      <c r="H420"/>
      <c r="J420"/>
      <c r="K420"/>
      <c r="L420"/>
    </row>
    <row r="421" spans="1:12" ht="17" hidden="1">
      <c r="A421" s="3" t="s">
        <v>1767</v>
      </c>
      <c r="B421" s="3" t="s">
        <v>1768</v>
      </c>
      <c r="C421" s="3"/>
      <c r="F421"/>
      <c r="G421" t="s">
        <v>95</v>
      </c>
      <c r="H421"/>
      <c r="J421"/>
      <c r="K421"/>
      <c r="L421"/>
    </row>
    <row r="422" spans="1:12" ht="16">
      <c r="A422" s="45" t="s">
        <v>1769</v>
      </c>
      <c r="B422" s="45" t="s">
        <v>1770</v>
      </c>
      <c r="C422" s="45"/>
      <c r="D422" s="46" t="s">
        <v>1006</v>
      </c>
      <c r="E422" s="46" t="s">
        <v>61</v>
      </c>
      <c r="F422" s="47" t="s">
        <v>1771</v>
      </c>
      <c r="G422" s="26" t="s">
        <v>95</v>
      </c>
      <c r="H422" s="23" t="s">
        <v>172</v>
      </c>
      <c r="I422" s="47" t="s">
        <v>1180</v>
      </c>
      <c r="J422" s="39" t="s">
        <v>978</v>
      </c>
      <c r="K422" s="39" t="s">
        <v>1711</v>
      </c>
      <c r="L422" s="40" t="s">
        <v>1772</v>
      </c>
    </row>
    <row r="423" spans="1:12" ht="16">
      <c r="A423" s="45" t="s">
        <v>1773</v>
      </c>
      <c r="B423" s="45" t="s">
        <v>1081</v>
      </c>
      <c r="C423" s="45"/>
      <c r="D423" s="46" t="s">
        <v>1006</v>
      </c>
      <c r="E423" s="46" t="s">
        <v>61</v>
      </c>
      <c r="F423" s="47" t="s">
        <v>1771</v>
      </c>
      <c r="G423" s="26" t="s">
        <v>95</v>
      </c>
      <c r="H423" s="23" t="s">
        <v>172</v>
      </c>
      <c r="I423" s="47" t="s">
        <v>1180</v>
      </c>
      <c r="J423" s="39" t="s">
        <v>978</v>
      </c>
      <c r="K423" s="39" t="s">
        <v>1711</v>
      </c>
      <c r="L423" s="40" t="s">
        <v>1774</v>
      </c>
    </row>
    <row r="424" spans="1:12" ht="17" hidden="1">
      <c r="A424" s="3" t="s">
        <v>1775</v>
      </c>
      <c r="B424" s="3" t="s">
        <v>1076</v>
      </c>
      <c r="C424" s="3"/>
      <c r="F424"/>
      <c r="G424" t="s">
        <v>95</v>
      </c>
      <c r="H424"/>
      <c r="J424"/>
      <c r="K424"/>
      <c r="L424"/>
    </row>
    <row r="425" spans="1:12" ht="17" hidden="1">
      <c r="A425" s="3" t="s">
        <v>1776</v>
      </c>
      <c r="B425" s="3" t="s">
        <v>1393</v>
      </c>
      <c r="C425" s="3"/>
      <c r="F425"/>
      <c r="G425" t="s">
        <v>95</v>
      </c>
      <c r="H425"/>
      <c r="J425"/>
      <c r="K425"/>
      <c r="L425"/>
    </row>
    <row r="426" spans="1:12" ht="99">
      <c r="A426" s="16" t="s">
        <v>1777</v>
      </c>
      <c r="B426" s="16" t="s">
        <v>1778</v>
      </c>
      <c r="C426" s="16"/>
      <c r="D426" s="17"/>
      <c r="E426" s="17"/>
      <c r="F426" s="18" t="s">
        <v>1779</v>
      </c>
      <c r="G426" s="18" t="s">
        <v>61</v>
      </c>
      <c r="H426" s="18" t="s">
        <v>123</v>
      </c>
      <c r="I426" s="27" t="s">
        <v>977</v>
      </c>
      <c r="J426" t="s">
        <v>1517</v>
      </c>
      <c r="K426" s="10" t="s">
        <v>1780</v>
      </c>
      <c r="L426" s="10" t="s">
        <v>1781</v>
      </c>
    </row>
    <row r="427" spans="1:12" ht="17" hidden="1">
      <c r="A427" s="1" t="s">
        <v>1782</v>
      </c>
      <c r="B427" s="1" t="s">
        <v>85</v>
      </c>
      <c r="C427" s="1"/>
      <c r="F427"/>
      <c r="G427" t="s">
        <v>95</v>
      </c>
      <c r="H427"/>
      <c r="J427"/>
      <c r="K427"/>
      <c r="L427"/>
    </row>
    <row r="428" spans="1:12" ht="17" hidden="1">
      <c r="A428" s="3" t="s">
        <v>1783</v>
      </c>
      <c r="B428" s="3" t="s">
        <v>1784</v>
      </c>
      <c r="C428" s="3"/>
      <c r="F428"/>
      <c r="G428" t="s">
        <v>95</v>
      </c>
      <c r="H428"/>
      <c r="J428"/>
      <c r="K428"/>
      <c r="L428"/>
    </row>
    <row r="429" spans="1:12" ht="17" hidden="1">
      <c r="A429" s="1" t="s">
        <v>1785</v>
      </c>
      <c r="B429" s="1" t="s">
        <v>1786</v>
      </c>
      <c r="C429" s="1"/>
      <c r="F429"/>
      <c r="G429" t="s">
        <v>95</v>
      </c>
      <c r="H429"/>
      <c r="J429"/>
      <c r="K429"/>
      <c r="L429"/>
    </row>
    <row r="430" spans="1:12" ht="17" hidden="1">
      <c r="A430" s="3" t="s">
        <v>1787</v>
      </c>
      <c r="B430" s="3" t="s">
        <v>1788</v>
      </c>
      <c r="C430" s="3"/>
      <c r="F430"/>
      <c r="G430" t="s">
        <v>95</v>
      </c>
      <c r="H430"/>
      <c r="J430"/>
      <c r="K430"/>
      <c r="L430"/>
    </row>
    <row r="431" spans="1:12" ht="17" hidden="1">
      <c r="A431" s="1" t="s">
        <v>794</v>
      </c>
      <c r="B431" s="1" t="s">
        <v>132</v>
      </c>
      <c r="C431" s="1"/>
      <c r="F431"/>
      <c r="G431" t="s">
        <v>95</v>
      </c>
      <c r="H431"/>
      <c r="J431"/>
      <c r="K431"/>
      <c r="L431"/>
    </row>
    <row r="432" spans="1:12" ht="17" hidden="1">
      <c r="A432" s="1" t="s">
        <v>1789</v>
      </c>
      <c r="B432" s="1" t="s">
        <v>1790</v>
      </c>
      <c r="C432" s="1"/>
      <c r="F432"/>
      <c r="G432" t="s">
        <v>95</v>
      </c>
      <c r="H432"/>
      <c r="J432"/>
      <c r="K432"/>
      <c r="L432"/>
    </row>
    <row r="433" spans="1:12" ht="16">
      <c r="A433" s="43" t="s">
        <v>1791</v>
      </c>
      <c r="B433" s="43" t="s">
        <v>296</v>
      </c>
      <c r="C433" s="43"/>
      <c r="D433" s="17" t="s">
        <v>1015</v>
      </c>
      <c r="E433" s="17"/>
      <c r="F433" s="29" t="s">
        <v>1167</v>
      </c>
      <c r="G433" s="23" t="s">
        <v>61</v>
      </c>
      <c r="H433" s="23" t="s">
        <v>172</v>
      </c>
      <c r="I433" s="27" t="s">
        <v>977</v>
      </c>
      <c r="J433" s="39" t="s">
        <v>978</v>
      </c>
      <c r="K433" s="39" t="s">
        <v>1498</v>
      </c>
      <c r="L433" s="40" t="s">
        <v>1792</v>
      </c>
    </row>
    <row r="434" spans="1:12" ht="16">
      <c r="A434" s="43" t="s">
        <v>799</v>
      </c>
      <c r="B434" s="43" t="s">
        <v>800</v>
      </c>
      <c r="C434" s="43"/>
      <c r="D434" s="17" t="s">
        <v>1015</v>
      </c>
      <c r="E434" s="17"/>
      <c r="F434" s="29" t="s">
        <v>1167</v>
      </c>
      <c r="G434" s="23" t="s">
        <v>61</v>
      </c>
      <c r="H434" s="23" t="s">
        <v>172</v>
      </c>
      <c r="I434" s="27" t="s">
        <v>977</v>
      </c>
      <c r="J434" s="39" t="s">
        <v>978</v>
      </c>
      <c r="K434" s="39" t="s">
        <v>1498</v>
      </c>
      <c r="L434" s="40" t="s">
        <v>1793</v>
      </c>
    </row>
    <row r="435" spans="1:12" ht="85">
      <c r="A435" s="16" t="s">
        <v>805</v>
      </c>
      <c r="B435" s="16" t="s">
        <v>1794</v>
      </c>
      <c r="C435" s="16" t="s">
        <v>1795</v>
      </c>
      <c r="D435" s="17"/>
      <c r="E435" s="17"/>
      <c r="F435" s="18" t="s">
        <v>1779</v>
      </c>
      <c r="G435" s="18" t="s">
        <v>61</v>
      </c>
      <c r="H435" s="18" t="s">
        <v>123</v>
      </c>
      <c r="I435" s="28"/>
      <c r="J435" t="s">
        <v>1517</v>
      </c>
      <c r="K435" s="10" t="s">
        <v>1796</v>
      </c>
      <c r="L435" s="10" t="s">
        <v>1797</v>
      </c>
    </row>
    <row r="436" spans="1:12" ht="17" hidden="1">
      <c r="A436" s="1" t="s">
        <v>1798</v>
      </c>
      <c r="B436" s="1" t="s">
        <v>1799</v>
      </c>
      <c r="C436" s="1"/>
      <c r="F436"/>
      <c r="G436" t="s">
        <v>95</v>
      </c>
      <c r="H436"/>
      <c r="J436"/>
      <c r="K436"/>
      <c r="L436"/>
    </row>
    <row r="437" spans="1:12" ht="17" hidden="1">
      <c r="A437" s="3" t="s">
        <v>1800</v>
      </c>
      <c r="B437" s="3" t="s">
        <v>1801</v>
      </c>
      <c r="C437" s="3"/>
      <c r="F437"/>
      <c r="G437" t="s">
        <v>95</v>
      </c>
      <c r="H437"/>
      <c r="J437"/>
      <c r="K437"/>
      <c r="L437"/>
    </row>
    <row r="438" spans="1:12" ht="16">
      <c r="A438" s="43" t="s">
        <v>1802</v>
      </c>
      <c r="B438" s="43" t="s">
        <v>819</v>
      </c>
      <c r="C438" s="43"/>
      <c r="D438" s="17" t="s">
        <v>1154</v>
      </c>
      <c r="E438" s="17" t="s">
        <v>61</v>
      </c>
      <c r="F438" s="32"/>
      <c r="G438" s="23" t="s">
        <v>61</v>
      </c>
      <c r="H438" s="23" t="s">
        <v>172</v>
      </c>
      <c r="I438" s="27" t="s">
        <v>977</v>
      </c>
      <c r="J438" s="39" t="s">
        <v>978</v>
      </c>
      <c r="K438" s="39" t="s">
        <v>1803</v>
      </c>
      <c r="L438" s="40" t="s">
        <v>1804</v>
      </c>
    </row>
    <row r="439" spans="1:12" ht="17" hidden="1">
      <c r="A439" s="3" t="s">
        <v>1805</v>
      </c>
      <c r="B439" s="3" t="s">
        <v>1806</v>
      </c>
      <c r="C439" s="3"/>
      <c r="F439"/>
      <c r="G439" t="s">
        <v>95</v>
      </c>
      <c r="H439"/>
      <c r="J439"/>
      <c r="K439"/>
      <c r="L439"/>
    </row>
    <row r="440" spans="1:12" ht="17" hidden="1">
      <c r="A440" s="1" t="s">
        <v>1807</v>
      </c>
      <c r="B440" s="1" t="s">
        <v>1808</v>
      </c>
      <c r="C440" s="1"/>
      <c r="F440"/>
      <c r="G440" t="s">
        <v>95</v>
      </c>
      <c r="H440"/>
      <c r="J440"/>
      <c r="K440"/>
      <c r="L440"/>
    </row>
    <row r="441" spans="1:12" ht="17" hidden="1">
      <c r="A441" s="1" t="s">
        <v>1809</v>
      </c>
      <c r="B441" s="1" t="s">
        <v>1810</v>
      </c>
      <c r="C441" s="1"/>
      <c r="F441"/>
      <c r="G441" t="s">
        <v>95</v>
      </c>
      <c r="H441"/>
      <c r="J441"/>
      <c r="K441"/>
      <c r="L441"/>
    </row>
    <row r="442" spans="1:12" ht="17" hidden="1">
      <c r="A442" s="16" t="s">
        <v>1811</v>
      </c>
      <c r="B442" s="16" t="s">
        <v>1812</v>
      </c>
      <c r="C442" s="16"/>
      <c r="D442" s="17"/>
      <c r="E442" s="17" t="s">
        <v>61</v>
      </c>
      <c r="F442" s="18"/>
      <c r="G442" s="25" t="s">
        <v>95</v>
      </c>
      <c r="H442" s="21"/>
      <c r="I442" s="18"/>
      <c r="J442"/>
      <c r="K442" s="10"/>
      <c r="L442" s="10"/>
    </row>
    <row r="443" spans="1:12" ht="16">
      <c r="A443" s="43" t="s">
        <v>1813</v>
      </c>
      <c r="B443" s="43" t="s">
        <v>1814</v>
      </c>
      <c r="C443" s="43"/>
      <c r="D443" s="17" t="s">
        <v>986</v>
      </c>
      <c r="E443" s="17"/>
      <c r="F443" s="29"/>
      <c r="G443" s="25" t="s">
        <v>95</v>
      </c>
      <c r="H443" s="23" t="s">
        <v>172</v>
      </c>
      <c r="I443" s="27" t="s">
        <v>977</v>
      </c>
      <c r="J443" s="39" t="s">
        <v>978</v>
      </c>
      <c r="K443" s="39" t="s">
        <v>1815</v>
      </c>
      <c r="L443" s="40" t="s">
        <v>1816</v>
      </c>
    </row>
    <row r="444" spans="1:12" ht="17" hidden="1">
      <c r="A444" s="3" t="s">
        <v>1817</v>
      </c>
      <c r="B444" s="3" t="s">
        <v>1818</v>
      </c>
      <c r="C444" s="3"/>
      <c r="F444"/>
      <c r="G444" t="s">
        <v>95</v>
      </c>
      <c r="H444"/>
      <c r="J444"/>
      <c r="K444"/>
      <c r="L444"/>
    </row>
    <row r="445" spans="1:12" ht="17" hidden="1">
      <c r="A445" s="1" t="s">
        <v>824</v>
      </c>
      <c r="B445" s="1" t="s">
        <v>1819</v>
      </c>
      <c r="C445" s="1"/>
      <c r="F445"/>
      <c r="G445" t="s">
        <v>95</v>
      </c>
      <c r="H445" t="s">
        <v>104</v>
      </c>
      <c r="J445"/>
      <c r="K445"/>
      <c r="L445"/>
    </row>
    <row r="446" spans="1:12" ht="17" hidden="1">
      <c r="A446" s="1" t="s">
        <v>1820</v>
      </c>
      <c r="B446" s="1" t="s">
        <v>1821</v>
      </c>
      <c r="C446" s="1"/>
      <c r="F446"/>
      <c r="G446" t="s">
        <v>95</v>
      </c>
      <c r="H446"/>
      <c r="J446"/>
      <c r="K446"/>
      <c r="L446"/>
    </row>
    <row r="447" spans="1:12" ht="17" hidden="1">
      <c r="A447" s="3" t="s">
        <v>1822</v>
      </c>
      <c r="B447" s="3" t="s">
        <v>1823</v>
      </c>
      <c r="C447" s="3"/>
      <c r="F447"/>
      <c r="G447" t="s">
        <v>95</v>
      </c>
      <c r="H447"/>
      <c r="J447"/>
      <c r="K447"/>
      <c r="L447"/>
    </row>
    <row r="448" spans="1:12" ht="34" hidden="1">
      <c r="A448" s="16" t="s">
        <v>1824</v>
      </c>
      <c r="B448" s="16" t="s">
        <v>1825</v>
      </c>
      <c r="C448" s="16"/>
      <c r="D448" s="17"/>
      <c r="E448" s="17"/>
      <c r="F448" s="18" t="s">
        <v>1826</v>
      </c>
      <c r="G448" s="18" t="s">
        <v>61</v>
      </c>
      <c r="H448" s="18" t="s">
        <v>123</v>
      </c>
      <c r="I448" s="27" t="s">
        <v>977</v>
      </c>
      <c r="J448"/>
      <c r="K448" s="10"/>
      <c r="L448" s="10"/>
    </row>
    <row r="449" spans="1:12" ht="17" hidden="1">
      <c r="A449" s="3" t="s">
        <v>1827</v>
      </c>
      <c r="B449" s="3" t="s">
        <v>1828</v>
      </c>
      <c r="C449" s="3"/>
      <c r="F449"/>
      <c r="G449" t="s">
        <v>95</v>
      </c>
      <c r="H449"/>
      <c r="J449"/>
      <c r="K449"/>
      <c r="L449"/>
    </row>
    <row r="450" spans="1:12" ht="17" hidden="1">
      <c r="A450" s="1" t="s">
        <v>1829</v>
      </c>
      <c r="B450" s="1" t="s">
        <v>1830</v>
      </c>
      <c r="C450" s="1"/>
      <c r="F450"/>
      <c r="G450" t="s">
        <v>95</v>
      </c>
      <c r="H450"/>
      <c r="J450"/>
      <c r="K450"/>
      <c r="L450"/>
    </row>
    <row r="451" spans="1:12" ht="17" hidden="1">
      <c r="A451" s="3" t="s">
        <v>1831</v>
      </c>
      <c r="B451" s="3" t="s">
        <v>296</v>
      </c>
      <c r="C451" s="3"/>
      <c r="F451"/>
      <c r="G451" t="s">
        <v>95</v>
      </c>
      <c r="H451"/>
      <c r="J451"/>
      <c r="K451"/>
      <c r="L451"/>
    </row>
    <row r="452" spans="1:12" ht="17" hidden="1">
      <c r="A452" s="3" t="s">
        <v>1832</v>
      </c>
      <c r="B452" s="3" t="s">
        <v>1833</v>
      </c>
      <c r="C452" s="3"/>
      <c r="F452"/>
      <c r="G452" t="s">
        <v>95</v>
      </c>
      <c r="H452"/>
      <c r="J452"/>
      <c r="K452"/>
      <c r="L452"/>
    </row>
    <row r="453" spans="1:12" ht="17" hidden="1">
      <c r="A453" s="16" t="s">
        <v>1834</v>
      </c>
      <c r="B453" s="16" t="s">
        <v>52</v>
      </c>
      <c r="C453" s="16"/>
      <c r="D453" s="17"/>
      <c r="E453" s="17"/>
      <c r="F453" s="20" t="s">
        <v>1040</v>
      </c>
      <c r="G453" s="23" t="s">
        <v>61</v>
      </c>
      <c r="H453" s="21"/>
      <c r="I453" s="27" t="s">
        <v>977</v>
      </c>
      <c r="J453"/>
      <c r="K453" s="10"/>
      <c r="L453" s="10"/>
    </row>
    <row r="454" spans="1:12" ht="16">
      <c r="A454" s="43" t="s">
        <v>836</v>
      </c>
      <c r="B454" s="43" t="s">
        <v>837</v>
      </c>
      <c r="C454" s="43"/>
      <c r="D454" s="17" t="s">
        <v>1022</v>
      </c>
      <c r="E454" s="17"/>
      <c r="F454" s="18" t="s">
        <v>1167</v>
      </c>
      <c r="G454" s="23" t="s">
        <v>61</v>
      </c>
      <c r="H454" s="23" t="s">
        <v>172</v>
      </c>
      <c r="I454" s="27" t="s">
        <v>977</v>
      </c>
      <c r="J454" s="39" t="s">
        <v>978</v>
      </c>
      <c r="K454" s="39" t="s">
        <v>1835</v>
      </c>
      <c r="L454" s="40" t="s">
        <v>1836</v>
      </c>
    </row>
    <row r="455" spans="1:12" ht="17" hidden="1">
      <c r="A455" s="3" t="s">
        <v>1837</v>
      </c>
      <c r="B455" s="3" t="s">
        <v>1838</v>
      </c>
      <c r="C455" s="3"/>
      <c r="F455"/>
      <c r="G455" t="s">
        <v>95</v>
      </c>
      <c r="H455"/>
      <c r="J455"/>
      <c r="K455"/>
      <c r="L455"/>
    </row>
    <row r="456" spans="1:12" ht="17" hidden="1">
      <c r="A456" s="3" t="s">
        <v>1839</v>
      </c>
      <c r="B456" s="3" t="s">
        <v>1254</v>
      </c>
      <c r="C456" s="3"/>
      <c r="F456"/>
      <c r="G456" t="s">
        <v>95</v>
      </c>
      <c r="H456"/>
      <c r="J456"/>
      <c r="K456"/>
      <c r="L456"/>
    </row>
    <row r="457" spans="1:12" ht="16">
      <c r="A457" s="45" t="s">
        <v>1840</v>
      </c>
      <c r="B457" s="45" t="s">
        <v>1841</v>
      </c>
      <c r="C457" s="45"/>
      <c r="D457" s="46" t="s">
        <v>1022</v>
      </c>
      <c r="E457" s="46"/>
      <c r="F457" s="47" t="s">
        <v>1167</v>
      </c>
      <c r="G457" s="26" t="s">
        <v>61</v>
      </c>
      <c r="H457" s="23" t="s">
        <v>172</v>
      </c>
      <c r="I457" s="47" t="s">
        <v>1439</v>
      </c>
      <c r="J457" s="39" t="s">
        <v>978</v>
      </c>
      <c r="K457" s="39" t="s">
        <v>1842</v>
      </c>
      <c r="L457" s="40" t="s">
        <v>1843</v>
      </c>
    </row>
    <row r="458" spans="1:12" ht="99">
      <c r="A458" s="16" t="s">
        <v>1844</v>
      </c>
      <c r="B458" s="16" t="s">
        <v>344</v>
      </c>
      <c r="C458" s="16" t="s">
        <v>1845</v>
      </c>
      <c r="D458" s="17"/>
      <c r="E458" s="17"/>
      <c r="F458" s="18" t="s">
        <v>1846</v>
      </c>
      <c r="G458" s="18" t="s">
        <v>61</v>
      </c>
      <c r="H458" s="18" t="s">
        <v>123</v>
      </c>
      <c r="I458" s="27" t="s">
        <v>977</v>
      </c>
      <c r="J458" t="s">
        <v>1517</v>
      </c>
      <c r="K458" s="10" t="s">
        <v>1847</v>
      </c>
      <c r="L458" s="10" t="s">
        <v>1848</v>
      </c>
    </row>
    <row r="459" spans="1:12" ht="127">
      <c r="A459" s="16" t="s">
        <v>1849</v>
      </c>
      <c r="B459" s="16" t="s">
        <v>1850</v>
      </c>
      <c r="C459" s="16" t="s">
        <v>1851</v>
      </c>
      <c r="D459" s="17"/>
      <c r="E459" s="17"/>
      <c r="F459" s="18" t="s">
        <v>1852</v>
      </c>
      <c r="G459" s="23" t="s">
        <v>95</v>
      </c>
      <c r="H459" s="18" t="s">
        <v>123</v>
      </c>
      <c r="I459" s="27" t="s">
        <v>977</v>
      </c>
      <c r="J459" t="s">
        <v>1517</v>
      </c>
      <c r="K459" s="10" t="s">
        <v>1853</v>
      </c>
      <c r="L459" s="10"/>
    </row>
    <row r="460" spans="1:12" ht="155">
      <c r="A460" s="16" t="s">
        <v>1854</v>
      </c>
      <c r="B460" s="16" t="s">
        <v>1855</v>
      </c>
      <c r="C460" s="16" t="s">
        <v>1856</v>
      </c>
      <c r="D460" s="17"/>
      <c r="E460" s="17"/>
      <c r="F460" s="18" t="s">
        <v>1852</v>
      </c>
      <c r="G460" s="23" t="s">
        <v>95</v>
      </c>
      <c r="H460" s="18" t="s">
        <v>123</v>
      </c>
      <c r="I460" s="27" t="s">
        <v>977</v>
      </c>
      <c r="J460" t="s">
        <v>1517</v>
      </c>
      <c r="K460" s="10" t="s">
        <v>1857</v>
      </c>
      <c r="L460" s="10"/>
    </row>
    <row r="461" spans="1:12" ht="99">
      <c r="A461" s="16" t="s">
        <v>1858</v>
      </c>
      <c r="B461" s="16" t="s">
        <v>85</v>
      </c>
      <c r="C461" s="16" t="s">
        <v>1859</v>
      </c>
      <c r="D461" s="17"/>
      <c r="E461" s="17"/>
      <c r="F461" s="18" t="s">
        <v>1852</v>
      </c>
      <c r="G461" s="23" t="s">
        <v>95</v>
      </c>
      <c r="H461" s="18" t="s">
        <v>123</v>
      </c>
      <c r="I461" s="27" t="s">
        <v>977</v>
      </c>
      <c r="J461" t="s">
        <v>1517</v>
      </c>
      <c r="K461" s="10" t="s">
        <v>1860</v>
      </c>
      <c r="L461" s="10"/>
    </row>
    <row r="462" spans="1:12" ht="17" hidden="1">
      <c r="A462" s="3" t="s">
        <v>1861</v>
      </c>
      <c r="B462" s="3" t="s">
        <v>1290</v>
      </c>
      <c r="C462" s="3"/>
      <c r="F462"/>
      <c r="G462" t="s">
        <v>95</v>
      </c>
      <c r="H462"/>
      <c r="J462"/>
      <c r="K462"/>
      <c r="L462"/>
    </row>
    <row r="463" spans="1:12" ht="17" hidden="1">
      <c r="A463" s="1" t="s">
        <v>844</v>
      </c>
      <c r="B463" s="1" t="s">
        <v>567</v>
      </c>
      <c r="C463" s="1"/>
      <c r="F463"/>
      <c r="G463" t="s">
        <v>95</v>
      </c>
      <c r="H463"/>
      <c r="J463"/>
      <c r="K463"/>
      <c r="L463"/>
    </row>
    <row r="464" spans="1:12" ht="17" hidden="1">
      <c r="A464" s="1" t="s">
        <v>1862</v>
      </c>
      <c r="B464" s="1" t="s">
        <v>1863</v>
      </c>
      <c r="C464" s="1"/>
      <c r="F464"/>
      <c r="G464" t="s">
        <v>95</v>
      </c>
      <c r="H464"/>
      <c r="J464"/>
      <c r="K464"/>
      <c r="L464"/>
    </row>
    <row r="465" spans="1:12" ht="17" hidden="1">
      <c r="A465" s="1" t="s">
        <v>861</v>
      </c>
      <c r="B465" s="1" t="s">
        <v>862</v>
      </c>
      <c r="C465" s="1"/>
      <c r="F465"/>
      <c r="G465" t="s">
        <v>95</v>
      </c>
      <c r="H465"/>
      <c r="J465"/>
      <c r="K465"/>
      <c r="L465"/>
    </row>
    <row r="466" spans="1:12" ht="17" hidden="1">
      <c r="A466" s="1" t="s">
        <v>1864</v>
      </c>
      <c r="B466" s="1" t="s">
        <v>1865</v>
      </c>
      <c r="C466" s="1"/>
      <c r="F466"/>
      <c r="G466" t="s">
        <v>95</v>
      </c>
      <c r="H466"/>
      <c r="J466"/>
      <c r="K466"/>
      <c r="L466"/>
    </row>
    <row r="467" spans="1:12" ht="17" hidden="1">
      <c r="A467" s="3" t="s">
        <v>1866</v>
      </c>
      <c r="B467" s="3" t="s">
        <v>271</v>
      </c>
      <c r="C467" s="3"/>
      <c r="F467"/>
      <c r="G467" t="s">
        <v>95</v>
      </c>
      <c r="H467"/>
      <c r="J467"/>
      <c r="K467"/>
      <c r="L467"/>
    </row>
    <row r="468" spans="1:12" ht="17" hidden="1">
      <c r="A468" s="1" t="s">
        <v>1867</v>
      </c>
      <c r="B468" s="1" t="s">
        <v>1868</v>
      </c>
      <c r="C468" s="1"/>
      <c r="F468"/>
      <c r="G468" t="s">
        <v>95</v>
      </c>
      <c r="H468"/>
      <c r="J468"/>
      <c r="K468"/>
      <c r="L468"/>
    </row>
    <row r="469" spans="1:12" ht="17" hidden="1">
      <c r="A469" s="1" t="s">
        <v>1869</v>
      </c>
      <c r="B469" s="1" t="s">
        <v>1870</v>
      </c>
      <c r="C469" s="1"/>
      <c r="F469"/>
      <c r="G469" t="s">
        <v>95</v>
      </c>
      <c r="H469"/>
      <c r="J469"/>
      <c r="K469"/>
      <c r="L469"/>
    </row>
    <row r="470" spans="1:12" ht="17" hidden="1">
      <c r="A470" s="1" t="s">
        <v>1871</v>
      </c>
      <c r="B470" s="1" t="s">
        <v>296</v>
      </c>
      <c r="C470" s="1"/>
      <c r="F470"/>
      <c r="G470" t="s">
        <v>95</v>
      </c>
      <c r="H470"/>
      <c r="J470"/>
      <c r="K470"/>
      <c r="L470"/>
    </row>
    <row r="471" spans="1:12" ht="17" hidden="1">
      <c r="A471" s="3" t="s">
        <v>1872</v>
      </c>
      <c r="B471" s="3" t="s">
        <v>1680</v>
      </c>
      <c r="C471" s="3"/>
      <c r="F471"/>
      <c r="G471" t="s">
        <v>95</v>
      </c>
      <c r="H471"/>
      <c r="J471"/>
      <c r="K471"/>
      <c r="L471"/>
    </row>
    <row r="472" spans="1:12" ht="17" hidden="1">
      <c r="A472" s="1" t="s">
        <v>1873</v>
      </c>
      <c r="B472" s="1" t="s">
        <v>1874</v>
      </c>
      <c r="C472" s="1"/>
      <c r="F472"/>
      <c r="G472" t="s">
        <v>95</v>
      </c>
      <c r="H472"/>
      <c r="J472"/>
      <c r="K472"/>
      <c r="L472"/>
    </row>
    <row r="473" spans="1:12" ht="17" hidden="1">
      <c r="A473" s="1" t="s">
        <v>869</v>
      </c>
      <c r="B473" s="1" t="s">
        <v>567</v>
      </c>
      <c r="C473" s="1"/>
      <c r="F473"/>
      <c r="G473" t="s">
        <v>95</v>
      </c>
      <c r="H473"/>
      <c r="J473"/>
      <c r="K473"/>
      <c r="L473"/>
    </row>
    <row r="474" spans="1:12" ht="17" hidden="1">
      <c r="A474" s="3" t="s">
        <v>1875</v>
      </c>
      <c r="B474" s="3" t="s">
        <v>296</v>
      </c>
      <c r="C474" s="3"/>
      <c r="F474"/>
      <c r="G474" t="s">
        <v>95</v>
      </c>
      <c r="H474"/>
      <c r="J474"/>
      <c r="K474"/>
      <c r="L474"/>
    </row>
    <row r="475" spans="1:12" ht="17" hidden="1">
      <c r="A475" s="3" t="s">
        <v>1876</v>
      </c>
      <c r="B475" s="3" t="s">
        <v>1877</v>
      </c>
      <c r="C475" s="3"/>
      <c r="F475"/>
      <c r="G475" t="s">
        <v>95</v>
      </c>
      <c r="H475"/>
      <c r="J475"/>
      <c r="K475"/>
      <c r="L475"/>
    </row>
    <row r="476" spans="1:12" ht="17" hidden="1">
      <c r="A476" s="3" t="s">
        <v>1878</v>
      </c>
      <c r="B476" s="3" t="s">
        <v>1879</v>
      </c>
      <c r="C476" s="3"/>
      <c r="F476"/>
      <c r="G476" t="s">
        <v>95</v>
      </c>
      <c r="H476"/>
      <c r="J476"/>
      <c r="K476"/>
      <c r="L476"/>
    </row>
    <row r="477" spans="1:12" ht="17" hidden="1">
      <c r="A477" s="3" t="s">
        <v>1880</v>
      </c>
      <c r="B477" s="3" t="s">
        <v>1254</v>
      </c>
      <c r="C477" s="3"/>
      <c r="F477"/>
      <c r="G477" t="s">
        <v>95</v>
      </c>
      <c r="H477"/>
      <c r="J477"/>
      <c r="K477"/>
      <c r="L477"/>
    </row>
    <row r="478" spans="1:12" ht="155">
      <c r="A478" s="16" t="s">
        <v>874</v>
      </c>
      <c r="B478" s="16" t="s">
        <v>882</v>
      </c>
      <c r="C478" s="16"/>
      <c r="D478" s="17"/>
      <c r="E478" s="17"/>
      <c r="F478" s="18" t="s">
        <v>1881</v>
      </c>
      <c r="G478" s="18" t="s">
        <v>61</v>
      </c>
      <c r="H478" s="18" t="s">
        <v>123</v>
      </c>
      <c r="I478" s="27" t="s">
        <v>977</v>
      </c>
      <c r="J478" t="s">
        <v>1517</v>
      </c>
      <c r="K478" s="10" t="s">
        <v>1882</v>
      </c>
      <c r="L478" s="10" t="s">
        <v>1883</v>
      </c>
    </row>
    <row r="479" spans="1:12" ht="17" hidden="1">
      <c r="A479" s="16" t="s">
        <v>905</v>
      </c>
      <c r="B479" s="16" t="s">
        <v>264</v>
      </c>
      <c r="C479" s="16"/>
      <c r="D479" s="17"/>
      <c r="E479" s="17"/>
      <c r="F479" s="18" t="s">
        <v>1884</v>
      </c>
      <c r="G479" s="18" t="s">
        <v>61</v>
      </c>
      <c r="H479" s="18" t="s">
        <v>55</v>
      </c>
      <c r="I479" s="28"/>
      <c r="J479"/>
      <c r="K479" s="10"/>
      <c r="L479" s="10"/>
    </row>
    <row r="480" spans="1:12" ht="17" hidden="1">
      <c r="A480" s="1" t="s">
        <v>1885</v>
      </c>
      <c r="B480" s="1" t="s">
        <v>1886</v>
      </c>
      <c r="C480" s="1"/>
      <c r="F480"/>
      <c r="G480" t="s">
        <v>95</v>
      </c>
      <c r="H480"/>
      <c r="J480"/>
      <c r="K480"/>
      <c r="L480"/>
    </row>
    <row r="481" spans="1:8" customFormat="1" ht="17" hidden="1">
      <c r="A481" s="3" t="s">
        <v>908</v>
      </c>
      <c r="B481" s="3" t="s">
        <v>1887</v>
      </c>
      <c r="C481" s="3"/>
      <c r="G481" t="s">
        <v>95</v>
      </c>
      <c r="H481" t="s">
        <v>104</v>
      </c>
    </row>
    <row r="482" spans="1:8" customFormat="1" ht="17" hidden="1">
      <c r="A482" s="3" t="s">
        <v>1888</v>
      </c>
      <c r="B482" s="3" t="s">
        <v>862</v>
      </c>
      <c r="C482" s="3"/>
      <c r="G482" t="s">
        <v>95</v>
      </c>
    </row>
    <row r="483" spans="1:8" customFormat="1" ht="17" hidden="1">
      <c r="A483" s="1" t="s">
        <v>1889</v>
      </c>
      <c r="B483" s="1" t="s">
        <v>1890</v>
      </c>
      <c r="C483" s="1"/>
      <c r="G483" t="s">
        <v>95</v>
      </c>
    </row>
    <row r="484" spans="1:8" customFormat="1" ht="17" hidden="1">
      <c r="A484" s="3" t="s">
        <v>1891</v>
      </c>
      <c r="B484" s="3" t="s">
        <v>1892</v>
      </c>
      <c r="C484" s="3"/>
      <c r="G484" t="s">
        <v>95</v>
      </c>
    </row>
    <row r="485" spans="1:8" customFormat="1" ht="17" hidden="1">
      <c r="A485" s="1" t="s">
        <v>1893</v>
      </c>
      <c r="B485" s="1" t="s">
        <v>1894</v>
      </c>
      <c r="C485" s="1"/>
      <c r="G485" t="s">
        <v>95</v>
      </c>
    </row>
    <row r="486" spans="1:8" customFormat="1" ht="17" hidden="1">
      <c r="A486" s="1" t="s">
        <v>1895</v>
      </c>
      <c r="B486" s="1" t="s">
        <v>1896</v>
      </c>
      <c r="C486" s="1"/>
      <c r="G486" t="s">
        <v>95</v>
      </c>
    </row>
    <row r="487" spans="1:8" customFormat="1" ht="17" hidden="1">
      <c r="A487" s="3" t="s">
        <v>1897</v>
      </c>
      <c r="B487" s="3" t="s">
        <v>1898</v>
      </c>
      <c r="C487" s="3"/>
      <c r="G487" t="s">
        <v>95</v>
      </c>
    </row>
    <row r="488" spans="1:8" customFormat="1" ht="17" hidden="1">
      <c r="A488" s="3" t="s">
        <v>911</v>
      </c>
      <c r="B488" s="3" t="s">
        <v>912</v>
      </c>
      <c r="C488" s="3"/>
      <c r="G488" t="s">
        <v>95</v>
      </c>
    </row>
    <row r="489" spans="1:8" customFormat="1" ht="17" hidden="1">
      <c r="A489" s="1" t="s">
        <v>1899</v>
      </c>
      <c r="B489" s="1" t="s">
        <v>1054</v>
      </c>
      <c r="C489" s="1"/>
      <c r="G489" t="s">
        <v>95</v>
      </c>
    </row>
    <row r="490" spans="1:8" customFormat="1" ht="17" hidden="1">
      <c r="A490" s="3" t="s">
        <v>1900</v>
      </c>
      <c r="B490" s="3" t="s">
        <v>1391</v>
      </c>
      <c r="C490" s="3"/>
      <c r="G490" t="s">
        <v>95</v>
      </c>
    </row>
    <row r="491" spans="1:8" customFormat="1" ht="34" hidden="1">
      <c r="A491" s="1" t="s">
        <v>1901</v>
      </c>
      <c r="B491" s="1" t="s">
        <v>1902</v>
      </c>
      <c r="C491" s="1"/>
      <c r="G491" t="s">
        <v>95</v>
      </c>
    </row>
    <row r="492" spans="1:8" customFormat="1" ht="17" hidden="1">
      <c r="A492" s="3" t="s">
        <v>1903</v>
      </c>
      <c r="B492" s="3" t="s">
        <v>1904</v>
      </c>
      <c r="C492" s="3"/>
      <c r="G492" t="s">
        <v>95</v>
      </c>
    </row>
    <row r="493" spans="1:8" customFormat="1" ht="17" hidden="1">
      <c r="A493" s="1" t="s">
        <v>1905</v>
      </c>
      <c r="B493" s="1" t="s">
        <v>1830</v>
      </c>
      <c r="C493" s="1"/>
      <c r="G493" t="s">
        <v>95</v>
      </c>
    </row>
    <row r="494" spans="1:8" customFormat="1" ht="17" hidden="1">
      <c r="A494" s="1" t="s">
        <v>1906</v>
      </c>
      <c r="B494" s="1" t="s">
        <v>1369</v>
      </c>
      <c r="C494" s="1"/>
      <c r="G494" t="s">
        <v>95</v>
      </c>
    </row>
    <row r="495" spans="1:8" customFormat="1" ht="34" hidden="1">
      <c r="A495" s="3" t="s">
        <v>1907</v>
      </c>
      <c r="B495" s="3" t="s">
        <v>1908</v>
      </c>
      <c r="C495" s="3"/>
      <c r="G495" t="s">
        <v>95</v>
      </c>
    </row>
    <row r="496" spans="1:8" customFormat="1" ht="17" hidden="1">
      <c r="A496" s="1" t="s">
        <v>1909</v>
      </c>
      <c r="B496" s="1" t="s">
        <v>1910</v>
      </c>
      <c r="C496" s="1"/>
      <c r="G496" t="s">
        <v>95</v>
      </c>
    </row>
    <row r="497" spans="1:12" ht="17" hidden="1">
      <c r="A497" s="1" t="s">
        <v>1911</v>
      </c>
      <c r="B497" s="1" t="s">
        <v>1912</v>
      </c>
      <c r="C497" s="1"/>
      <c r="F497"/>
      <c r="G497" t="s">
        <v>95</v>
      </c>
      <c r="H497"/>
      <c r="J497"/>
      <c r="K497"/>
      <c r="L497"/>
    </row>
    <row r="498" spans="1:12" ht="17" hidden="1">
      <c r="A498" s="1" t="s">
        <v>1913</v>
      </c>
      <c r="B498" s="1" t="s">
        <v>1914</v>
      </c>
      <c r="C498" s="1"/>
      <c r="F498"/>
      <c r="G498" t="s">
        <v>95</v>
      </c>
      <c r="H498"/>
      <c r="J498"/>
      <c r="K498"/>
      <c r="L498"/>
    </row>
    <row r="499" spans="1:12" ht="17" hidden="1">
      <c r="A499" s="16" t="s">
        <v>1915</v>
      </c>
      <c r="B499" s="16" t="s">
        <v>1916</v>
      </c>
      <c r="C499" s="16"/>
      <c r="D499" s="17"/>
      <c r="E499" s="17"/>
      <c r="F499" s="17"/>
      <c r="G499" s="23" t="s">
        <v>95</v>
      </c>
      <c r="H499" s="23" t="s">
        <v>104</v>
      </c>
      <c r="I499" s="18"/>
      <c r="J499"/>
      <c r="K499" s="10"/>
      <c r="L499" s="10"/>
    </row>
    <row r="500" spans="1:12" ht="17" hidden="1">
      <c r="A500" s="1" t="s">
        <v>1917</v>
      </c>
      <c r="B500" s="1" t="s">
        <v>1918</v>
      </c>
      <c r="C500" s="1"/>
      <c r="F500"/>
      <c r="G500" t="s">
        <v>95</v>
      </c>
      <c r="H500"/>
      <c r="J500"/>
      <c r="K500"/>
      <c r="L500"/>
    </row>
    <row r="501" spans="1:12" hidden="1">
      <c r="F501"/>
      <c r="G501" t="e">
        <f>VLOOKUP(Table13[[#This Row],[Company Name]],Sheet1!B:B,1,FALSE)</f>
        <v>#N/A</v>
      </c>
      <c r="H501"/>
      <c r="J501"/>
      <c r="K501"/>
      <c r="L501"/>
    </row>
    <row r="502" spans="1:12" hidden="1">
      <c r="F502"/>
      <c r="G502"/>
      <c r="H502"/>
      <c r="J502"/>
      <c r="K502"/>
      <c r="L502"/>
    </row>
    <row r="503" spans="1:12" hidden="1">
      <c r="F503"/>
      <c r="G503"/>
      <c r="H503"/>
      <c r="J503"/>
      <c r="K503"/>
      <c r="L503"/>
    </row>
  </sheetData>
  <conditionalFormatting sqref="J2:J503">
    <cfRule type="containsText" dxfId="0" priority="1" operator="containsText" text="sent">
      <formula>NOT(ISERROR(SEARCH("sent",J2)))</formula>
    </cfRule>
  </conditionalFormatting>
  <pageMargins left="0.75" right="0.75" top="1" bottom="1" header="0.5" footer="0.5"/>
  <pageSetup orientation="portrait"/>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B628-9024-4ADE-A00F-D255E4D5A5A2}">
  <dimension ref="A1:G25"/>
  <sheetViews>
    <sheetView workbookViewId="0"/>
  </sheetViews>
  <sheetFormatPr baseColWidth="10" defaultColWidth="10.83203125" defaultRowHeight="16"/>
  <cols>
    <col min="1" max="1" width="18.6640625" style="61" bestFit="1" customWidth="1"/>
    <col min="2" max="2" width="12.83203125" style="58" customWidth="1"/>
    <col min="3" max="3" width="13.33203125" style="58" customWidth="1"/>
    <col min="4" max="4" width="33.33203125" style="58" customWidth="1"/>
    <col min="5" max="5" width="25.1640625" style="58" customWidth="1"/>
    <col min="6" max="6" width="68" style="58" customWidth="1"/>
    <col min="7" max="16384" width="10.83203125" style="58"/>
  </cols>
  <sheetData>
    <row r="1" spans="1:7" ht="17">
      <c r="A1" s="53" t="s">
        <v>1919</v>
      </c>
      <c r="B1" s="62" t="s">
        <v>0</v>
      </c>
      <c r="C1" s="62" t="s">
        <v>1</v>
      </c>
      <c r="D1" s="62" t="s">
        <v>4</v>
      </c>
      <c r="E1" s="62" t="s">
        <v>1920</v>
      </c>
      <c r="F1" s="62" t="s">
        <v>1921</v>
      </c>
      <c r="G1" s="57" t="s">
        <v>1922</v>
      </c>
    </row>
    <row r="2" spans="1:7" ht="17">
      <c r="A2" s="54" t="s">
        <v>1923</v>
      </c>
      <c r="B2" s="56" t="s">
        <v>709</v>
      </c>
      <c r="C2" s="56" t="s">
        <v>1924</v>
      </c>
      <c r="D2" s="56" t="s">
        <v>1925</v>
      </c>
      <c r="E2" s="56" t="s">
        <v>51</v>
      </c>
      <c r="F2" s="56" t="s">
        <v>1926</v>
      </c>
      <c r="G2" s="52" t="s">
        <v>55</v>
      </c>
    </row>
    <row r="3" spans="1:7" ht="51">
      <c r="A3" s="54" t="s">
        <v>1923</v>
      </c>
      <c r="B3" s="56" t="s">
        <v>1927</v>
      </c>
      <c r="C3" s="56" t="s">
        <v>1928</v>
      </c>
      <c r="D3" s="56" t="s">
        <v>70</v>
      </c>
      <c r="E3" s="56" t="s">
        <v>69</v>
      </c>
      <c r="F3" s="56" t="s">
        <v>1929</v>
      </c>
      <c r="G3" s="52" t="s">
        <v>55</v>
      </c>
    </row>
    <row r="4" spans="1:7" ht="17">
      <c r="A4" s="54" t="s">
        <v>1923</v>
      </c>
      <c r="B4" s="56" t="s">
        <v>1930</v>
      </c>
      <c r="C4" s="56" t="s">
        <v>1931</v>
      </c>
      <c r="D4" s="56" t="s">
        <v>990</v>
      </c>
      <c r="E4" s="56" t="s">
        <v>989</v>
      </c>
      <c r="F4" s="56" t="s">
        <v>1932</v>
      </c>
      <c r="G4" s="52" t="s">
        <v>55</v>
      </c>
    </row>
    <row r="5" spans="1:7" ht="34">
      <c r="A5" s="54" t="s">
        <v>1923</v>
      </c>
      <c r="B5" s="56" t="s">
        <v>1933</v>
      </c>
      <c r="C5" s="56" t="s">
        <v>1934</v>
      </c>
      <c r="D5" s="56" t="s">
        <v>1021</v>
      </c>
      <c r="E5" s="56" t="s">
        <v>1020</v>
      </c>
      <c r="F5" s="56" t="s">
        <v>1935</v>
      </c>
      <c r="G5" s="52" t="s">
        <v>55</v>
      </c>
    </row>
    <row r="6" spans="1:7" ht="34">
      <c r="A6" s="54" t="s">
        <v>1923</v>
      </c>
      <c r="B6" s="56" t="s">
        <v>1936</v>
      </c>
      <c r="C6" s="56" t="s">
        <v>1937</v>
      </c>
      <c r="D6" s="56" t="s">
        <v>1938</v>
      </c>
      <c r="E6" s="56" t="s">
        <v>1939</v>
      </c>
      <c r="F6" s="56" t="s">
        <v>1940</v>
      </c>
      <c r="G6" s="52" t="s">
        <v>55</v>
      </c>
    </row>
    <row r="7" spans="1:7" ht="34">
      <c r="A7" s="54" t="s">
        <v>1923</v>
      </c>
      <c r="B7" s="56" t="s">
        <v>1941</v>
      </c>
      <c r="C7" s="56" t="s">
        <v>1942</v>
      </c>
      <c r="D7" s="56" t="s">
        <v>1074</v>
      </c>
      <c r="E7" s="56" t="s">
        <v>1073</v>
      </c>
      <c r="F7" s="56" t="s">
        <v>1943</v>
      </c>
      <c r="G7" s="52" t="s">
        <v>55</v>
      </c>
    </row>
    <row r="8" spans="1:7" ht="17">
      <c r="A8" s="54" t="s">
        <v>1923</v>
      </c>
      <c r="B8" s="56" t="s">
        <v>1944</v>
      </c>
      <c r="C8" s="56" t="s">
        <v>1945</v>
      </c>
      <c r="D8" s="56" t="s">
        <v>271</v>
      </c>
      <c r="E8" s="56" t="s">
        <v>1020</v>
      </c>
      <c r="F8" s="56" t="s">
        <v>1946</v>
      </c>
      <c r="G8" s="52" t="s">
        <v>55</v>
      </c>
    </row>
    <row r="9" spans="1:7" ht="34">
      <c r="A9" s="54" t="s">
        <v>1923</v>
      </c>
      <c r="B9" s="56" t="s">
        <v>549</v>
      </c>
      <c r="C9" s="56" t="s">
        <v>550</v>
      </c>
      <c r="D9" s="56" t="s">
        <v>216</v>
      </c>
      <c r="E9" s="56" t="s">
        <v>542</v>
      </c>
      <c r="F9" s="56" t="s">
        <v>1947</v>
      </c>
      <c r="G9" s="52" t="s">
        <v>55</v>
      </c>
    </row>
    <row r="10" spans="1:7" ht="17">
      <c r="A10" s="55" t="s">
        <v>1923</v>
      </c>
      <c r="B10" s="56" t="s">
        <v>1948</v>
      </c>
      <c r="C10" s="56" t="s">
        <v>1949</v>
      </c>
      <c r="D10" s="56" t="s">
        <v>271</v>
      </c>
      <c r="E10" s="56" t="s">
        <v>1183</v>
      </c>
      <c r="F10" s="56" t="s">
        <v>1950</v>
      </c>
      <c r="G10" s="52" t="s">
        <v>55</v>
      </c>
    </row>
    <row r="11" spans="1:7" ht="51">
      <c r="A11" s="55" t="s">
        <v>1923</v>
      </c>
      <c r="B11" s="56" t="s">
        <v>1951</v>
      </c>
      <c r="C11" s="56" t="s">
        <v>1952</v>
      </c>
      <c r="D11" s="56" t="s">
        <v>1953</v>
      </c>
      <c r="E11" s="56" t="s">
        <v>415</v>
      </c>
      <c r="F11" s="56" t="s">
        <v>1954</v>
      </c>
      <c r="G11" s="52" t="s">
        <v>55</v>
      </c>
    </row>
    <row r="12" spans="1:7" ht="17">
      <c r="A12" s="54" t="s">
        <v>1955</v>
      </c>
      <c r="B12" s="56" t="s">
        <v>1956</v>
      </c>
      <c r="C12" s="56" t="s">
        <v>1957</v>
      </c>
      <c r="D12" s="56" t="s">
        <v>1958</v>
      </c>
      <c r="E12" s="56" t="s">
        <v>399</v>
      </c>
      <c r="F12" s="56" t="s">
        <v>1959</v>
      </c>
      <c r="G12" s="52" t="s">
        <v>55</v>
      </c>
    </row>
    <row r="13" spans="1:7" ht="34">
      <c r="A13" s="54" t="s">
        <v>1955</v>
      </c>
      <c r="B13" s="56" t="s">
        <v>1960</v>
      </c>
      <c r="C13" s="56" t="s">
        <v>1961</v>
      </c>
      <c r="D13" s="56" t="s">
        <v>1962</v>
      </c>
      <c r="E13" s="56" t="s">
        <v>215</v>
      </c>
      <c r="F13" s="56" t="s">
        <v>1963</v>
      </c>
      <c r="G13" s="52" t="s">
        <v>55</v>
      </c>
    </row>
    <row r="14" spans="1:7" ht="17">
      <c r="A14" s="54" t="s">
        <v>1955</v>
      </c>
      <c r="B14" s="56" t="s">
        <v>48</v>
      </c>
      <c r="C14" s="56" t="s">
        <v>49</v>
      </c>
      <c r="D14" s="56" t="s">
        <v>52</v>
      </c>
      <c r="E14" s="56" t="s">
        <v>51</v>
      </c>
      <c r="F14" s="56" t="s">
        <v>1964</v>
      </c>
      <c r="G14" s="52" t="s">
        <v>55</v>
      </c>
    </row>
    <row r="15" spans="1:7" ht="34">
      <c r="A15" s="54" t="s">
        <v>1955</v>
      </c>
      <c r="B15" s="56" t="s">
        <v>421</v>
      </c>
      <c r="C15" s="56" t="s">
        <v>422</v>
      </c>
      <c r="D15" s="56" t="s">
        <v>660</v>
      </c>
      <c r="E15" s="56" t="s">
        <v>424</v>
      </c>
      <c r="F15" s="56" t="s">
        <v>1965</v>
      </c>
      <c r="G15" s="52" t="s">
        <v>55</v>
      </c>
    </row>
    <row r="16" spans="1:7" ht="17">
      <c r="A16" s="55" t="s">
        <v>1955</v>
      </c>
      <c r="B16" s="56" t="s">
        <v>406</v>
      </c>
      <c r="C16" s="56" t="s">
        <v>407</v>
      </c>
      <c r="D16" s="56" t="s">
        <v>410</v>
      </c>
      <c r="E16" s="56" t="s">
        <v>409</v>
      </c>
      <c r="F16" s="56" t="s">
        <v>1966</v>
      </c>
      <c r="G16" s="52" t="s">
        <v>55</v>
      </c>
    </row>
    <row r="17" spans="1:7" ht="17">
      <c r="A17" s="54" t="s">
        <v>1967</v>
      </c>
      <c r="B17" s="56" t="s">
        <v>736</v>
      </c>
      <c r="C17" s="56" t="s">
        <v>1968</v>
      </c>
      <c r="D17" s="56" t="s">
        <v>1005</v>
      </c>
      <c r="E17" s="56" t="s">
        <v>1004</v>
      </c>
      <c r="F17" s="56" t="s">
        <v>1969</v>
      </c>
      <c r="G17" s="52" t="s">
        <v>55</v>
      </c>
    </row>
    <row r="18" spans="1:7" ht="17">
      <c r="A18" s="54" t="s">
        <v>1967</v>
      </c>
      <c r="B18" s="56" t="s">
        <v>1970</v>
      </c>
      <c r="C18" s="56" t="s">
        <v>1971</v>
      </c>
      <c r="D18" s="56" t="s">
        <v>1972</v>
      </c>
      <c r="E18" s="56" t="s">
        <v>1350</v>
      </c>
      <c r="F18" s="56" t="s">
        <v>1973</v>
      </c>
      <c r="G18" s="52" t="s">
        <v>55</v>
      </c>
    </row>
    <row r="19" spans="1:7" ht="17">
      <c r="A19" s="54" t="s">
        <v>1967</v>
      </c>
      <c r="B19" s="56" t="s">
        <v>1974</v>
      </c>
      <c r="C19" s="56" t="s">
        <v>1975</v>
      </c>
      <c r="D19" s="56" t="s">
        <v>1976</v>
      </c>
      <c r="E19" s="56" t="s">
        <v>1286</v>
      </c>
      <c r="F19" s="56" t="s">
        <v>1977</v>
      </c>
      <c r="G19" s="52" t="s">
        <v>55</v>
      </c>
    </row>
    <row r="20" spans="1:7" ht="34">
      <c r="A20" s="54" t="s">
        <v>1967</v>
      </c>
      <c r="B20" s="52" t="s">
        <v>371</v>
      </c>
      <c r="C20" s="52" t="s">
        <v>1978</v>
      </c>
      <c r="D20" s="52" t="s">
        <v>1979</v>
      </c>
      <c r="E20" s="52" t="s">
        <v>1980</v>
      </c>
      <c r="F20" s="52" t="s">
        <v>1981</v>
      </c>
      <c r="G20" s="52" t="s">
        <v>123</v>
      </c>
    </row>
    <row r="21" spans="1:7" ht="17">
      <c r="A21" s="54" t="s">
        <v>1967</v>
      </c>
      <c r="B21" s="52" t="s">
        <v>1982</v>
      </c>
      <c r="C21" s="52" t="s">
        <v>1983</v>
      </c>
      <c r="D21" s="52" t="s">
        <v>1984</v>
      </c>
      <c r="E21" s="52" t="s">
        <v>1980</v>
      </c>
      <c r="F21" s="52" t="s">
        <v>1985</v>
      </c>
      <c r="G21" s="59" t="s">
        <v>123</v>
      </c>
    </row>
    <row r="22" spans="1:7" ht="17">
      <c r="A22" s="54" t="s">
        <v>1967</v>
      </c>
      <c r="B22" s="52" t="s">
        <v>677</v>
      </c>
      <c r="C22" s="52" t="s">
        <v>1986</v>
      </c>
      <c r="D22" s="52" t="s">
        <v>1987</v>
      </c>
      <c r="E22" s="52" t="s">
        <v>1980</v>
      </c>
      <c r="F22" s="60" t="s">
        <v>1988</v>
      </c>
      <c r="G22" s="52" t="s">
        <v>123</v>
      </c>
    </row>
    <row r="23" spans="1:7" ht="34">
      <c r="A23" s="54" t="s">
        <v>1967</v>
      </c>
      <c r="B23" s="52" t="s">
        <v>1989</v>
      </c>
      <c r="C23" s="52" t="s">
        <v>1990</v>
      </c>
      <c r="D23" s="52" t="s">
        <v>1991</v>
      </c>
      <c r="E23" s="52" t="s">
        <v>1992</v>
      </c>
      <c r="F23" s="60" t="s">
        <v>1993</v>
      </c>
      <c r="G23" s="52" t="s">
        <v>123</v>
      </c>
    </row>
    <row r="24" spans="1:7" ht="51">
      <c r="A24" s="54" t="s">
        <v>1967</v>
      </c>
      <c r="B24" s="52" t="s">
        <v>1994</v>
      </c>
      <c r="C24" s="52" t="s">
        <v>1995</v>
      </c>
      <c r="D24" s="52" t="s">
        <v>1996</v>
      </c>
      <c r="E24" s="52" t="s">
        <v>1980</v>
      </c>
      <c r="F24" s="60" t="s">
        <v>1997</v>
      </c>
      <c r="G24" s="52" t="s">
        <v>123</v>
      </c>
    </row>
    <row r="25" spans="1:7" ht="17">
      <c r="A25" s="55" t="s">
        <v>1967</v>
      </c>
      <c r="B25" s="52" t="s">
        <v>879</v>
      </c>
      <c r="C25" s="52" t="s">
        <v>880</v>
      </c>
      <c r="D25" s="52" t="s">
        <v>882</v>
      </c>
      <c r="E25" s="52" t="s">
        <v>874</v>
      </c>
      <c r="F25" s="60" t="s">
        <v>1998</v>
      </c>
      <c r="G25" s="52" t="s">
        <v>123</v>
      </c>
    </row>
  </sheetData>
  <sortState xmlns:xlrd2="http://schemas.microsoft.com/office/spreadsheetml/2017/richdata2" ref="A1:H26">
    <sortCondition ref="A2:A2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7"/>
  <sheetViews>
    <sheetView topLeftCell="A220" workbookViewId="0">
      <selection activeCell="A1025" sqref="A1025"/>
    </sheetView>
  </sheetViews>
  <sheetFormatPr baseColWidth="10" defaultColWidth="8.83203125" defaultRowHeight="13"/>
  <cols>
    <col min="1" max="1" width="42.83203125" customWidth="1"/>
    <col min="2" max="2" width="37.5" customWidth="1"/>
    <col min="3" max="3" width="27.5" customWidth="1"/>
    <col min="4" max="4" width="17.1640625" bestFit="1" customWidth="1"/>
    <col min="5" max="5" width="39.33203125" bestFit="1" customWidth="1"/>
  </cols>
  <sheetData>
    <row r="1" spans="1:6" ht="54">
      <c r="A1" s="5" t="s">
        <v>3</v>
      </c>
      <c r="B1" s="5" t="s">
        <v>4</v>
      </c>
      <c r="C1" s="5" t="s">
        <v>1999</v>
      </c>
      <c r="D1" s="9" t="s">
        <v>956</v>
      </c>
      <c r="E1" s="9" t="s">
        <v>958</v>
      </c>
      <c r="F1" t="s">
        <v>959</v>
      </c>
    </row>
    <row r="2" spans="1:6" ht="17">
      <c r="A2" s="1" t="s">
        <v>965</v>
      </c>
      <c r="B2" s="1" t="s">
        <v>216</v>
      </c>
      <c r="C2" s="2">
        <f>DATE(2024,7,25)+TIME(10,49,41)</f>
        <v>45498.451168981483</v>
      </c>
      <c r="F2" t="e">
        <f>VLOOKUP(Table1[[#This Row],[Company Name]],Sheet1!B:B,1,FALSE)</f>
        <v>#N/A</v>
      </c>
    </row>
    <row r="3" spans="1:6" ht="17">
      <c r="A3" s="1" t="s">
        <v>966</v>
      </c>
      <c r="B3" s="1" t="s">
        <v>264</v>
      </c>
      <c r="C3" s="2">
        <f>DATE(2024,7,25)+TIME(10,49,42)</f>
        <v>45498.451180555552</v>
      </c>
      <c r="F3" t="e">
        <f>VLOOKUP(Table1[[#This Row],[Company Name]],Sheet1!B:B,1,FALSE)</f>
        <v>#N/A</v>
      </c>
    </row>
    <row r="4" spans="1:6" ht="17">
      <c r="A4" s="3" t="s">
        <v>967</v>
      </c>
      <c r="B4" s="3" t="s">
        <v>968</v>
      </c>
      <c r="C4" s="4">
        <f>DATE(2024,7,25)+TIME(10,49,42)</f>
        <v>45498.451180555552</v>
      </c>
      <c r="F4" t="e">
        <f>VLOOKUP(Table1[[#This Row],[Company Name]],Sheet1!B:B,1,FALSE)</f>
        <v>#N/A</v>
      </c>
    </row>
    <row r="5" spans="1:6" ht="17">
      <c r="A5" s="3" t="s">
        <v>967</v>
      </c>
      <c r="B5" s="3" t="s">
        <v>999</v>
      </c>
      <c r="C5" s="4">
        <f>DATE(2024,7,25)+TIME(10,49,41)</f>
        <v>45498.451168981483</v>
      </c>
      <c r="F5" t="e">
        <f>VLOOKUP(Table1[[#This Row],[Company Name]],Sheet1!B:B,1,FALSE)</f>
        <v>#N/A</v>
      </c>
    </row>
    <row r="6" spans="1:6" ht="17">
      <c r="A6" s="3" t="s">
        <v>969</v>
      </c>
      <c r="B6" s="3" t="s">
        <v>970</v>
      </c>
      <c r="C6" s="4">
        <f>DATE(2024,7,25)+TIME(10,49,42)</f>
        <v>45498.451180555552</v>
      </c>
      <c r="F6" t="e">
        <f>VLOOKUP(Table1[[#This Row],[Company Name]],Sheet1!B:B,1,FALSE)</f>
        <v>#N/A</v>
      </c>
    </row>
    <row r="7" spans="1:6" ht="34">
      <c r="A7" s="3" t="s">
        <v>969</v>
      </c>
      <c r="B7" s="3" t="s">
        <v>2000</v>
      </c>
      <c r="C7" s="4">
        <f>DATE(2024,7,25)+TIME(10,49,42)</f>
        <v>45498.451180555552</v>
      </c>
      <c r="F7" t="e">
        <f>VLOOKUP(Table1[[#This Row],[Company Name]],Sheet1!B:B,1,FALSE)</f>
        <v>#N/A</v>
      </c>
    </row>
    <row r="8" spans="1:6" ht="17">
      <c r="A8" s="1" t="s">
        <v>969</v>
      </c>
      <c r="B8" s="1" t="s">
        <v>999</v>
      </c>
      <c r="C8" s="2">
        <f>DATE(2024,7,25)+TIME(10,49,41)</f>
        <v>45498.451168981483</v>
      </c>
      <c r="F8" t="e">
        <f>VLOOKUP(Table1[[#This Row],[Company Name]],Sheet1!B:B,1,FALSE)</f>
        <v>#N/A</v>
      </c>
    </row>
    <row r="9" spans="1:6" ht="17">
      <c r="A9" s="3" t="s">
        <v>971</v>
      </c>
      <c r="B9" s="3" t="s">
        <v>972</v>
      </c>
      <c r="C9" s="4">
        <f>DATE(2024,7,1)+TIME(14,31,27)</f>
        <v>45474.605173611111</v>
      </c>
      <c r="F9" t="e">
        <f>VLOOKUP(Table1[[#This Row],[Company Name]],Sheet1!B:B,1,FALSE)</f>
        <v>#N/A</v>
      </c>
    </row>
    <row r="10" spans="1:6" ht="17">
      <c r="A10" s="1" t="s">
        <v>971</v>
      </c>
      <c r="B10" s="1" t="s">
        <v>2001</v>
      </c>
      <c r="C10" s="2">
        <f>DATE(2024,7,1)+TIME(14,31,26)</f>
        <v>45474.605162037034</v>
      </c>
      <c r="F10" t="e">
        <f>VLOOKUP(Table1[[#This Row],[Company Name]],Sheet1!B:B,1,FALSE)</f>
        <v>#N/A</v>
      </c>
    </row>
    <row r="11" spans="1:6" ht="17">
      <c r="A11" s="3" t="s">
        <v>973</v>
      </c>
      <c r="B11" s="3" t="s">
        <v>271</v>
      </c>
      <c r="C11" s="4">
        <f>DATE(2024,8,19)+TIME(12,10,58)</f>
        <v>45523.507615740738</v>
      </c>
      <c r="F11" t="e">
        <f>VLOOKUP(Table1[[#This Row],[Company Name]],Sheet1!B:B,1,FALSE)</f>
        <v>#N/A</v>
      </c>
    </row>
    <row r="12" spans="1:6" ht="17">
      <c r="A12" s="1" t="s">
        <v>973</v>
      </c>
      <c r="B12" s="1" t="s">
        <v>1838</v>
      </c>
      <c r="C12" s="2">
        <f>DATE(2024,8,19)+TIME(12,10,58)</f>
        <v>45523.507615740738</v>
      </c>
      <c r="F12" t="e">
        <f>VLOOKUP(Table1[[#This Row],[Company Name]],Sheet1!B:B,1,FALSE)</f>
        <v>#N/A</v>
      </c>
    </row>
    <row r="13" spans="1:6" ht="17">
      <c r="A13" s="6" t="s">
        <v>974</v>
      </c>
      <c r="B13" s="6" t="s">
        <v>975</v>
      </c>
      <c r="C13" s="7">
        <f>DATE(2024,7,26)+TIME(9,34,44)</f>
        <v>45499.39912037037</v>
      </c>
      <c r="D13" s="8" t="s">
        <v>2002</v>
      </c>
      <c r="F13" t="s">
        <v>61</v>
      </c>
    </row>
    <row r="14" spans="1:6" ht="17">
      <c r="A14" s="6" t="s">
        <v>981</v>
      </c>
      <c r="B14" s="6" t="s">
        <v>982</v>
      </c>
      <c r="C14" s="7">
        <f>DATE(2024,7,26)+TIME(9,10,7)</f>
        <v>45499.382025462961</v>
      </c>
      <c r="D14" s="8" t="s">
        <v>2002</v>
      </c>
      <c r="F14" t="e">
        <f>VLOOKUP(Table1[[#This Row],[Company Name]],Sheet1!B:B,1,FALSE)</f>
        <v>#N/A</v>
      </c>
    </row>
    <row r="15" spans="1:6" ht="17">
      <c r="A15" s="6" t="s">
        <v>984</v>
      </c>
      <c r="B15" s="6" t="s">
        <v>985</v>
      </c>
      <c r="C15" s="7">
        <f>DATE(2024,9,2)+TIME(2,46,34)</f>
        <v>45537.115671296298</v>
      </c>
      <c r="D15" s="8" t="s">
        <v>2002</v>
      </c>
      <c r="F15" t="e">
        <f>VLOOKUP(Table1[[#This Row],[Company Name]],Sheet1!B:B,1,FALSE)</f>
        <v>#N/A</v>
      </c>
    </row>
    <row r="16" spans="1:6" ht="17">
      <c r="A16" s="6" t="s">
        <v>984</v>
      </c>
      <c r="B16" s="6" t="s">
        <v>1671</v>
      </c>
      <c r="C16" s="7">
        <f>DATE(2024,9,2)+TIME(4,52,50)</f>
        <v>45537.203356481485</v>
      </c>
      <c r="D16" s="8" t="s">
        <v>2002</v>
      </c>
      <c r="F16" t="e">
        <f>VLOOKUP(Table1[[#This Row],[Company Name]],Sheet1!B:B,1,FALSE)</f>
        <v>#N/A</v>
      </c>
    </row>
    <row r="17" spans="1:6" ht="17">
      <c r="A17" s="6" t="s">
        <v>984</v>
      </c>
      <c r="B17" s="6" t="s">
        <v>2003</v>
      </c>
      <c r="C17" s="7">
        <f>DATE(2024,9,2)+TIME(12,2,4)</f>
        <v>45537.501435185186</v>
      </c>
      <c r="D17" s="8" t="s">
        <v>2002</v>
      </c>
      <c r="F17" t="e">
        <f>VLOOKUP(Table1[[#This Row],[Company Name]],Sheet1!B:B,1,FALSE)</f>
        <v>#N/A</v>
      </c>
    </row>
    <row r="18" spans="1:6" ht="17">
      <c r="A18" s="6" t="s">
        <v>984</v>
      </c>
      <c r="B18" s="6" t="s">
        <v>2004</v>
      </c>
      <c r="C18" s="7">
        <f>DATE(2024,9,6)+TIME(8,44,54)</f>
        <v>45541.36451388889</v>
      </c>
      <c r="D18" s="8" t="s">
        <v>2002</v>
      </c>
      <c r="F18" t="e">
        <f>VLOOKUP(Table1[[#This Row],[Company Name]],Sheet1!B:B,1,FALSE)</f>
        <v>#N/A</v>
      </c>
    </row>
    <row r="19" spans="1:6" ht="17">
      <c r="A19" s="6" t="s">
        <v>984</v>
      </c>
      <c r="B19" s="6" t="s">
        <v>1108</v>
      </c>
      <c r="C19" s="7">
        <f>DATE(2024,9,6)+TIME(8,42,59)</f>
        <v>45541.363182870373</v>
      </c>
      <c r="D19" s="8" t="s">
        <v>2002</v>
      </c>
      <c r="F19" t="e">
        <f>VLOOKUP(Table1[[#This Row],[Company Name]],Sheet1!B:B,1,FALSE)</f>
        <v>#N/A</v>
      </c>
    </row>
    <row r="20" spans="1:6" ht="17">
      <c r="A20" s="6" t="s">
        <v>989</v>
      </c>
      <c r="B20" s="6" t="s">
        <v>990</v>
      </c>
      <c r="C20" s="7">
        <f>DATE(2024,8,15)+TIME(13,0,29)</f>
        <v>45519.542002314818</v>
      </c>
      <c r="D20" s="8" t="s">
        <v>2002</v>
      </c>
      <c r="F20" t="e">
        <f>VLOOKUP(Table1[[#This Row],[Company Name]],Sheet1!B:B,1,FALSE)</f>
        <v>#N/A</v>
      </c>
    </row>
    <row r="21" spans="1:6" ht="17">
      <c r="A21" s="6" t="s">
        <v>994</v>
      </c>
      <c r="B21" s="6" t="s">
        <v>995</v>
      </c>
      <c r="C21" s="7">
        <f>DATE(2024,9,26)+TIME(4,0,4)</f>
        <v>45561.166712962964</v>
      </c>
      <c r="D21" s="8" t="s">
        <v>2002</v>
      </c>
      <c r="F21" t="e">
        <f>VLOOKUP(Table1[[#This Row],[Company Name]],Sheet1!B:B,1,FALSE)</f>
        <v>#N/A</v>
      </c>
    </row>
    <row r="22" spans="1:6" ht="17">
      <c r="A22" s="1" t="s">
        <v>997</v>
      </c>
      <c r="B22" s="1" t="s">
        <v>998</v>
      </c>
      <c r="C22" s="2">
        <f>DATE(2024,9,17)+TIME(19,16,27)</f>
        <v>45552.803090277775</v>
      </c>
      <c r="F22" t="e">
        <f>VLOOKUP(Table1[[#This Row],[Company Name]],Sheet1!B:B,1,FALSE)</f>
        <v>#N/A</v>
      </c>
    </row>
    <row r="23" spans="1:6" ht="17">
      <c r="A23" s="3" t="s">
        <v>935</v>
      </c>
      <c r="B23" s="3" t="s">
        <v>999</v>
      </c>
      <c r="C23" s="4">
        <f>DATE(2024,7,1)+TIME(14,31,27)</f>
        <v>45474.605173611111</v>
      </c>
      <c r="F23" t="e">
        <f>VLOOKUP(Table1[[#This Row],[Company Name]],Sheet1!B:B,1,FALSE)</f>
        <v>#N/A</v>
      </c>
    </row>
    <row r="24" spans="1:6" ht="17">
      <c r="A24" s="1" t="s">
        <v>1000</v>
      </c>
      <c r="B24" s="1" t="s">
        <v>1001</v>
      </c>
      <c r="C24" s="2">
        <f>DATE(2024,8,26)+TIME(8,19,54)</f>
        <v>45530.34715277778</v>
      </c>
      <c r="F24" t="e">
        <f>VLOOKUP(Table1[[#This Row],[Company Name]],Sheet1!B:B,1,FALSE)</f>
        <v>#N/A</v>
      </c>
    </row>
    <row r="25" spans="1:6" ht="17">
      <c r="A25" s="3" t="s">
        <v>1000</v>
      </c>
      <c r="B25" s="3" t="s">
        <v>2005</v>
      </c>
      <c r="C25" s="4">
        <f>DATE(2024,8,30)+TIME(12,40,42)</f>
        <v>45534.528263888889</v>
      </c>
      <c r="F25" t="e">
        <f>VLOOKUP(Table1[[#This Row],[Company Name]],Sheet1!B:B,1,FALSE)</f>
        <v>#N/A</v>
      </c>
    </row>
    <row r="26" spans="1:6" ht="17">
      <c r="A26" s="1" t="s">
        <v>1002</v>
      </c>
      <c r="B26" s="1" t="s">
        <v>1003</v>
      </c>
      <c r="C26" s="2">
        <f>DATE(2024,8,22)+TIME(17,14,12)</f>
        <v>45526.718194444446</v>
      </c>
      <c r="F26" t="e">
        <f>VLOOKUP(Table1[[#This Row],[Company Name]],Sheet1!B:B,1,FALSE)</f>
        <v>#N/A</v>
      </c>
    </row>
    <row r="27" spans="1:6" ht="17">
      <c r="A27" s="6" t="s">
        <v>1004</v>
      </c>
      <c r="B27" s="6" t="s">
        <v>1005</v>
      </c>
      <c r="C27" s="7">
        <f>DATE(2024,7,2)+TIME(8,26,9)</f>
        <v>45475.351493055554</v>
      </c>
      <c r="D27" s="8" t="s">
        <v>2002</v>
      </c>
      <c r="F27" t="e">
        <f>VLOOKUP(Table1[[#This Row],[Company Name]],Sheet1!B:B,1,FALSE)</f>
        <v>#N/A</v>
      </c>
    </row>
    <row r="28" spans="1:6" ht="17">
      <c r="A28" s="6" t="s">
        <v>1004</v>
      </c>
      <c r="B28" s="6" t="s">
        <v>1005</v>
      </c>
      <c r="C28" s="7">
        <f>DATE(2024,7,2)+TIME(1,57,1)</f>
        <v>45475.081261574072</v>
      </c>
      <c r="D28" s="8" t="s">
        <v>2002</v>
      </c>
      <c r="F28" t="e">
        <f>VLOOKUP(Table1[[#This Row],[Company Name]],Sheet1!B:B,1,FALSE)</f>
        <v>#N/A</v>
      </c>
    </row>
    <row r="29" spans="1:6" ht="17">
      <c r="A29" s="6" t="s">
        <v>1004</v>
      </c>
      <c r="B29" s="6" t="s">
        <v>2006</v>
      </c>
      <c r="C29" s="7">
        <f>DATE(2024,7,26)+TIME(3,10,8)</f>
        <v>45499.132037037038</v>
      </c>
      <c r="D29" s="8" t="s">
        <v>2002</v>
      </c>
      <c r="F29" t="e">
        <f>VLOOKUP(Table1[[#This Row],[Company Name]],Sheet1!B:B,1,FALSE)</f>
        <v>#N/A</v>
      </c>
    </row>
    <row r="30" spans="1:6" ht="17">
      <c r="A30" s="6" t="s">
        <v>1004</v>
      </c>
      <c r="B30" s="6" t="s">
        <v>1261</v>
      </c>
      <c r="C30" s="7">
        <f>DATE(2024,7,2)+TIME(3,32,17)</f>
        <v>45475.147418981483</v>
      </c>
      <c r="D30" s="8" t="s">
        <v>2002</v>
      </c>
      <c r="F30" t="e">
        <f>VLOOKUP(Table1[[#This Row],[Company Name]],Sheet1!B:B,1,FALSE)</f>
        <v>#N/A</v>
      </c>
    </row>
    <row r="31" spans="1:6" ht="17">
      <c r="A31" s="6" t="s">
        <v>1004</v>
      </c>
      <c r="B31" s="6" t="s">
        <v>2007</v>
      </c>
      <c r="C31" s="7">
        <f>DATE(2024,7,2)+TIME(3,21,31)</f>
        <v>45475.13994212963</v>
      </c>
      <c r="D31" s="8" t="s">
        <v>2002</v>
      </c>
      <c r="F31" t="e">
        <f>VLOOKUP(Table1[[#This Row],[Company Name]],Sheet1!B:B,1,FALSE)</f>
        <v>#N/A</v>
      </c>
    </row>
    <row r="32" spans="1:6" ht="17">
      <c r="A32" s="6" t="s">
        <v>1009</v>
      </c>
      <c r="B32" s="6" t="s">
        <v>1010</v>
      </c>
      <c r="C32" s="7">
        <f>DATE(2024,7,15)+TIME(17,2,37)</f>
        <v>45488.710150462961</v>
      </c>
      <c r="D32" s="8" t="s">
        <v>2002</v>
      </c>
      <c r="F32" t="e">
        <f>VLOOKUP(Table1[[#This Row],[Company Name]],Sheet1!B:B,1,FALSE)</f>
        <v>#N/A</v>
      </c>
    </row>
    <row r="33" spans="1:6" ht="17">
      <c r="A33" s="6" t="s">
        <v>51</v>
      </c>
      <c r="B33" s="6" t="s">
        <v>1014</v>
      </c>
      <c r="C33" s="7">
        <f>DATE(2024,9,2)+TIME(10,17,56)</f>
        <v>45537.429120370369</v>
      </c>
      <c r="D33" s="8" t="s">
        <v>2002</v>
      </c>
      <c r="F33" t="e">
        <f>VLOOKUP(Table1[[#This Row],[Company Name]],Sheet1!B:B,1,FALSE)</f>
        <v>#N/A</v>
      </c>
    </row>
    <row r="34" spans="1:6" ht="17">
      <c r="A34" s="6" t="s">
        <v>51</v>
      </c>
      <c r="B34" s="6" t="s">
        <v>296</v>
      </c>
      <c r="C34" s="7">
        <f>DATE(2024,9,4)+TIME(9,53,8)</f>
        <v>45539.411898148152</v>
      </c>
      <c r="D34" s="8" t="s">
        <v>2002</v>
      </c>
      <c r="F34" t="e">
        <f>VLOOKUP(Table1[[#This Row],[Company Name]],Sheet1!B:B,1,FALSE)</f>
        <v>#N/A</v>
      </c>
    </row>
    <row r="35" spans="1:6" ht="17">
      <c r="A35" s="6" t="s">
        <v>51</v>
      </c>
      <c r="B35" s="6" t="s">
        <v>2008</v>
      </c>
      <c r="C35" s="7">
        <f>DATE(2024,9,6)+TIME(11,3,43)</f>
        <v>45541.460914351854</v>
      </c>
      <c r="D35" s="8" t="s">
        <v>2002</v>
      </c>
      <c r="F35" t="e">
        <f>VLOOKUP(Table1[[#This Row],[Company Name]],Sheet1!B:B,1,FALSE)</f>
        <v>#N/A</v>
      </c>
    </row>
    <row r="36" spans="1:6" ht="17">
      <c r="A36" s="6" t="s">
        <v>51</v>
      </c>
      <c r="B36" s="6" t="s">
        <v>52</v>
      </c>
      <c r="C36" s="7">
        <f>DATE(2024,8,29)+TIME(6,21,54)</f>
        <v>45533.265208333331</v>
      </c>
      <c r="D36" s="8" t="s">
        <v>2002</v>
      </c>
      <c r="F36" t="e">
        <f>VLOOKUP(Table1[[#This Row],[Company Name]],Sheet1!B:B,1,FALSE)</f>
        <v>#N/A</v>
      </c>
    </row>
    <row r="37" spans="1:6" ht="17">
      <c r="A37" s="1" t="s">
        <v>1018</v>
      </c>
      <c r="B37" s="1" t="s">
        <v>296</v>
      </c>
      <c r="C37" s="2">
        <f>DATE(2024,9,15)+TIME(10,19,7)</f>
        <v>45550.429942129631</v>
      </c>
      <c r="F37" t="e">
        <f>VLOOKUP(Table1[[#This Row],[Company Name]],Sheet1!B:B,1,FALSE)</f>
        <v>#N/A</v>
      </c>
    </row>
    <row r="38" spans="1:6" ht="17">
      <c r="A38" s="1" t="s">
        <v>1019</v>
      </c>
      <c r="B38" s="1" t="s">
        <v>912</v>
      </c>
      <c r="C38" s="2">
        <f>DATE(2024,6,21)+TIME(7,34,33)</f>
        <v>45464.315659722219</v>
      </c>
      <c r="F38" t="e">
        <f>VLOOKUP(Table1[[#This Row],[Company Name]],Sheet1!B:B,1,FALSE)</f>
        <v>#N/A</v>
      </c>
    </row>
    <row r="39" spans="1:6" ht="17">
      <c r="A39" s="6" t="s">
        <v>1020</v>
      </c>
      <c r="B39" s="6" t="s">
        <v>1021</v>
      </c>
      <c r="C39" s="7">
        <f>DATE(2024,9,23)+TIME(9,46,11)</f>
        <v>45558.407071759262</v>
      </c>
      <c r="D39" s="8" t="s">
        <v>2002</v>
      </c>
      <c r="E39" t="s">
        <v>61</v>
      </c>
      <c r="F39" t="e">
        <f>VLOOKUP(Table1[[#This Row],[Company Name]],Sheet1!B:B,1,FALSE)</f>
        <v>#N/A</v>
      </c>
    </row>
    <row r="40" spans="1:6" ht="17">
      <c r="A40" s="6" t="s">
        <v>1020</v>
      </c>
      <c r="B40" s="6" t="s">
        <v>271</v>
      </c>
      <c r="C40" s="7">
        <f>DATE(2024,9,23)+TIME(11,22,32)</f>
        <v>45558.473981481482</v>
      </c>
      <c r="D40" s="8" t="s">
        <v>2002</v>
      </c>
      <c r="E40" t="s">
        <v>61</v>
      </c>
      <c r="F40" t="e">
        <f>VLOOKUP(Table1[[#This Row],[Company Name]],Sheet1!B:B,1,FALSE)</f>
        <v>#N/A</v>
      </c>
    </row>
    <row r="41" spans="1:6" ht="57">
      <c r="A41" s="6" t="s">
        <v>1025</v>
      </c>
      <c r="B41" s="6" t="s">
        <v>1026</v>
      </c>
      <c r="C41" s="7">
        <f>DATE(2024,8,22)+TIME(9,7,34)</f>
        <v>45526.380254629628</v>
      </c>
      <c r="D41" s="8" t="s">
        <v>2002</v>
      </c>
      <c r="E41" s="10" t="s">
        <v>1027</v>
      </c>
      <c r="F41" t="s">
        <v>61</v>
      </c>
    </row>
    <row r="42" spans="1:6" ht="17">
      <c r="A42" s="6" t="s">
        <v>1025</v>
      </c>
      <c r="B42" s="6" t="s">
        <v>2009</v>
      </c>
      <c r="C42" s="7">
        <f>DATE(2024,8,21)+TIME(10,56,16)</f>
        <v>45525.455740740741</v>
      </c>
      <c r="D42" s="8" t="s">
        <v>2002</v>
      </c>
      <c r="E42" t="s">
        <v>61</v>
      </c>
      <c r="F42" t="s">
        <v>61</v>
      </c>
    </row>
    <row r="43" spans="1:6" ht="17">
      <c r="A43" s="6" t="s">
        <v>1025</v>
      </c>
      <c r="B43" s="6" t="s">
        <v>70</v>
      </c>
      <c r="C43" s="7">
        <f>DATE(2024,8,22)+TIME(9,25,21)</f>
        <v>45526.392604166664</v>
      </c>
      <c r="D43" s="8" t="s">
        <v>2002</v>
      </c>
      <c r="E43" t="s">
        <v>61</v>
      </c>
      <c r="F43" t="s">
        <v>61</v>
      </c>
    </row>
    <row r="44" spans="1:6" ht="17">
      <c r="A44" s="6" t="s">
        <v>1025</v>
      </c>
      <c r="B44" s="6" t="s">
        <v>2010</v>
      </c>
      <c r="C44" s="7">
        <f>DATE(2024,8,22)+TIME(9,25,21)</f>
        <v>45526.392604166664</v>
      </c>
      <c r="D44" s="8" t="s">
        <v>2002</v>
      </c>
      <c r="E44" t="s">
        <v>61</v>
      </c>
      <c r="F44" t="s">
        <v>61</v>
      </c>
    </row>
    <row r="45" spans="1:6" ht="17">
      <c r="A45" s="3" t="s">
        <v>1030</v>
      </c>
      <c r="B45" s="3" t="s">
        <v>1031</v>
      </c>
      <c r="C45" s="4">
        <f>DATE(2024,8,1)+TIME(11,16,55)</f>
        <v>45505.470081018517</v>
      </c>
      <c r="F45" t="e">
        <f>VLOOKUP(Table1[[#This Row],[Company Name]],Sheet1!B:B,1,FALSE)</f>
        <v>#N/A</v>
      </c>
    </row>
    <row r="46" spans="1:6" ht="17">
      <c r="A46" s="1" t="s">
        <v>1032</v>
      </c>
      <c r="B46" s="1" t="s">
        <v>1033</v>
      </c>
      <c r="C46" s="2">
        <f>DATE(2024,9,5)+TIME(8,44,28)</f>
        <v>45540.364212962966</v>
      </c>
      <c r="F46" t="e">
        <f>VLOOKUP(Table1[[#This Row],[Company Name]],Sheet1!B:B,1,FALSE)</f>
        <v>#N/A</v>
      </c>
    </row>
    <row r="47" spans="1:6" ht="17">
      <c r="A47" s="1" t="s">
        <v>84</v>
      </c>
      <c r="B47" s="1" t="s">
        <v>85</v>
      </c>
      <c r="C47" s="2">
        <f>DATE(2024,7,3)+TIME(9,46,33)</f>
        <v>45476.407326388886</v>
      </c>
      <c r="F47" t="e">
        <f>VLOOKUP(Table1[[#This Row],[Company Name]],Sheet1!B:B,1,FALSE)</f>
        <v>#N/A</v>
      </c>
    </row>
    <row r="48" spans="1:6" ht="17">
      <c r="A48" s="1" t="s">
        <v>1034</v>
      </c>
      <c r="B48" s="1" t="s">
        <v>85</v>
      </c>
      <c r="C48" s="2">
        <f>DATE(2024,7,12)+TIME(8,43,45)</f>
        <v>45485.363715277781</v>
      </c>
      <c r="F48" t="e">
        <f>VLOOKUP(Table1[[#This Row],[Company Name]],Sheet1!B:B,1,FALSE)</f>
        <v>#N/A</v>
      </c>
    </row>
    <row r="49" spans="1:6" ht="17">
      <c r="A49" s="3" t="s">
        <v>1035</v>
      </c>
      <c r="B49" s="3" t="s">
        <v>113</v>
      </c>
      <c r="C49" s="4">
        <f>DATE(2024,9,26)+TIME(11,23,34)</f>
        <v>45561.474699074075</v>
      </c>
      <c r="F49" t="e">
        <f>VLOOKUP(Table1[[#This Row],[Company Name]],Sheet1!B:B,1,FALSE)</f>
        <v>#N/A</v>
      </c>
    </row>
    <row r="50" spans="1:6" ht="17">
      <c r="A50" s="1" t="s">
        <v>1036</v>
      </c>
      <c r="B50" s="1" t="s">
        <v>1037</v>
      </c>
      <c r="C50" s="2">
        <f>DATE(2024,8,21)+TIME(10,56,40)</f>
        <v>45525.456018518518</v>
      </c>
      <c r="F50" t="e">
        <f>VLOOKUP(Table1[[#This Row],[Company Name]],Sheet1!B:B,1,FALSE)</f>
        <v>#N/A</v>
      </c>
    </row>
    <row r="51" spans="1:6" ht="34">
      <c r="A51" s="3" t="s">
        <v>1038</v>
      </c>
      <c r="B51" s="3" t="s">
        <v>1039</v>
      </c>
      <c r="C51" s="4">
        <f>DATE(2024,9,25)+TIME(18,36,3)</f>
        <v>45560.775034722225</v>
      </c>
      <c r="E51" t="s">
        <v>1040</v>
      </c>
      <c r="F51" t="s">
        <v>61</v>
      </c>
    </row>
    <row r="52" spans="1:6" ht="34">
      <c r="A52" s="1" t="s">
        <v>1038</v>
      </c>
      <c r="B52" s="1" t="s">
        <v>2011</v>
      </c>
      <c r="C52" s="2">
        <f>DATE(2024,9,13)+TIME(9,22,16)</f>
        <v>45548.390462962961</v>
      </c>
      <c r="E52" t="s">
        <v>1040</v>
      </c>
      <c r="F52" t="s">
        <v>61</v>
      </c>
    </row>
    <row r="53" spans="1:6" ht="17">
      <c r="A53" s="3" t="s">
        <v>1038</v>
      </c>
      <c r="B53" s="3" t="s">
        <v>2012</v>
      </c>
      <c r="C53" s="4">
        <f>DATE(2024,8,26)+TIME(12,36,18)</f>
        <v>45530.525208333333</v>
      </c>
      <c r="E53" t="s">
        <v>1040</v>
      </c>
      <c r="F53" t="s">
        <v>61</v>
      </c>
    </row>
    <row r="54" spans="1:6" ht="17">
      <c r="A54" s="1" t="s">
        <v>1038</v>
      </c>
      <c r="B54" s="1" t="s">
        <v>2013</v>
      </c>
      <c r="C54" s="2">
        <f>DATE(2024,9,13)+TIME(9,7,50)</f>
        <v>45548.380439814813</v>
      </c>
      <c r="E54" t="s">
        <v>1040</v>
      </c>
      <c r="F54" t="s">
        <v>61</v>
      </c>
    </row>
    <row r="55" spans="1:6" ht="17">
      <c r="A55" s="3" t="s">
        <v>1038</v>
      </c>
      <c r="B55" s="3" t="s">
        <v>2014</v>
      </c>
      <c r="C55" s="4">
        <f>DATE(2024,9,26)+TIME(14,13,16)</f>
        <v>45561.592546296299</v>
      </c>
      <c r="E55" t="s">
        <v>1040</v>
      </c>
      <c r="F55" t="s">
        <v>61</v>
      </c>
    </row>
    <row r="56" spans="1:6" ht="17">
      <c r="A56" s="3" t="s">
        <v>1041</v>
      </c>
      <c r="B56" s="3" t="s">
        <v>1042</v>
      </c>
      <c r="C56" s="4">
        <f>DATE(2024,8,26)+TIME(9,51,50)</f>
        <v>45530.410995370374</v>
      </c>
      <c r="F56" t="e">
        <f>VLOOKUP(Table1[[#This Row],[Company Name]],Sheet1!B:B,1,FALSE)</f>
        <v>#N/A</v>
      </c>
    </row>
    <row r="57" spans="1:6" ht="17">
      <c r="A57" s="3" t="s">
        <v>1043</v>
      </c>
      <c r="B57" s="3" t="s">
        <v>1044</v>
      </c>
      <c r="C57" s="4">
        <f>DATE(2024,6,13)+TIME(13,21,57)</f>
        <v>45456.556909722225</v>
      </c>
      <c r="F57" t="e">
        <f>VLOOKUP(Table1[[#This Row],[Company Name]],Sheet1!B:B,1,FALSE)</f>
        <v>#N/A</v>
      </c>
    </row>
    <row r="58" spans="1:6" ht="34">
      <c r="A58" s="1" t="s">
        <v>1045</v>
      </c>
      <c r="B58" s="1" t="s">
        <v>1046</v>
      </c>
      <c r="C58" s="2">
        <f>DATE(2024,6,6)+TIME(13,41,57)</f>
        <v>45449.570798611108</v>
      </c>
      <c r="F58" t="e">
        <f>VLOOKUP(Table1[[#This Row],[Company Name]],Sheet1!B:B,1,FALSE)</f>
        <v>#N/A</v>
      </c>
    </row>
    <row r="59" spans="1:6" ht="17">
      <c r="A59" s="3" t="s">
        <v>1045</v>
      </c>
      <c r="B59" s="3" t="s">
        <v>1131</v>
      </c>
      <c r="C59" s="4">
        <f>DATE(2024,7,31)+TIME(8,45,41)</f>
        <v>45504.365057870367</v>
      </c>
      <c r="F59" t="e">
        <f>VLOOKUP(Table1[[#This Row],[Company Name]],Sheet1!B:B,1,FALSE)</f>
        <v>#N/A</v>
      </c>
    </row>
    <row r="60" spans="1:6" ht="17">
      <c r="A60" s="1" t="s">
        <v>1045</v>
      </c>
      <c r="B60" s="1" t="s">
        <v>2015</v>
      </c>
      <c r="C60" s="2">
        <f>DATE(2024,7,31)+TIME(8,46,41)</f>
        <v>45504.365752314814</v>
      </c>
      <c r="F60" t="e">
        <f>VLOOKUP(Table1[[#This Row],[Company Name]],Sheet1!B:B,1,FALSE)</f>
        <v>#N/A</v>
      </c>
    </row>
    <row r="61" spans="1:6" ht="17">
      <c r="A61" s="3" t="s">
        <v>1047</v>
      </c>
      <c r="B61" s="3" t="s">
        <v>1048</v>
      </c>
      <c r="C61" s="4">
        <f>DATE(2024,8,1)+TIME(6,30,16)</f>
        <v>45505.271018518521</v>
      </c>
      <c r="F61" t="e">
        <f>VLOOKUP(Table1[[#This Row],[Company Name]],Sheet1!B:B,1,FALSE)</f>
        <v>#N/A</v>
      </c>
    </row>
    <row r="62" spans="1:6" ht="17">
      <c r="A62" s="3" t="s">
        <v>1049</v>
      </c>
      <c r="B62" s="3" t="s">
        <v>1050</v>
      </c>
      <c r="C62" s="4">
        <f>DATE(2024,9,4)+TIME(7,42,46)</f>
        <v>45539.32136574074</v>
      </c>
      <c r="F62" t="e">
        <f>VLOOKUP(Table1[[#This Row],[Company Name]],Sheet1!B:B,1,FALSE)</f>
        <v>#N/A</v>
      </c>
    </row>
    <row r="63" spans="1:6" ht="17">
      <c r="A63" s="3" t="s">
        <v>1051</v>
      </c>
      <c r="B63" s="3" t="s">
        <v>1052</v>
      </c>
      <c r="C63" s="4">
        <f>DATE(2024,7,11)+TIME(9,10,1)</f>
        <v>45484.381956018522</v>
      </c>
      <c r="F63" t="e">
        <f>VLOOKUP(Table1[[#This Row],[Company Name]],Sheet1!B:B,1,FALSE)</f>
        <v>#N/A</v>
      </c>
    </row>
    <row r="64" spans="1:6" ht="17">
      <c r="A64" s="3" t="s">
        <v>1051</v>
      </c>
      <c r="B64" s="3" t="s">
        <v>1052</v>
      </c>
      <c r="C64" s="4">
        <f>DATE(2024,7,11)+TIME(9,10,2)</f>
        <v>45484.381967592592</v>
      </c>
      <c r="F64" t="e">
        <f>VLOOKUP(Table1[[#This Row],[Company Name]],Sheet1!B:B,1,FALSE)</f>
        <v>#N/A</v>
      </c>
    </row>
    <row r="65" spans="1:6" ht="17">
      <c r="A65" s="3" t="s">
        <v>100</v>
      </c>
      <c r="B65" s="3" t="s">
        <v>101</v>
      </c>
      <c r="C65" s="4">
        <f>DATE(2024,9,23)+TIME(9,25,44)</f>
        <v>45558.392870370371</v>
      </c>
      <c r="F65" t="e">
        <f>VLOOKUP(Table1[[#This Row],[Company Name]],Sheet1!B:B,1,FALSE)</f>
        <v>#N/A</v>
      </c>
    </row>
    <row r="66" spans="1:6" ht="17">
      <c r="A66" s="1" t="s">
        <v>100</v>
      </c>
      <c r="B66" s="1" t="s">
        <v>2016</v>
      </c>
      <c r="C66" s="2">
        <f>DATE(2024,8,15)+TIME(14,26,54)</f>
        <v>45519.602013888885</v>
      </c>
      <c r="F66" t="e">
        <f>VLOOKUP(Table1[[#This Row],[Company Name]],Sheet1!B:B,1,FALSE)</f>
        <v>#N/A</v>
      </c>
    </row>
    <row r="67" spans="1:6" ht="17">
      <c r="A67" s="1" t="s">
        <v>1053</v>
      </c>
      <c r="B67" s="1" t="s">
        <v>1054</v>
      </c>
      <c r="C67" s="2">
        <f>DATE(2024,8,20)+TIME(15,25,18)</f>
        <v>45524.642569444448</v>
      </c>
      <c r="F67" t="e">
        <f>VLOOKUP(Table1[[#This Row],[Company Name]],Sheet1!B:B,1,FALSE)</f>
        <v>#N/A</v>
      </c>
    </row>
    <row r="68" spans="1:6" ht="17">
      <c r="A68" s="1" t="s">
        <v>1055</v>
      </c>
      <c r="B68" s="1" t="s">
        <v>1056</v>
      </c>
      <c r="C68" s="2">
        <f>DATE(2024,9,17)+TIME(6,53,25)</f>
        <v>45552.287094907406</v>
      </c>
      <c r="E68" t="s">
        <v>1040</v>
      </c>
      <c r="F68" t="s">
        <v>61</v>
      </c>
    </row>
    <row r="69" spans="1:6" ht="17">
      <c r="A69" s="1" t="s">
        <v>112</v>
      </c>
      <c r="B69" s="1" t="s">
        <v>1057</v>
      </c>
      <c r="C69" s="2">
        <f>DATE(2024,8,12)+TIME(8,40,0)</f>
        <v>45516.361111111109</v>
      </c>
      <c r="F69" t="e">
        <f>VLOOKUP(Table1[[#This Row],[Company Name]],Sheet1!B:B,1,FALSE)</f>
        <v>#N/A</v>
      </c>
    </row>
    <row r="70" spans="1:6" ht="17">
      <c r="A70" s="3" t="s">
        <v>112</v>
      </c>
      <c r="B70" s="3" t="s">
        <v>1264</v>
      </c>
      <c r="C70" s="4">
        <f>DATE(2024,9,9)+TIME(14,12,57)</f>
        <v>45544.592326388891</v>
      </c>
      <c r="F70" t="e">
        <f>VLOOKUP(Table1[[#This Row],[Company Name]],Sheet1!B:B,1,FALSE)</f>
        <v>#N/A</v>
      </c>
    </row>
    <row r="71" spans="1:6" ht="17">
      <c r="A71" s="3" t="s">
        <v>112</v>
      </c>
      <c r="B71" s="3" t="s">
        <v>113</v>
      </c>
      <c r="C71" s="4">
        <f>DATE(2024,8,9)+TIME(11,45,29)</f>
        <v>45513.489918981482</v>
      </c>
      <c r="F71" t="e">
        <f>VLOOKUP(Table1[[#This Row],[Company Name]],Sheet1!B:B,1,FALSE)</f>
        <v>#N/A</v>
      </c>
    </row>
    <row r="72" spans="1:6" ht="17">
      <c r="A72" s="1" t="s">
        <v>1058</v>
      </c>
      <c r="B72" s="1" t="s">
        <v>85</v>
      </c>
      <c r="C72" s="2">
        <f>DATE(2024,8,29)+TIME(13,10,47)</f>
        <v>45533.549155092594</v>
      </c>
      <c r="E72" t="s">
        <v>1040</v>
      </c>
      <c r="F72" t="e">
        <f>VLOOKUP(Table1[[#This Row],[Company Name]],Sheet1!B:B,1,FALSE)</f>
        <v>#N/A</v>
      </c>
    </row>
    <row r="73" spans="1:6" ht="17">
      <c r="A73" s="1" t="s">
        <v>1059</v>
      </c>
      <c r="B73" s="1" t="s">
        <v>806</v>
      </c>
      <c r="C73" s="2">
        <f>DATE(2024,7,21)+TIME(18,45,38)</f>
        <v>45494.781689814816</v>
      </c>
      <c r="E73" t="s">
        <v>1040</v>
      </c>
      <c r="F73" t="s">
        <v>61</v>
      </c>
    </row>
    <row r="74" spans="1:6" ht="17">
      <c r="A74" s="3" t="s">
        <v>120</v>
      </c>
      <c r="B74" s="3" t="s">
        <v>121</v>
      </c>
      <c r="C74" s="4">
        <f>DATE(2024,9,19)+TIME(11,45,5)</f>
        <v>45554.489641203705</v>
      </c>
      <c r="E74" t="s">
        <v>1060</v>
      </c>
      <c r="F74" t="s">
        <v>61</v>
      </c>
    </row>
    <row r="75" spans="1:6" ht="34">
      <c r="A75" s="3" t="s">
        <v>2017</v>
      </c>
      <c r="B75" s="3" t="s">
        <v>2018</v>
      </c>
      <c r="C75" s="4">
        <f>DATE(2024,9,18)+TIME(14,1,5)</f>
        <v>45553.584085648145</v>
      </c>
      <c r="E75" t="s">
        <v>1040</v>
      </c>
      <c r="F75" t="s">
        <v>61</v>
      </c>
    </row>
    <row r="76" spans="1:6" ht="17">
      <c r="A76" s="3" t="s">
        <v>120</v>
      </c>
      <c r="B76" s="3" t="s">
        <v>1428</v>
      </c>
      <c r="C76" s="4">
        <f>DATE(2024,8,7)+TIME(9,32,20)</f>
        <v>45511.397453703707</v>
      </c>
      <c r="E76" t="s">
        <v>1040</v>
      </c>
      <c r="F76" t="s">
        <v>61</v>
      </c>
    </row>
    <row r="77" spans="1:6" ht="17">
      <c r="A77" s="1" t="s">
        <v>120</v>
      </c>
      <c r="B77" s="1" t="s">
        <v>216</v>
      </c>
      <c r="C77" s="2">
        <f>DATE(2024,9,23)+TIME(11,3,4)</f>
        <v>45558.460462962961</v>
      </c>
      <c r="E77" t="s">
        <v>1040</v>
      </c>
      <c r="F77" t="s">
        <v>61</v>
      </c>
    </row>
    <row r="78" spans="1:6" ht="17">
      <c r="A78" s="1" t="s">
        <v>2017</v>
      </c>
      <c r="B78" s="1" t="s">
        <v>2019</v>
      </c>
      <c r="C78" s="2">
        <f>DATE(2024,9,17)+TIME(5,45,17)</f>
        <v>45552.23978009259</v>
      </c>
      <c r="E78" t="s">
        <v>1040</v>
      </c>
      <c r="F78" t="s">
        <v>61</v>
      </c>
    </row>
    <row r="79" spans="1:6" ht="34">
      <c r="A79" s="1" t="s">
        <v>2017</v>
      </c>
      <c r="B79" s="1" t="s">
        <v>2020</v>
      </c>
      <c r="C79" s="2">
        <f>DATE(2024,8,26)+TIME(8,55,25)</f>
        <v>45530.371817129628</v>
      </c>
      <c r="E79" t="s">
        <v>1040</v>
      </c>
      <c r="F79" t="s">
        <v>61</v>
      </c>
    </row>
    <row r="80" spans="1:6" ht="17">
      <c r="A80" s="3" t="s">
        <v>2017</v>
      </c>
      <c r="B80" s="3" t="s">
        <v>2021</v>
      </c>
      <c r="C80" s="4">
        <f>DATE(2024,9,17)+TIME(5,50,4)</f>
        <v>45552.243101851855</v>
      </c>
      <c r="E80" t="s">
        <v>1040</v>
      </c>
      <c r="F80" t="s">
        <v>61</v>
      </c>
    </row>
    <row r="81" spans="1:6" ht="17">
      <c r="A81" s="1" t="s">
        <v>2017</v>
      </c>
      <c r="B81" s="1" t="s">
        <v>2022</v>
      </c>
      <c r="C81" s="2">
        <f>DATE(2024,9,17)+TIME(5,31,20)</f>
        <v>45552.230092592596</v>
      </c>
      <c r="E81" t="s">
        <v>1040</v>
      </c>
      <c r="F81" t="s">
        <v>61</v>
      </c>
    </row>
    <row r="82" spans="1:6" ht="17">
      <c r="A82" s="3" t="s">
        <v>1061</v>
      </c>
      <c r="B82" s="3" t="s">
        <v>1062</v>
      </c>
      <c r="C82" s="4">
        <f>DATE(2024,7,26)+TIME(12,15,42)</f>
        <v>45499.51090277778</v>
      </c>
      <c r="F82" t="e">
        <f>VLOOKUP(Table1[[#This Row],[Company Name]],Sheet1!B:B,1,FALSE)</f>
        <v>#N/A</v>
      </c>
    </row>
    <row r="83" spans="1:6" ht="17">
      <c r="A83" s="1" t="s">
        <v>1063</v>
      </c>
      <c r="B83" s="1" t="s">
        <v>296</v>
      </c>
      <c r="C83" s="2">
        <f>DATE(2024,6,2)+TIME(8,8,33)</f>
        <v>45445.339270833334</v>
      </c>
      <c r="F83" t="e">
        <f>VLOOKUP(Table1[[#This Row],[Company Name]],Sheet1!B:B,1,FALSE)</f>
        <v>#N/A</v>
      </c>
    </row>
    <row r="84" spans="1:6" ht="17">
      <c r="A84" s="3" t="s">
        <v>1064</v>
      </c>
      <c r="B84" s="3" t="s">
        <v>1065</v>
      </c>
      <c r="C84" s="4">
        <f>DATE(2024,7,9)+TIME(13,37,53)</f>
        <v>45482.567974537036</v>
      </c>
      <c r="F84" t="e">
        <f>VLOOKUP(Table1[[#This Row],[Company Name]],Sheet1!B:B,1,FALSE)</f>
        <v>#N/A</v>
      </c>
    </row>
    <row r="85" spans="1:6" ht="17">
      <c r="A85" s="6" t="s">
        <v>1066</v>
      </c>
      <c r="B85" s="6" t="s">
        <v>271</v>
      </c>
      <c r="C85" s="7">
        <f>DATE(2024,8,16)+TIME(10,40,44)</f>
        <v>45520.444953703707</v>
      </c>
      <c r="D85" s="8" t="s">
        <v>2002</v>
      </c>
      <c r="F85" t="e">
        <f>VLOOKUP(Table1[[#This Row],[Company Name]],Sheet1!B:B,1,FALSE)</f>
        <v>#N/A</v>
      </c>
    </row>
    <row r="86" spans="1:6" ht="17">
      <c r="A86" s="6" t="s">
        <v>1066</v>
      </c>
      <c r="B86" s="6" t="s">
        <v>2023</v>
      </c>
      <c r="C86" s="7">
        <f>DATE(2024,8,16)+TIME(10,40,45)</f>
        <v>45520.444965277777</v>
      </c>
      <c r="D86" s="8" t="s">
        <v>2002</v>
      </c>
      <c r="F86" t="e">
        <f>VLOOKUP(Table1[[#This Row],[Company Name]],Sheet1!B:B,1,FALSE)</f>
        <v>#N/A</v>
      </c>
    </row>
    <row r="87" spans="1:6" ht="17">
      <c r="A87" s="6" t="s">
        <v>1069</v>
      </c>
      <c r="B87" s="6" t="s">
        <v>1070</v>
      </c>
      <c r="C87" s="7">
        <f>DATE(2024,9,5)+TIME(8,43,25)</f>
        <v>45540.363483796296</v>
      </c>
      <c r="D87" s="8" t="s">
        <v>2002</v>
      </c>
      <c r="F87" t="e">
        <f>VLOOKUP(Table1[[#This Row],[Company Name]],Sheet1!B:B,1,FALSE)</f>
        <v>#N/A</v>
      </c>
    </row>
    <row r="88" spans="1:6" ht="17">
      <c r="A88" s="6" t="s">
        <v>1073</v>
      </c>
      <c r="B88" s="6" t="s">
        <v>1074</v>
      </c>
      <c r="C88" s="7">
        <f>DATE(2024,7,29)+TIME(16,1,5)</f>
        <v>45502.66741898148</v>
      </c>
      <c r="D88" s="8" t="s">
        <v>2002</v>
      </c>
      <c r="F88" t="e">
        <f>VLOOKUP(Table1[[#This Row],[Company Name]],Sheet1!B:B,1,FALSE)</f>
        <v>#N/A</v>
      </c>
    </row>
    <row r="89" spans="1:6" ht="17">
      <c r="A89" s="6" t="s">
        <v>2024</v>
      </c>
      <c r="B89" s="6" t="s">
        <v>1076</v>
      </c>
      <c r="C89" s="7">
        <f>DATE(2024,9,19)+TIME(7,38,37)</f>
        <v>45554.318483796298</v>
      </c>
      <c r="D89" s="8" t="s">
        <v>2002</v>
      </c>
      <c r="F89" t="e">
        <f>VLOOKUP(Table1[[#This Row],[Company Name]],Sheet1!B:B,1,FALSE)</f>
        <v>#N/A</v>
      </c>
    </row>
    <row r="90" spans="1:6" ht="17">
      <c r="A90" s="6" t="s">
        <v>2024</v>
      </c>
      <c r="B90" s="6" t="s">
        <v>2025</v>
      </c>
      <c r="C90" s="7">
        <f>DATE(2024,8,21)+TIME(12,43,50)</f>
        <v>45525.530439814815</v>
      </c>
      <c r="D90" s="8" t="s">
        <v>2002</v>
      </c>
      <c r="F90" t="e">
        <f>VLOOKUP(Table1[[#This Row],[Company Name]],Sheet1!B:B,1,FALSE)</f>
        <v>#N/A</v>
      </c>
    </row>
    <row r="91" spans="1:6" ht="17">
      <c r="A91" s="6" t="s">
        <v>2024</v>
      </c>
      <c r="B91" s="6" t="s">
        <v>2026</v>
      </c>
      <c r="C91" s="7">
        <f>DATE(2024,9,16)+TIME(9,19,11)</f>
        <v>45551.388321759259</v>
      </c>
      <c r="D91" s="8" t="s">
        <v>2002</v>
      </c>
      <c r="F91" t="e">
        <f>VLOOKUP(Table1[[#This Row],[Company Name]],Sheet1!B:B,1,FALSE)</f>
        <v>#N/A</v>
      </c>
    </row>
    <row r="92" spans="1:6" ht="17">
      <c r="A92" s="3" t="s">
        <v>1078</v>
      </c>
      <c r="B92" s="3" t="s">
        <v>1079</v>
      </c>
      <c r="C92" s="4">
        <f>DATE(2024,9,13)+TIME(9,11,59)</f>
        <v>45548.383321759262</v>
      </c>
      <c r="F92" t="e">
        <f>VLOOKUP(Table1[[#This Row],[Company Name]],Sheet1!B:B,1,FALSE)</f>
        <v>#N/A</v>
      </c>
    </row>
    <row r="93" spans="1:6" ht="17">
      <c r="A93" s="6" t="s">
        <v>1080</v>
      </c>
      <c r="B93" s="6" t="s">
        <v>1081</v>
      </c>
      <c r="C93" s="7">
        <f>DATE(2024,8,9)+TIME(10,15,7)</f>
        <v>45513.427164351851</v>
      </c>
      <c r="D93" s="8" t="s">
        <v>2002</v>
      </c>
      <c r="E93" t="s">
        <v>1082</v>
      </c>
      <c r="F93" t="s">
        <v>61</v>
      </c>
    </row>
    <row r="94" spans="1:6" ht="17">
      <c r="A94" s="6" t="s">
        <v>1080</v>
      </c>
      <c r="B94" s="6" t="s">
        <v>1290</v>
      </c>
      <c r="C94" s="7">
        <f>DATE(2024,8,9)+TIME(16,2,35)</f>
        <v>45513.66846064815</v>
      </c>
      <c r="D94" s="8" t="s">
        <v>2002</v>
      </c>
      <c r="E94" t="s">
        <v>1082</v>
      </c>
      <c r="F94" t="s">
        <v>61</v>
      </c>
    </row>
    <row r="95" spans="1:6" ht="17">
      <c r="A95" s="3" t="s">
        <v>1086</v>
      </c>
      <c r="B95" s="3" t="s">
        <v>1087</v>
      </c>
      <c r="C95" s="4">
        <f>DATE(2024,7,30)+TIME(14,7,3)</f>
        <v>45503.588229166664</v>
      </c>
      <c r="F95" t="e">
        <f>VLOOKUP(Table1[[#This Row],[Company Name]],Sheet1!B:B,1,FALSE)</f>
        <v>#N/A</v>
      </c>
    </row>
    <row r="96" spans="1:6" ht="17">
      <c r="A96" s="3" t="s">
        <v>1088</v>
      </c>
      <c r="B96" s="3" t="s">
        <v>1089</v>
      </c>
      <c r="C96" s="4">
        <f>DATE(2024,9,18)+TIME(15,44,15)</f>
        <v>45553.655729166669</v>
      </c>
      <c r="F96" t="e">
        <f>VLOOKUP(Table1[[#This Row],[Company Name]],Sheet1!B:B,1,FALSE)</f>
        <v>#N/A</v>
      </c>
    </row>
    <row r="97" spans="1:6" ht="17">
      <c r="A97" s="1" t="s">
        <v>1090</v>
      </c>
      <c r="B97" s="1" t="s">
        <v>1091</v>
      </c>
      <c r="C97" s="2">
        <f>DATE(2024,9,9)+TIME(12,19,43)</f>
        <v>45544.513692129629</v>
      </c>
      <c r="F97" t="e">
        <f>VLOOKUP(Table1[[#This Row],[Company Name]],Sheet1!B:B,1,FALSE)</f>
        <v>#N/A</v>
      </c>
    </row>
    <row r="98" spans="1:6" ht="17">
      <c r="A98" s="1" t="s">
        <v>1090</v>
      </c>
      <c r="B98" s="1" t="s">
        <v>2027</v>
      </c>
      <c r="C98" s="2">
        <f>DATE(2024,9,9)+TIME(12,19,43)</f>
        <v>45544.513692129629</v>
      </c>
      <c r="F98" t="e">
        <f>VLOOKUP(Table1[[#This Row],[Company Name]],Sheet1!B:B,1,FALSE)</f>
        <v>#N/A</v>
      </c>
    </row>
    <row r="99" spans="1:6" ht="17">
      <c r="A99" s="3" t="s">
        <v>1092</v>
      </c>
      <c r="B99" s="3" t="s">
        <v>1044</v>
      </c>
      <c r="C99" s="4">
        <f>DATE(2024,6,5)+TIME(13,49,10)</f>
        <v>45448.575810185182</v>
      </c>
      <c r="E99" t="s">
        <v>1040</v>
      </c>
      <c r="F99" t="e">
        <f>VLOOKUP(Table1[[#This Row],[Company Name]],Sheet1!B:B,1,FALSE)</f>
        <v>#N/A</v>
      </c>
    </row>
    <row r="100" spans="1:6" ht="17">
      <c r="A100" s="1" t="s">
        <v>1092</v>
      </c>
      <c r="B100" s="1" t="s">
        <v>2028</v>
      </c>
      <c r="C100" s="2">
        <f>DATE(2024,7,24)+TIME(13,15,11)</f>
        <v>45497.552210648151</v>
      </c>
      <c r="E100" t="s">
        <v>1040</v>
      </c>
      <c r="F100" t="e">
        <f>VLOOKUP(Table1[[#This Row],[Company Name]],Sheet1!B:B,1,FALSE)</f>
        <v>#N/A</v>
      </c>
    </row>
    <row r="101" spans="1:6" ht="17">
      <c r="A101" s="3" t="s">
        <v>1092</v>
      </c>
      <c r="B101" s="3" t="s">
        <v>344</v>
      </c>
      <c r="C101" s="4">
        <f>DATE(2024,6,5)+TIME(13,55,26)</f>
        <v>45448.58016203704</v>
      </c>
      <c r="E101" t="s">
        <v>1040</v>
      </c>
      <c r="F101" t="e">
        <f>VLOOKUP(Table1[[#This Row],[Company Name]],Sheet1!B:B,1,FALSE)</f>
        <v>#N/A</v>
      </c>
    </row>
    <row r="102" spans="1:6" ht="17">
      <c r="A102" s="3" t="s">
        <v>1093</v>
      </c>
      <c r="B102" s="3" t="s">
        <v>943</v>
      </c>
      <c r="C102" s="4">
        <f>DATE(2024,6,13)+TIME(10,16,23)</f>
        <v>45456.428043981483</v>
      </c>
      <c r="E102" t="s">
        <v>1094</v>
      </c>
      <c r="F102" t="s">
        <v>61</v>
      </c>
    </row>
    <row r="103" spans="1:6" ht="17">
      <c r="A103" s="1" t="s">
        <v>1093</v>
      </c>
      <c r="B103" s="1" t="s">
        <v>344</v>
      </c>
      <c r="C103" s="2">
        <f>DATE(2024,6,13)+TIME(10,16,24)</f>
        <v>45456.428055555552</v>
      </c>
      <c r="E103" t="s">
        <v>1094</v>
      </c>
      <c r="F103" t="s">
        <v>61</v>
      </c>
    </row>
    <row r="104" spans="1:6" ht="17">
      <c r="A104" s="3" t="s">
        <v>1095</v>
      </c>
      <c r="B104" s="3" t="s">
        <v>85</v>
      </c>
      <c r="C104" s="4">
        <f>DATE(2024,8,15)+TIME(13,48,49)</f>
        <v>45519.575567129628</v>
      </c>
      <c r="F104" t="e">
        <f>VLOOKUP(Table1[[#This Row],[Company Name]],Sheet1!B:B,1,FALSE)</f>
        <v>#N/A</v>
      </c>
    </row>
    <row r="105" spans="1:6" ht="17">
      <c r="A105" s="3" t="s">
        <v>1096</v>
      </c>
      <c r="B105" s="3" t="s">
        <v>1097</v>
      </c>
      <c r="C105" s="4">
        <f>DATE(2024,7,8)+TIME(9,21,39)</f>
        <v>45481.390034722222</v>
      </c>
      <c r="F105" t="e">
        <f>VLOOKUP(Table1[[#This Row],[Company Name]],Sheet1!B:B,1,FALSE)</f>
        <v>#N/A</v>
      </c>
    </row>
    <row r="106" spans="1:6" ht="17">
      <c r="A106" s="1" t="s">
        <v>1098</v>
      </c>
      <c r="B106" s="1" t="s">
        <v>1099</v>
      </c>
      <c r="C106" s="2">
        <f>DATE(2024,9,20)+TIME(4,52,23)</f>
        <v>45555.203043981484</v>
      </c>
      <c r="F106" t="e">
        <f>VLOOKUP(Table1[[#This Row],[Company Name]],Sheet1!B:B,1,FALSE)</f>
        <v>#N/A</v>
      </c>
    </row>
    <row r="107" spans="1:6" ht="17">
      <c r="A107" s="3" t="s">
        <v>1100</v>
      </c>
      <c r="B107" s="3" t="s">
        <v>1101</v>
      </c>
      <c r="C107" s="4">
        <f>DATE(2024,9,20)+TIME(14,55,38)</f>
        <v>45555.621967592589</v>
      </c>
      <c r="F107" t="e">
        <f>VLOOKUP(Table1[[#This Row],[Company Name]],Sheet1!B:B,1,FALSE)</f>
        <v>#N/A</v>
      </c>
    </row>
    <row r="108" spans="1:6" ht="17">
      <c r="A108" s="1" t="s">
        <v>1102</v>
      </c>
      <c r="B108" s="1" t="s">
        <v>1103</v>
      </c>
      <c r="C108" s="2">
        <f>DATE(2024,6,11)+TIME(8,48,49)</f>
        <v>45454.3672337963</v>
      </c>
      <c r="F108" t="e">
        <f>VLOOKUP(Table1[[#This Row],[Company Name]],Sheet1!B:B,1,FALSE)</f>
        <v>#N/A</v>
      </c>
    </row>
    <row r="109" spans="1:6" ht="17">
      <c r="A109" s="1" t="s">
        <v>1102</v>
      </c>
      <c r="B109" s="1" t="s">
        <v>85</v>
      </c>
      <c r="C109" s="2">
        <f>DATE(2024,6,11)+TIME(15,35,14)</f>
        <v>45454.649467592593</v>
      </c>
      <c r="F109" t="e">
        <f>VLOOKUP(Table1[[#This Row],[Company Name]],Sheet1!B:B,1,FALSE)</f>
        <v>#N/A</v>
      </c>
    </row>
    <row r="110" spans="1:6" ht="17">
      <c r="A110" s="3" t="s">
        <v>1102</v>
      </c>
      <c r="B110" s="3" t="s">
        <v>567</v>
      </c>
      <c r="C110" s="4">
        <f>DATE(2024,6,11)+TIME(15,35,21)</f>
        <v>45454.649548611109</v>
      </c>
      <c r="F110" t="e">
        <f>VLOOKUP(Table1[[#This Row],[Company Name]],Sheet1!B:B,1,FALSE)</f>
        <v>#N/A</v>
      </c>
    </row>
    <row r="111" spans="1:6" ht="17">
      <c r="A111" s="1" t="s">
        <v>1104</v>
      </c>
      <c r="B111" s="1" t="s">
        <v>1105</v>
      </c>
      <c r="C111" s="2">
        <f>DATE(2024,8,19)+TIME(15,31,18)</f>
        <v>45523.646736111114</v>
      </c>
      <c r="E111" t="s">
        <v>1040</v>
      </c>
      <c r="F111" t="s">
        <v>61</v>
      </c>
    </row>
    <row r="112" spans="1:6" ht="17">
      <c r="A112" s="1" t="s">
        <v>2029</v>
      </c>
      <c r="B112" s="1" t="s">
        <v>2030</v>
      </c>
      <c r="C112" s="2">
        <f>DATE(2024,6,18)+TIME(8,34,11)</f>
        <v>45461.357071759259</v>
      </c>
      <c r="E112" t="s">
        <v>1040</v>
      </c>
      <c r="F112" t="s">
        <v>61</v>
      </c>
    </row>
    <row r="113" spans="1:6" ht="17">
      <c r="A113" s="1" t="s">
        <v>1104</v>
      </c>
      <c r="B113" s="1" t="s">
        <v>2031</v>
      </c>
      <c r="C113" s="2">
        <f>DATE(2024,8,15)+TIME(8,37,16)</f>
        <v>45519.359212962961</v>
      </c>
      <c r="E113" t="s">
        <v>1040</v>
      </c>
      <c r="F113" t="s">
        <v>61</v>
      </c>
    </row>
    <row r="114" spans="1:6" ht="17">
      <c r="A114" s="3" t="s">
        <v>131</v>
      </c>
      <c r="B114" s="3" t="s">
        <v>296</v>
      </c>
      <c r="C114" s="4">
        <f>DATE(2024,7,30)+TIME(13,31,38)</f>
        <v>45503.563634259262</v>
      </c>
      <c r="E114" t="s">
        <v>1040</v>
      </c>
      <c r="F114" t="s">
        <v>61</v>
      </c>
    </row>
    <row r="115" spans="1:6" ht="17">
      <c r="A115" s="3" t="s">
        <v>131</v>
      </c>
      <c r="B115" s="3" t="s">
        <v>132</v>
      </c>
      <c r="C115" s="4">
        <f>DATE(2024,9,24)+TIME(6,31,29)</f>
        <v>45559.271863425929</v>
      </c>
      <c r="E115" t="s">
        <v>1040</v>
      </c>
      <c r="F115" t="s">
        <v>61</v>
      </c>
    </row>
    <row r="116" spans="1:6" ht="17">
      <c r="A116" s="3" t="s">
        <v>131</v>
      </c>
      <c r="B116" s="3" t="s">
        <v>1187</v>
      </c>
      <c r="C116" s="4">
        <f>DATE(2024,7,22)+TIME(13,1,35)</f>
        <v>45495.542766203704</v>
      </c>
      <c r="E116" t="s">
        <v>1040</v>
      </c>
      <c r="F116" t="s">
        <v>61</v>
      </c>
    </row>
    <row r="117" spans="1:6" ht="34">
      <c r="A117" s="3" t="s">
        <v>131</v>
      </c>
      <c r="B117" s="3" t="s">
        <v>2032</v>
      </c>
      <c r="C117" s="4">
        <f>DATE(2024,7,23)+TIME(10,7,19)</f>
        <v>45496.421747685185</v>
      </c>
      <c r="E117" t="s">
        <v>1040</v>
      </c>
      <c r="F117" t="s">
        <v>61</v>
      </c>
    </row>
    <row r="118" spans="1:6" ht="34">
      <c r="A118" s="1" t="s">
        <v>131</v>
      </c>
      <c r="B118" s="1" t="s">
        <v>2033</v>
      </c>
      <c r="C118" s="2">
        <f>DATE(2024,8,14)+TIME(8,11,7)</f>
        <v>45518.341053240743</v>
      </c>
      <c r="E118" t="s">
        <v>1040</v>
      </c>
      <c r="F118" t="s">
        <v>61</v>
      </c>
    </row>
    <row r="119" spans="1:6" ht="17">
      <c r="A119" s="1" t="s">
        <v>1106</v>
      </c>
      <c r="B119" s="1" t="s">
        <v>1107</v>
      </c>
      <c r="C119" s="2">
        <f>DATE(2024,8,25)+TIME(12,18,6)</f>
        <v>45529.512569444443</v>
      </c>
      <c r="F119" t="e">
        <f>VLOOKUP(Table1[[#This Row],[Company Name]],Sheet1!B:B,1,FALSE)</f>
        <v>#N/A</v>
      </c>
    </row>
    <row r="120" spans="1:6" ht="17">
      <c r="A120" s="6" t="s">
        <v>139</v>
      </c>
      <c r="B120" s="6" t="s">
        <v>1108</v>
      </c>
      <c r="C120" s="7">
        <f>DATE(2024,9,12)+TIME(15,41,6)</f>
        <v>45547.653541666667</v>
      </c>
      <c r="D120" s="8" t="s">
        <v>2002</v>
      </c>
      <c r="E120" t="s">
        <v>1110</v>
      </c>
      <c r="F120" t="s">
        <v>61</v>
      </c>
    </row>
    <row r="121" spans="1:6" ht="17">
      <c r="A121" s="3" t="s">
        <v>1113</v>
      </c>
      <c r="B121" s="3" t="s">
        <v>1114</v>
      </c>
      <c r="C121" s="4">
        <f>DATE(2024,7,29)+TIME(6,48,5)</f>
        <v>45502.283391203702</v>
      </c>
      <c r="F121" t="e">
        <f>VLOOKUP(Table1[[#This Row],[Company Name]],Sheet1!B:B,1,FALSE)</f>
        <v>#N/A</v>
      </c>
    </row>
    <row r="122" spans="1:6" ht="17">
      <c r="A122" s="3" t="s">
        <v>1115</v>
      </c>
      <c r="B122" s="3" t="s">
        <v>1116</v>
      </c>
      <c r="C122" s="4">
        <f>DATE(2024,9,10)+TIME(8,36,37)</f>
        <v>45545.358761574076</v>
      </c>
      <c r="F122" t="e">
        <f>VLOOKUP(Table1[[#This Row],[Company Name]],Sheet1!B:B,1,FALSE)</f>
        <v>#N/A</v>
      </c>
    </row>
    <row r="123" spans="1:6" ht="17">
      <c r="A123" s="6" t="s">
        <v>1118</v>
      </c>
      <c r="B123" s="6" t="s">
        <v>1119</v>
      </c>
      <c r="C123" s="7">
        <f>DATE(2024,8,20)+TIME(10,46,25)</f>
        <v>45524.448900462965</v>
      </c>
      <c r="D123" s="8" t="s">
        <v>2002</v>
      </c>
      <c r="F123" t="e">
        <f>VLOOKUP(Table1[[#This Row],[Company Name]],Sheet1!B:B,1,FALSE)</f>
        <v>#N/A</v>
      </c>
    </row>
    <row r="124" spans="1:6" ht="17">
      <c r="A124" s="6" t="s">
        <v>1118</v>
      </c>
      <c r="B124" s="6" t="s">
        <v>2034</v>
      </c>
      <c r="C124" s="7">
        <f>DATE(2024,8,20)+TIME(10,46,25)</f>
        <v>45524.448900462965</v>
      </c>
      <c r="D124" s="8" t="s">
        <v>2002</v>
      </c>
      <c r="F124" t="e">
        <f>VLOOKUP(Table1[[#This Row],[Company Name]],Sheet1!B:B,1,FALSE)</f>
        <v>#N/A</v>
      </c>
    </row>
    <row r="125" spans="1:6" ht="17">
      <c r="A125" s="6" t="s">
        <v>1118</v>
      </c>
      <c r="B125" s="6" t="s">
        <v>2034</v>
      </c>
      <c r="C125" s="7">
        <f>DATE(2024,8,20)+TIME(10,46,26)</f>
        <v>45524.448912037034</v>
      </c>
      <c r="D125" s="8" t="s">
        <v>2002</v>
      </c>
      <c r="F125" t="e">
        <f>VLOOKUP(Table1[[#This Row],[Company Name]],Sheet1!B:B,1,FALSE)</f>
        <v>#N/A</v>
      </c>
    </row>
    <row r="126" spans="1:6" ht="17">
      <c r="A126" s="6" t="s">
        <v>1118</v>
      </c>
      <c r="B126" s="6" t="s">
        <v>2035</v>
      </c>
      <c r="C126" s="7">
        <f>DATE(2024,8,20)+TIME(10,46,25)</f>
        <v>45524.448900462965</v>
      </c>
      <c r="D126" s="8" t="s">
        <v>2002</v>
      </c>
      <c r="F126" t="e">
        <f>VLOOKUP(Table1[[#This Row],[Company Name]],Sheet1!B:B,1,FALSE)</f>
        <v>#N/A</v>
      </c>
    </row>
    <row r="127" spans="1:6" ht="17">
      <c r="A127" s="1" t="s">
        <v>1122</v>
      </c>
      <c r="B127" s="1" t="s">
        <v>296</v>
      </c>
      <c r="C127" s="2">
        <f>DATE(2024,6,12)+TIME(15,38,17)</f>
        <v>45455.651585648149</v>
      </c>
      <c r="F127" t="e">
        <f>VLOOKUP(Table1[[#This Row],[Company Name]],Sheet1!B:B,1,FALSE)</f>
        <v>#N/A</v>
      </c>
    </row>
    <row r="128" spans="1:6" ht="17">
      <c r="A128" s="1" t="s">
        <v>1124</v>
      </c>
      <c r="B128" s="1" t="s">
        <v>675</v>
      </c>
      <c r="C128" s="2">
        <f>DATE(2024,9,10)+TIME(12,29,24)</f>
        <v>45545.520416666666</v>
      </c>
      <c r="F128" t="e">
        <f>VLOOKUP(Table1[[#This Row],[Company Name]],Sheet1!B:B,1,FALSE)</f>
        <v>#N/A</v>
      </c>
    </row>
    <row r="129" spans="1:6" ht="17">
      <c r="A129" s="3" t="s">
        <v>1125</v>
      </c>
      <c r="B129" s="3" t="s">
        <v>1126</v>
      </c>
      <c r="C129" s="4">
        <f>DATE(2024,9,4)+TIME(8,23,20)</f>
        <v>45539.349537037036</v>
      </c>
      <c r="F129" t="e">
        <f>VLOOKUP(Table1[[#This Row],[Company Name]],Sheet1!B:B,1,FALSE)</f>
        <v>#N/A</v>
      </c>
    </row>
    <row r="130" spans="1:6" ht="17">
      <c r="A130" s="3" t="s">
        <v>1128</v>
      </c>
      <c r="B130" s="3" t="s">
        <v>1129</v>
      </c>
      <c r="C130" s="4">
        <f>DATE(2024,8,30)+TIME(9,35,55)</f>
        <v>45534.399942129632</v>
      </c>
      <c r="F130" t="e">
        <f>VLOOKUP(Table1[[#This Row],[Company Name]],Sheet1!B:B,1,FALSE)</f>
        <v>#N/A</v>
      </c>
    </row>
    <row r="131" spans="1:6" ht="17">
      <c r="A131" s="3" t="s">
        <v>1128</v>
      </c>
      <c r="B131" s="3" t="s">
        <v>2036</v>
      </c>
      <c r="C131" s="4">
        <f>DATE(2024,9,9)+TIME(8,59,54)</f>
        <v>45544.374930555554</v>
      </c>
      <c r="F131" t="e">
        <f>VLOOKUP(Table1[[#This Row],[Company Name]],Sheet1!B:B,1,FALSE)</f>
        <v>#N/A</v>
      </c>
    </row>
    <row r="132" spans="1:6" ht="17">
      <c r="A132" s="3" t="s">
        <v>1130</v>
      </c>
      <c r="B132" s="3" t="s">
        <v>1131</v>
      </c>
      <c r="C132" s="4">
        <f>DATE(2024,9,9)+TIME(11,2,0)</f>
        <v>45544.459722222222</v>
      </c>
      <c r="F132" t="e">
        <f>VLOOKUP(Table1[[#This Row],[Company Name]],Sheet1!B:B,1,FALSE)</f>
        <v>#N/A</v>
      </c>
    </row>
    <row r="133" spans="1:6" ht="17">
      <c r="A133" s="1" t="s">
        <v>1133</v>
      </c>
      <c r="B133" s="1" t="s">
        <v>1134</v>
      </c>
      <c r="C133" s="2">
        <f>DATE(2024,8,12)+TIME(13,32,20)</f>
        <v>45516.564120370371</v>
      </c>
      <c r="E133" t="s">
        <v>1135</v>
      </c>
      <c r="F133" t="s">
        <v>61</v>
      </c>
    </row>
    <row r="134" spans="1:6" ht="17">
      <c r="A134" s="3" t="s">
        <v>1133</v>
      </c>
      <c r="B134" s="3" t="s">
        <v>1134</v>
      </c>
      <c r="C134" s="4">
        <f>DATE(2024,9,26)+TIME(12,55,20)</f>
        <v>45561.538425925923</v>
      </c>
      <c r="E134" t="s">
        <v>1135</v>
      </c>
      <c r="F134" t="s">
        <v>61</v>
      </c>
    </row>
    <row r="135" spans="1:6" ht="17">
      <c r="A135" s="1" t="s">
        <v>1133</v>
      </c>
      <c r="B135" s="1" t="s">
        <v>1264</v>
      </c>
      <c r="C135" s="2">
        <f>DATE(2024,8,8)+TIME(10,20,13)</f>
        <v>45512.430706018517</v>
      </c>
      <c r="E135" t="s">
        <v>1135</v>
      </c>
      <c r="F135" t="s">
        <v>61</v>
      </c>
    </row>
    <row r="136" spans="1:6" ht="17">
      <c r="A136" s="3" t="s">
        <v>1133</v>
      </c>
      <c r="B136" s="3" t="s">
        <v>1134</v>
      </c>
      <c r="C136" s="4">
        <f>DATE(2024,8,14)+TIME(11,56,56)</f>
        <v>45518.497870370367</v>
      </c>
      <c r="E136" t="s">
        <v>1135</v>
      </c>
      <c r="F136" t="s">
        <v>61</v>
      </c>
    </row>
    <row r="137" spans="1:6" ht="17">
      <c r="A137" s="3" t="s">
        <v>1136</v>
      </c>
      <c r="B137" s="3" t="s">
        <v>1137</v>
      </c>
      <c r="C137" s="4">
        <f>DATE(2024,9,12)+TIME(14,31,53)</f>
        <v>45547.605474537035</v>
      </c>
      <c r="E137" t="s">
        <v>1040</v>
      </c>
      <c r="F137" t="e">
        <f>VLOOKUP(Table1[[#This Row],[Company Name]],Sheet1!B:B,1,FALSE)</f>
        <v>#N/A</v>
      </c>
    </row>
    <row r="138" spans="1:6" ht="17">
      <c r="A138" s="3" t="s">
        <v>1138</v>
      </c>
      <c r="B138" s="3" t="s">
        <v>1139</v>
      </c>
      <c r="C138" s="4">
        <f>DATE(2024,9,13)+TIME(10,37,37)</f>
        <v>45548.442789351851</v>
      </c>
      <c r="E138" t="s">
        <v>1040</v>
      </c>
      <c r="F138" t="e">
        <f>VLOOKUP(Table1[[#This Row],[Company Name]],Sheet1!B:B,1,FALSE)</f>
        <v>#N/A</v>
      </c>
    </row>
    <row r="139" spans="1:6" ht="17">
      <c r="A139" s="3" t="s">
        <v>1140</v>
      </c>
      <c r="B139" s="3" t="s">
        <v>1141</v>
      </c>
      <c r="C139" s="4">
        <f>DATE(2024,9,9)+TIME(12,53,0)</f>
        <v>45544.536805555559</v>
      </c>
      <c r="F139" t="e">
        <f>VLOOKUP(Table1[[#This Row],[Company Name]],Sheet1!B:B,1,FALSE)</f>
        <v>#N/A</v>
      </c>
    </row>
    <row r="140" spans="1:6" ht="17">
      <c r="A140" s="1" t="s">
        <v>1140</v>
      </c>
      <c r="B140" s="1" t="s">
        <v>296</v>
      </c>
      <c r="C140" s="2">
        <f>DATE(2024,8,23)+TIME(12,29,27)</f>
        <v>45527.520451388889</v>
      </c>
      <c r="F140" t="e">
        <f>VLOOKUP(Table1[[#This Row],[Company Name]],Sheet1!B:B,1,FALSE)</f>
        <v>#N/A</v>
      </c>
    </row>
    <row r="141" spans="1:6" ht="17">
      <c r="A141" s="1" t="s">
        <v>1142</v>
      </c>
      <c r="B141" s="1" t="s">
        <v>1143</v>
      </c>
      <c r="C141" s="2">
        <f>DATE(2024,7,24)+TIME(10,48,43)</f>
        <v>45497.450497685182</v>
      </c>
      <c r="F141" t="e">
        <f>VLOOKUP(Table1[[#This Row],[Company Name]],Sheet1!B:B,1,FALSE)</f>
        <v>#N/A</v>
      </c>
    </row>
    <row r="142" spans="1:6" ht="17">
      <c r="A142" s="1" t="s">
        <v>1144</v>
      </c>
      <c r="B142" s="1" t="s">
        <v>344</v>
      </c>
      <c r="C142" s="2">
        <f>DATE(2024,8,13)+TIME(14,2,30)</f>
        <v>45517.585069444445</v>
      </c>
      <c r="F142" t="e">
        <f>VLOOKUP(Table1[[#This Row],[Company Name]],Sheet1!B:B,1,FALSE)</f>
        <v>#N/A</v>
      </c>
    </row>
    <row r="143" spans="1:6" ht="34">
      <c r="A143" s="3" t="s">
        <v>1145</v>
      </c>
      <c r="B143" s="3" t="s">
        <v>1146</v>
      </c>
      <c r="C143" s="4">
        <f>DATE(2024,7,9)+TIME(9,58,28)</f>
        <v>45482.415601851855</v>
      </c>
      <c r="F143" t="e">
        <f>VLOOKUP(Table1[[#This Row],[Company Name]],Sheet1!B:B,1,FALSE)</f>
        <v>#N/A</v>
      </c>
    </row>
    <row r="144" spans="1:6" ht="17">
      <c r="A144" s="6" t="s">
        <v>1147</v>
      </c>
      <c r="B144" s="6" t="s">
        <v>1148</v>
      </c>
      <c r="C144" s="7">
        <f>DATE(2024,9,6)+TIME(10,43,56)</f>
        <v>45541.447175925925</v>
      </c>
      <c r="D144" s="8" t="s">
        <v>2002</v>
      </c>
      <c r="E144" t="s">
        <v>1150</v>
      </c>
      <c r="F144" t="e">
        <f>VLOOKUP(Table1[[#This Row],[Company Name]],Sheet1!B:B,1,FALSE)</f>
        <v>#N/A</v>
      </c>
    </row>
    <row r="145" spans="1:6" ht="17">
      <c r="A145" s="6" t="s">
        <v>155</v>
      </c>
      <c r="B145" s="6" t="s">
        <v>1151</v>
      </c>
      <c r="C145" s="7">
        <f>DATE(2024,9,24)+TIME(12,24,44)</f>
        <v>45559.517175925925</v>
      </c>
      <c r="D145" s="8" t="s">
        <v>2002</v>
      </c>
      <c r="E145" t="s">
        <v>1150</v>
      </c>
      <c r="F145" t="e">
        <f>VLOOKUP(Table1[[#This Row],[Company Name]],Sheet1!B:B,1,FALSE)</f>
        <v>#N/A</v>
      </c>
    </row>
    <row r="146" spans="1:6" ht="17">
      <c r="A146" s="6" t="s">
        <v>155</v>
      </c>
      <c r="B146" s="6" t="s">
        <v>1428</v>
      </c>
      <c r="C146" s="7">
        <f>DATE(2024,9,24)+TIME(12,27,59)</f>
        <v>45559.519432870373</v>
      </c>
      <c r="D146" s="8" t="s">
        <v>2002</v>
      </c>
      <c r="E146" t="s">
        <v>1150</v>
      </c>
      <c r="F146" t="e">
        <f>VLOOKUP(Table1[[#This Row],[Company Name]],Sheet1!B:B,1,FALSE)</f>
        <v>#N/A</v>
      </c>
    </row>
    <row r="147" spans="1:6" ht="17">
      <c r="A147" s="6" t="s">
        <v>155</v>
      </c>
      <c r="B147" s="6" t="s">
        <v>2037</v>
      </c>
      <c r="C147" s="7">
        <f>DATE(2024,9,21)+TIME(10,17,14)</f>
        <v>45556.42863425926</v>
      </c>
      <c r="D147" s="8" t="s">
        <v>2002</v>
      </c>
      <c r="E147" t="s">
        <v>1150</v>
      </c>
      <c r="F147" t="e">
        <f>VLOOKUP(Table1[[#This Row],[Company Name]],Sheet1!B:B,1,FALSE)</f>
        <v>#N/A</v>
      </c>
    </row>
    <row r="148" spans="1:6" ht="17">
      <c r="A148" s="6" t="s">
        <v>155</v>
      </c>
      <c r="B148" s="6" t="s">
        <v>1254</v>
      </c>
      <c r="C148" s="7">
        <f>DATE(2024,9,6)+TIME(12,0,21)</f>
        <v>45541.500243055554</v>
      </c>
      <c r="D148" s="8" t="s">
        <v>2002</v>
      </c>
      <c r="E148" t="s">
        <v>1150</v>
      </c>
      <c r="F148" t="e">
        <f>VLOOKUP(Table1[[#This Row],[Company Name]],Sheet1!B:B,1,FALSE)</f>
        <v>#N/A</v>
      </c>
    </row>
    <row r="149" spans="1:6" ht="17">
      <c r="A149" s="6" t="s">
        <v>155</v>
      </c>
      <c r="B149" s="6" t="s">
        <v>1264</v>
      </c>
      <c r="C149" s="7">
        <f>DATE(2024,9,24)+TIME(12,22,21)</f>
        <v>45559.515520833331</v>
      </c>
      <c r="D149" s="8" t="s">
        <v>2002</v>
      </c>
      <c r="E149" t="s">
        <v>1150</v>
      </c>
      <c r="F149" t="e">
        <f>VLOOKUP(Table1[[#This Row],[Company Name]],Sheet1!B:B,1,FALSE)</f>
        <v>#N/A</v>
      </c>
    </row>
    <row r="150" spans="1:6" ht="17">
      <c r="A150" s="6" t="s">
        <v>155</v>
      </c>
      <c r="B150" s="6" t="s">
        <v>2038</v>
      </c>
      <c r="C150" s="7">
        <f>DATE(2024,8,27)+TIME(8,33,22)</f>
        <v>45531.356504629628</v>
      </c>
      <c r="D150" s="8" t="s">
        <v>2002</v>
      </c>
      <c r="E150" t="s">
        <v>1150</v>
      </c>
      <c r="F150" t="e">
        <f>VLOOKUP(Table1[[#This Row],[Company Name]],Sheet1!B:B,1,FALSE)</f>
        <v>#N/A</v>
      </c>
    </row>
    <row r="151" spans="1:6" ht="17">
      <c r="A151" s="6" t="s">
        <v>155</v>
      </c>
      <c r="B151" s="6" t="s">
        <v>800</v>
      </c>
      <c r="C151" s="7">
        <f>DATE(2024,9,17)+TIME(10,3,23)</f>
        <v>45552.419016203705</v>
      </c>
      <c r="D151" s="8" t="s">
        <v>2002</v>
      </c>
      <c r="E151" t="s">
        <v>1150</v>
      </c>
      <c r="F151" t="e">
        <f>VLOOKUP(Table1[[#This Row],[Company Name]],Sheet1!B:B,1,FALSE)</f>
        <v>#N/A</v>
      </c>
    </row>
    <row r="152" spans="1:6" ht="17">
      <c r="A152" s="3" t="s">
        <v>1152</v>
      </c>
      <c r="B152" s="3" t="s">
        <v>1153</v>
      </c>
      <c r="C152" s="4">
        <f>DATE(2024,8,4)+TIME(19,23,4)</f>
        <v>45508.807685185187</v>
      </c>
      <c r="F152" t="e">
        <f>VLOOKUP(Table1[[#This Row],[Company Name]],Sheet1!B:B,1,FALSE)</f>
        <v>#N/A</v>
      </c>
    </row>
    <row r="153" spans="1:6" ht="17">
      <c r="A153" s="6" t="s">
        <v>170</v>
      </c>
      <c r="B153" s="6" t="s">
        <v>264</v>
      </c>
      <c r="C153" s="7">
        <f>DATE(2024,9,14)+TIME(17,45,22)</f>
        <v>45549.739837962959</v>
      </c>
      <c r="D153" s="8" t="s">
        <v>2002</v>
      </c>
      <c r="F153" t="e">
        <f>VLOOKUP(Table1[[#This Row],[Company Name]],Sheet1!B:B,1,FALSE)</f>
        <v>#N/A</v>
      </c>
    </row>
    <row r="154" spans="1:6" ht="17">
      <c r="A154" s="6" t="s">
        <v>170</v>
      </c>
      <c r="B154" s="6" t="s">
        <v>2039</v>
      </c>
      <c r="C154" s="7">
        <f>DATE(2024,9,18)+TIME(12,55,43)</f>
        <v>45553.53869212963</v>
      </c>
      <c r="D154" s="8" t="s">
        <v>2002</v>
      </c>
      <c r="F154" t="e">
        <f>VLOOKUP(Table1[[#This Row],[Company Name]],Sheet1!B:B,1,FALSE)</f>
        <v>#N/A</v>
      </c>
    </row>
    <row r="155" spans="1:6" ht="17">
      <c r="A155" s="6" t="s">
        <v>170</v>
      </c>
      <c r="B155" s="6" t="s">
        <v>2040</v>
      </c>
      <c r="C155" s="7">
        <f>DATE(2024,9,5)+TIME(13,55,4)</f>
        <v>45540.579907407409</v>
      </c>
      <c r="D155" s="8" t="s">
        <v>2002</v>
      </c>
      <c r="F155" t="e">
        <f>VLOOKUP(Table1[[#This Row],[Company Name]],Sheet1!B:B,1,FALSE)</f>
        <v>#N/A</v>
      </c>
    </row>
    <row r="156" spans="1:6" ht="17">
      <c r="A156" s="6" t="s">
        <v>170</v>
      </c>
      <c r="B156" s="6" t="s">
        <v>2041</v>
      </c>
      <c r="C156" s="7">
        <f>DATE(2024,9,5)+TIME(13,33,38)</f>
        <v>45540.565023148149</v>
      </c>
      <c r="D156" s="8" t="s">
        <v>2002</v>
      </c>
      <c r="F156" t="e">
        <f>VLOOKUP(Table1[[#This Row],[Company Name]],Sheet1!B:B,1,FALSE)</f>
        <v>#N/A</v>
      </c>
    </row>
    <row r="157" spans="1:6" ht="17">
      <c r="A157" s="6" t="s">
        <v>170</v>
      </c>
      <c r="B157" s="6" t="s">
        <v>2042</v>
      </c>
      <c r="C157" s="7">
        <f>DATE(2024,8,7)+TIME(9,41,58)</f>
        <v>45511.404143518521</v>
      </c>
      <c r="D157" s="8" t="s">
        <v>2002</v>
      </c>
      <c r="F157" t="e">
        <f>VLOOKUP(Table1[[#This Row],[Company Name]],Sheet1!B:B,1,FALSE)</f>
        <v>#N/A</v>
      </c>
    </row>
    <row r="158" spans="1:6" ht="17">
      <c r="A158" s="6" t="s">
        <v>182</v>
      </c>
      <c r="B158" s="6" t="s">
        <v>296</v>
      </c>
      <c r="C158" s="7">
        <f>DATE(2024,6,12)+TIME(15,1,0)</f>
        <v>45455.625694444447</v>
      </c>
      <c r="D158" s="8" t="s">
        <v>2002</v>
      </c>
      <c r="E158" t="s">
        <v>2043</v>
      </c>
      <c r="F158" t="e">
        <f>VLOOKUP(Table1[[#This Row],[Company Name]],Sheet1!B:B,1,FALSE)</f>
        <v>#N/A</v>
      </c>
    </row>
    <row r="159" spans="1:6" ht="17">
      <c r="A159" s="6" t="s">
        <v>182</v>
      </c>
      <c r="B159" s="6" t="s">
        <v>183</v>
      </c>
      <c r="C159" s="7">
        <f>DATE(2024,6,12)+TIME(15,1,0)</f>
        <v>45455.625694444447</v>
      </c>
      <c r="D159" s="8" t="s">
        <v>2002</v>
      </c>
      <c r="E159" t="s">
        <v>2043</v>
      </c>
      <c r="F159" t="e">
        <f>VLOOKUP(Table1[[#This Row],[Company Name]],Sheet1!B:B,1,FALSE)</f>
        <v>#N/A</v>
      </c>
    </row>
    <row r="160" spans="1:6" ht="17">
      <c r="A160" s="6" t="s">
        <v>191</v>
      </c>
      <c r="B160" s="6" t="s">
        <v>192</v>
      </c>
      <c r="C160" s="7">
        <f>DATE(2024,6,12)+TIME(14,58,43)</f>
        <v>45455.624108796299</v>
      </c>
      <c r="D160" s="8" t="s">
        <v>2002</v>
      </c>
      <c r="E160" t="s">
        <v>2043</v>
      </c>
      <c r="F160" t="e">
        <f>VLOOKUP(Table1[[#This Row],[Company Name]],Sheet1!B:B,1,FALSE)</f>
        <v>#N/A</v>
      </c>
    </row>
    <row r="161" spans="1:6" ht="17">
      <c r="A161" s="1" t="s">
        <v>1159</v>
      </c>
      <c r="B161" s="1" t="s">
        <v>1160</v>
      </c>
      <c r="C161" s="2">
        <f>DATE(2024,7,25)+TIME(15,27,18)</f>
        <v>45498.643958333334</v>
      </c>
      <c r="F161" t="e">
        <f>VLOOKUP(Table1[[#This Row],[Company Name]],Sheet1!B:B,1,FALSE)</f>
        <v>#N/A</v>
      </c>
    </row>
    <row r="162" spans="1:6" ht="17">
      <c r="A162" s="3" t="s">
        <v>1159</v>
      </c>
      <c r="B162" s="3" t="s">
        <v>113</v>
      </c>
      <c r="C162" s="4">
        <f>DATE(2024,7,12)+TIME(10,23,14)</f>
        <v>45485.432800925926</v>
      </c>
      <c r="F162" t="e">
        <f>VLOOKUP(Table1[[#This Row],[Company Name]],Sheet1!B:B,1,FALSE)</f>
        <v>#N/A</v>
      </c>
    </row>
    <row r="163" spans="1:6" ht="17">
      <c r="A163" s="3" t="s">
        <v>1159</v>
      </c>
      <c r="B163" s="3" t="s">
        <v>2044</v>
      </c>
      <c r="C163" s="4">
        <f>DATE(2024,7,17)+TIME(6,54,7)</f>
        <v>45490.287581018521</v>
      </c>
      <c r="F163" t="e">
        <f>VLOOKUP(Table1[[#This Row],[Company Name]],Sheet1!B:B,1,FALSE)</f>
        <v>#N/A</v>
      </c>
    </row>
    <row r="164" spans="1:6" ht="17">
      <c r="A164" s="1" t="s">
        <v>1159</v>
      </c>
      <c r="B164" s="1" t="s">
        <v>2045</v>
      </c>
      <c r="C164" s="2">
        <f>DATE(2024,7,11)+TIME(15,55,25)</f>
        <v>45484.663483796299</v>
      </c>
      <c r="F164" t="e">
        <f>VLOOKUP(Table1[[#This Row],[Company Name]],Sheet1!B:B,1,FALSE)</f>
        <v>#N/A</v>
      </c>
    </row>
    <row r="165" spans="1:6" ht="17">
      <c r="A165" s="1" t="s">
        <v>1161</v>
      </c>
      <c r="B165" s="1" t="s">
        <v>1162</v>
      </c>
      <c r="C165" s="2">
        <f>DATE(2024,9,3)+TIME(9,34,22)</f>
        <v>45538.398865740739</v>
      </c>
      <c r="F165" t="e">
        <f>VLOOKUP(Table1[[#This Row],[Company Name]],Sheet1!B:B,1,FALSE)</f>
        <v>#N/A</v>
      </c>
    </row>
    <row r="166" spans="1:6" ht="17">
      <c r="A166" s="3" t="s">
        <v>1163</v>
      </c>
      <c r="B166" s="3" t="s">
        <v>675</v>
      </c>
      <c r="C166" s="4">
        <f>DATE(2024,9,13)+TIME(15,36,38)</f>
        <v>45548.650439814817</v>
      </c>
      <c r="E166" t="s">
        <v>1040</v>
      </c>
      <c r="F166" t="s">
        <v>61</v>
      </c>
    </row>
    <row r="167" spans="1:6" ht="17">
      <c r="A167" s="1" t="s">
        <v>1163</v>
      </c>
      <c r="B167" s="1" t="s">
        <v>2046</v>
      </c>
      <c r="C167" s="2">
        <f>DATE(2024,9,19)+TIME(10,9,56)</f>
        <v>45554.423564814817</v>
      </c>
      <c r="E167" t="s">
        <v>1040</v>
      </c>
      <c r="F167" t="s">
        <v>61</v>
      </c>
    </row>
    <row r="168" spans="1:6" ht="17">
      <c r="A168" s="3" t="s">
        <v>1163</v>
      </c>
      <c r="B168" s="3" t="s">
        <v>675</v>
      </c>
      <c r="C168" s="4">
        <f>DATE(2024,9,10)+TIME(7,11,16)</f>
        <v>45545.299490740741</v>
      </c>
      <c r="E168" t="s">
        <v>1040</v>
      </c>
      <c r="F168" t="s">
        <v>61</v>
      </c>
    </row>
    <row r="169" spans="1:6" ht="17">
      <c r="A169" s="1" t="s">
        <v>1163</v>
      </c>
      <c r="B169" s="1" t="s">
        <v>2047</v>
      </c>
      <c r="C169" s="2">
        <f>DATE(2024,9,13)+TIME(16,4,27)</f>
        <v>45548.669756944444</v>
      </c>
      <c r="E169" t="s">
        <v>1040</v>
      </c>
      <c r="F169" t="s">
        <v>61</v>
      </c>
    </row>
    <row r="170" spans="1:6" ht="17">
      <c r="A170" s="1" t="s">
        <v>1163</v>
      </c>
      <c r="B170" s="1" t="s">
        <v>675</v>
      </c>
      <c r="C170" s="2">
        <f>DATE(2024,9,13)+TIME(14,31,41)</f>
        <v>45548.60533564815</v>
      </c>
      <c r="E170" t="s">
        <v>1040</v>
      </c>
      <c r="F170" t="s">
        <v>61</v>
      </c>
    </row>
    <row r="171" spans="1:6" ht="17">
      <c r="A171" s="6" t="s">
        <v>1164</v>
      </c>
      <c r="B171" s="6" t="s">
        <v>1165</v>
      </c>
      <c r="C171" s="7">
        <f>DATE(2024,8,14)+TIME(7,25,13)</f>
        <v>45518.309178240743</v>
      </c>
      <c r="D171" s="8" t="s">
        <v>2002</v>
      </c>
      <c r="E171" t="s">
        <v>1040</v>
      </c>
      <c r="F171" t="s">
        <v>61</v>
      </c>
    </row>
    <row r="172" spans="1:6" ht="17">
      <c r="A172" s="6" t="s">
        <v>1164</v>
      </c>
      <c r="B172" s="6" t="s">
        <v>216</v>
      </c>
      <c r="C172" s="7">
        <f>DATE(2024,8,21)+TIME(9,10,50)</f>
        <v>45525.382523148146</v>
      </c>
      <c r="D172" s="8" t="s">
        <v>2002</v>
      </c>
      <c r="E172" t="s">
        <v>1040</v>
      </c>
      <c r="F172" t="s">
        <v>61</v>
      </c>
    </row>
    <row r="173" spans="1:6" ht="17">
      <c r="A173" s="6" t="s">
        <v>1164</v>
      </c>
      <c r="B173" s="6" t="s">
        <v>675</v>
      </c>
      <c r="C173" s="7">
        <f>DATE(2024,7,15)+TIME(12,34,11)</f>
        <v>45488.523738425924</v>
      </c>
      <c r="D173" s="8" t="s">
        <v>2002</v>
      </c>
      <c r="E173" t="s">
        <v>1040</v>
      </c>
      <c r="F173" t="s">
        <v>61</v>
      </c>
    </row>
    <row r="174" spans="1:6" ht="17">
      <c r="A174" s="6" t="s">
        <v>1164</v>
      </c>
      <c r="B174" s="6" t="s">
        <v>1386</v>
      </c>
      <c r="C174" s="7">
        <f>DATE(2024,9,18)+TIME(13,51,0)</f>
        <v>45553.57708333333</v>
      </c>
      <c r="D174" s="8" t="s">
        <v>2002</v>
      </c>
      <c r="E174" t="s">
        <v>1040</v>
      </c>
      <c r="F174" t="s">
        <v>61</v>
      </c>
    </row>
    <row r="175" spans="1:6" ht="17">
      <c r="A175" s="51" t="s">
        <v>1939</v>
      </c>
      <c r="B175" s="6" t="s">
        <v>943</v>
      </c>
      <c r="C175" s="7">
        <f>DATE(2024,9,22)+TIME(19,59,19)</f>
        <v>45557.832858796297</v>
      </c>
      <c r="D175" s="8" t="s">
        <v>2002</v>
      </c>
      <c r="F175" t="e">
        <f>VLOOKUP(Table1[[#This Row],[Company Name]],Sheet1!B:B,1,FALSE)</f>
        <v>#N/A</v>
      </c>
    </row>
    <row r="176" spans="1:6" ht="17">
      <c r="A176" s="6" t="s">
        <v>1166</v>
      </c>
      <c r="B176" s="6" t="s">
        <v>1056</v>
      </c>
      <c r="C176" s="7">
        <f>DATE(2024,9,17)+TIME(10,14,47)</f>
        <v>45552.426932870374</v>
      </c>
      <c r="D176" s="8" t="s">
        <v>2002</v>
      </c>
      <c r="F176" t="e">
        <f>VLOOKUP(Table1[[#This Row],[Company Name]],Sheet1!B:B,1,FALSE)</f>
        <v>#N/A</v>
      </c>
    </row>
    <row r="177" spans="1:6" ht="17">
      <c r="A177" s="1" t="s">
        <v>1170</v>
      </c>
      <c r="B177" s="1" t="s">
        <v>85</v>
      </c>
      <c r="C177" s="2">
        <f>DATE(2024,8,23)+TIME(8,3,33)</f>
        <v>45527.335798611108</v>
      </c>
      <c r="F177" t="e">
        <f>VLOOKUP(Table1[[#This Row],[Company Name]],Sheet1!B:B,1,FALSE)</f>
        <v>#N/A</v>
      </c>
    </row>
    <row r="178" spans="1:6" ht="17">
      <c r="A178" s="3" t="s">
        <v>199</v>
      </c>
      <c r="B178" s="3" t="s">
        <v>296</v>
      </c>
      <c r="C178" s="4">
        <f>DATE(2024,8,21)+TIME(13,3,9)</f>
        <v>45525.543854166666</v>
      </c>
      <c r="F178" t="e">
        <f>VLOOKUP(Table1[[#This Row],[Company Name]],Sheet1!B:B,1,FALSE)</f>
        <v>#N/A</v>
      </c>
    </row>
    <row r="179" spans="1:6" ht="17">
      <c r="A179" s="3" t="s">
        <v>199</v>
      </c>
      <c r="B179" s="3" t="s">
        <v>2048</v>
      </c>
      <c r="C179" s="4">
        <f>DATE(2024,9,5)+TIME(11,13,11)</f>
        <v>45540.467488425929</v>
      </c>
      <c r="F179" t="e">
        <f>VLOOKUP(Table1[[#This Row],[Company Name]],Sheet1!B:B,1,FALSE)</f>
        <v>#N/A</v>
      </c>
    </row>
    <row r="180" spans="1:6" ht="17">
      <c r="A180" s="1" t="s">
        <v>1171</v>
      </c>
      <c r="B180" s="1" t="s">
        <v>567</v>
      </c>
      <c r="C180" s="2">
        <f>DATE(2024,8,16)+TIME(8,23,6)</f>
        <v>45520.349374999998</v>
      </c>
      <c r="F180" t="e">
        <f>VLOOKUP(Table1[[#This Row],[Company Name]],Sheet1!B:B,1,FALSE)</f>
        <v>#N/A</v>
      </c>
    </row>
    <row r="181" spans="1:6" ht="17">
      <c r="A181" s="3" t="s">
        <v>1172</v>
      </c>
      <c r="B181" s="3" t="s">
        <v>1173</v>
      </c>
      <c r="C181" s="4">
        <f>DATE(2024,6,26)+TIME(13,8,26)</f>
        <v>45469.547523148147</v>
      </c>
      <c r="F181" t="e">
        <f>VLOOKUP(Table1[[#This Row],[Company Name]],Sheet1!B:B,1,FALSE)</f>
        <v>#N/A</v>
      </c>
    </row>
    <row r="182" spans="1:6" ht="17">
      <c r="A182" s="3" t="s">
        <v>1172</v>
      </c>
      <c r="B182" s="3" t="s">
        <v>2049</v>
      </c>
      <c r="C182" s="4">
        <f>DATE(2024,6,27)+TIME(6,58,16)</f>
        <v>45470.290462962963</v>
      </c>
      <c r="F182" t="e">
        <f>VLOOKUP(Table1[[#This Row],[Company Name]],Sheet1!B:B,1,FALSE)</f>
        <v>#N/A</v>
      </c>
    </row>
    <row r="183" spans="1:6" ht="17">
      <c r="A183" s="3" t="s">
        <v>1174</v>
      </c>
      <c r="B183" s="3" t="s">
        <v>113</v>
      </c>
      <c r="C183" s="4">
        <f>DATE(2024,9,20)+TIME(9,38,24)</f>
        <v>45555.401666666665</v>
      </c>
      <c r="F183" t="e">
        <f>VLOOKUP(Table1[[#This Row],[Company Name]],Sheet1!B:B,1,FALSE)</f>
        <v>#N/A</v>
      </c>
    </row>
    <row r="184" spans="1:6" ht="17">
      <c r="A184" s="3" t="s">
        <v>1174</v>
      </c>
      <c r="B184" s="3" t="s">
        <v>2050</v>
      </c>
      <c r="C184" s="4">
        <f>DATE(2024,9,20)+TIME(9,50,3)</f>
        <v>45555.409756944442</v>
      </c>
      <c r="F184" t="e">
        <f>VLOOKUP(Table1[[#This Row],[Company Name]],Sheet1!B:B,1,FALSE)</f>
        <v>#N/A</v>
      </c>
    </row>
    <row r="185" spans="1:6" ht="17">
      <c r="A185" s="1" t="s">
        <v>1175</v>
      </c>
      <c r="B185" s="1" t="s">
        <v>1176</v>
      </c>
      <c r="C185" s="2">
        <f>DATE(2024,9,11)+TIME(8,15,33)</f>
        <v>45546.344131944446</v>
      </c>
      <c r="F185" t="e">
        <f>VLOOKUP(Table1[[#This Row],[Company Name]],Sheet1!B:B,1,FALSE)</f>
        <v>#N/A</v>
      </c>
    </row>
    <row r="186" spans="1:6" ht="17">
      <c r="A186" s="6" t="s">
        <v>1177</v>
      </c>
      <c r="B186" s="6" t="s">
        <v>1178</v>
      </c>
      <c r="C186" s="7">
        <f>DATE(2024,7,10)+TIME(7,27,52)</f>
        <v>45483.311018518521</v>
      </c>
      <c r="D186" s="8" t="s">
        <v>2002</v>
      </c>
      <c r="F186" t="e">
        <f>VLOOKUP(Table1[[#This Row],[Company Name]],Sheet1!B:B,1,FALSE)</f>
        <v>#N/A</v>
      </c>
    </row>
    <row r="187" spans="1:6" ht="17">
      <c r="A187" s="6" t="s">
        <v>1183</v>
      </c>
      <c r="B187" s="6" t="s">
        <v>271</v>
      </c>
      <c r="C187" s="7">
        <f>DATE(2024,7,10)+TIME(6,45,55)</f>
        <v>45483.281886574077</v>
      </c>
      <c r="D187" s="8" t="s">
        <v>2002</v>
      </c>
      <c r="F187" t="e">
        <f>VLOOKUP(Table1[[#This Row],[Company Name]],Sheet1!B:B,1,FALSE)</f>
        <v>#N/A</v>
      </c>
    </row>
    <row r="188" spans="1:6" ht="17">
      <c r="A188" s="3" t="s">
        <v>1186</v>
      </c>
      <c r="B188" s="3" t="s">
        <v>1187</v>
      </c>
      <c r="C188" s="4">
        <f>DATE(2024,9,6)+TIME(12,23,22)</f>
        <v>45541.516226851854</v>
      </c>
      <c r="E188" t="s">
        <v>1040</v>
      </c>
      <c r="F188" t="s">
        <v>61</v>
      </c>
    </row>
    <row r="189" spans="1:6" ht="17">
      <c r="A189" s="3" t="s">
        <v>1188</v>
      </c>
      <c r="B189" s="3" t="s">
        <v>1189</v>
      </c>
      <c r="C189" s="4">
        <f>DATE(2024,9,24)+TIME(13,6,41)</f>
        <v>45559.546307870369</v>
      </c>
      <c r="F189" t="e">
        <f>VLOOKUP(Table1[[#This Row],[Company Name]],Sheet1!B:B,1,FALSE)</f>
        <v>#N/A</v>
      </c>
    </row>
    <row r="190" spans="1:6" ht="17">
      <c r="A190" s="1" t="s">
        <v>1190</v>
      </c>
      <c r="B190" s="1" t="s">
        <v>1191</v>
      </c>
      <c r="C190" s="2">
        <f>DATE(2024,6,21)+TIME(11,49,21)</f>
        <v>45464.492604166669</v>
      </c>
      <c r="F190" t="e">
        <f>VLOOKUP(Table1[[#This Row],[Company Name]],Sheet1!B:B,1,FALSE)</f>
        <v>#N/A</v>
      </c>
    </row>
    <row r="191" spans="1:6" ht="17">
      <c r="A191" s="1" t="s">
        <v>1190</v>
      </c>
      <c r="B191" s="1" t="s">
        <v>2051</v>
      </c>
      <c r="C191" s="2">
        <f>DATE(2024,6,21)+TIME(11,49,21)</f>
        <v>45464.492604166669</v>
      </c>
      <c r="F191" t="e">
        <f>VLOOKUP(Table1[[#This Row],[Company Name]],Sheet1!B:B,1,FALSE)</f>
        <v>#N/A</v>
      </c>
    </row>
    <row r="192" spans="1:6" ht="17">
      <c r="A192" s="3" t="s">
        <v>1192</v>
      </c>
      <c r="B192" s="3" t="s">
        <v>660</v>
      </c>
      <c r="C192" s="4">
        <f>DATE(2024,8,26)+TIME(11,4,6)</f>
        <v>45530.461180555554</v>
      </c>
      <c r="F192" t="e">
        <f>VLOOKUP(Table1[[#This Row],[Company Name]],Sheet1!B:B,1,FALSE)</f>
        <v>#N/A</v>
      </c>
    </row>
    <row r="193" spans="1:6" ht="17">
      <c r="A193" s="3" t="s">
        <v>1192</v>
      </c>
      <c r="B193" s="3" t="s">
        <v>660</v>
      </c>
      <c r="C193" s="4">
        <f>DATE(2024,9,4)+TIME(9,34,42)</f>
        <v>45539.399097222224</v>
      </c>
      <c r="F193" t="e">
        <f>VLOOKUP(Table1[[#This Row],[Company Name]],Sheet1!B:B,1,FALSE)</f>
        <v>#N/A</v>
      </c>
    </row>
    <row r="194" spans="1:6" ht="17">
      <c r="A194" s="3" t="s">
        <v>1193</v>
      </c>
      <c r="B194" s="3" t="s">
        <v>1194</v>
      </c>
      <c r="C194" s="4">
        <f>DATE(2024,8,21)+TIME(14,56,29)</f>
        <v>45525.622557870367</v>
      </c>
      <c r="F194" t="e">
        <f>VLOOKUP(Table1[[#This Row],[Company Name]],Sheet1!B:B,1,FALSE)</f>
        <v>#N/A</v>
      </c>
    </row>
    <row r="195" spans="1:6" ht="17">
      <c r="A195" s="3" t="s">
        <v>1195</v>
      </c>
      <c r="B195" s="3" t="s">
        <v>1196</v>
      </c>
      <c r="C195" s="4">
        <f>DATE(2024,9,25)+TIME(11,54,2)</f>
        <v>45560.495856481481</v>
      </c>
      <c r="F195" t="e">
        <f>VLOOKUP(Table1[[#This Row],[Company Name]],Sheet1!B:B,1,FALSE)</f>
        <v>#N/A</v>
      </c>
    </row>
    <row r="196" spans="1:6" ht="17">
      <c r="A196" s="1" t="s">
        <v>1197</v>
      </c>
      <c r="B196" s="1" t="s">
        <v>1198</v>
      </c>
      <c r="C196" s="2">
        <f>DATE(2024,9,25)+TIME(17,55,44)</f>
        <v>45560.747037037036</v>
      </c>
      <c r="F196" t="e">
        <f>VLOOKUP(Table1[[#This Row],[Company Name]],Sheet1!B:B,1,FALSE)</f>
        <v>#N/A</v>
      </c>
    </row>
    <row r="197" spans="1:6" ht="34">
      <c r="A197" s="6" t="s">
        <v>215</v>
      </c>
      <c r="B197" s="6" t="s">
        <v>1199</v>
      </c>
      <c r="C197" s="7">
        <f>DATE(2024,9,23)+TIME(12,2,29)</f>
        <v>45558.50172453704</v>
      </c>
      <c r="D197" s="8" t="s">
        <v>2002</v>
      </c>
      <c r="E197" t="s">
        <v>1094</v>
      </c>
      <c r="F197" t="s">
        <v>61</v>
      </c>
    </row>
    <row r="198" spans="1:6" ht="17">
      <c r="A198" s="6" t="s">
        <v>215</v>
      </c>
      <c r="B198" s="6" t="s">
        <v>2052</v>
      </c>
      <c r="C198" s="7">
        <f>DATE(2024,5,31)+TIME(11,28,17)</f>
        <v>45443.47797453704</v>
      </c>
      <c r="D198" s="8" t="s">
        <v>2002</v>
      </c>
      <c r="E198" t="s">
        <v>1094</v>
      </c>
      <c r="F198" t="s">
        <v>61</v>
      </c>
    </row>
    <row r="199" spans="1:6" ht="17">
      <c r="A199" s="6" t="s">
        <v>215</v>
      </c>
      <c r="B199" s="6" t="s">
        <v>2053</v>
      </c>
      <c r="C199" s="7">
        <f>DATE(2024,9,18)+TIME(9,20,0)</f>
        <v>45553.388888888891</v>
      </c>
      <c r="D199" s="8" t="s">
        <v>2002</v>
      </c>
      <c r="E199" t="s">
        <v>1094</v>
      </c>
      <c r="F199" t="s">
        <v>61</v>
      </c>
    </row>
    <row r="200" spans="1:6" ht="17">
      <c r="A200" s="6" t="s">
        <v>215</v>
      </c>
      <c r="B200" s="6" t="s">
        <v>2054</v>
      </c>
      <c r="C200" s="7">
        <f>DATE(2024,7,20)+TIME(21,4,49)</f>
        <v>45493.878344907411</v>
      </c>
      <c r="D200" s="8" t="s">
        <v>2002</v>
      </c>
      <c r="E200" t="s">
        <v>1094</v>
      </c>
      <c r="F200" t="s">
        <v>61</v>
      </c>
    </row>
    <row r="201" spans="1:6" ht="17">
      <c r="A201" s="6" t="s">
        <v>215</v>
      </c>
      <c r="B201" s="6" t="s">
        <v>352</v>
      </c>
      <c r="C201" s="7">
        <f>DATE(2024,9,12)+TIME(13,32,0)</f>
        <v>45547.563888888886</v>
      </c>
      <c r="D201" s="8" t="s">
        <v>2002</v>
      </c>
      <c r="E201" t="s">
        <v>1094</v>
      </c>
      <c r="F201" t="s">
        <v>61</v>
      </c>
    </row>
    <row r="202" spans="1:6" ht="17">
      <c r="A202" s="6" t="s">
        <v>215</v>
      </c>
      <c r="B202" s="6" t="s">
        <v>2055</v>
      </c>
      <c r="C202" s="7">
        <f>DATE(2024,9,26)+TIME(20,30,24)</f>
        <v>45561.854444444441</v>
      </c>
      <c r="D202" s="8" t="s">
        <v>2002</v>
      </c>
      <c r="E202" t="s">
        <v>1094</v>
      </c>
      <c r="F202" t="s">
        <v>61</v>
      </c>
    </row>
    <row r="203" spans="1:6" ht="34">
      <c r="A203" s="6" t="s">
        <v>1203</v>
      </c>
      <c r="B203" s="6" t="s">
        <v>1204</v>
      </c>
      <c r="C203" s="7">
        <f>DATE(2024,8,15)+TIME(13,48,37)</f>
        <v>45519.575428240743</v>
      </c>
      <c r="D203" s="8" t="s">
        <v>2002</v>
      </c>
      <c r="E203" t="s">
        <v>1040</v>
      </c>
      <c r="F203" t="e">
        <f>VLOOKUP(Table1[[#This Row],[Company Name]],Sheet1!B:B,1,FALSE)</f>
        <v>#N/A</v>
      </c>
    </row>
    <row r="204" spans="1:6" ht="17">
      <c r="A204" s="1" t="s">
        <v>1205</v>
      </c>
      <c r="B204" s="1" t="s">
        <v>1206</v>
      </c>
      <c r="C204" s="2">
        <f>DATE(2024,8,1)+TIME(14,51,53)</f>
        <v>45505.619363425925</v>
      </c>
      <c r="E204" t="s">
        <v>1040</v>
      </c>
      <c r="F204" t="s">
        <v>61</v>
      </c>
    </row>
    <row r="205" spans="1:6" ht="17">
      <c r="A205" s="3" t="s">
        <v>1207</v>
      </c>
      <c r="B205" s="3" t="s">
        <v>344</v>
      </c>
      <c r="C205" s="4">
        <f>DATE(2024,8,9)+TIME(11,0,38)</f>
        <v>45513.458773148152</v>
      </c>
      <c r="E205" t="s">
        <v>1040</v>
      </c>
      <c r="F205" t="e">
        <f>VLOOKUP(Table1[[#This Row],[Company Name]],Sheet1!B:B,1,FALSE)</f>
        <v>#N/A</v>
      </c>
    </row>
    <row r="206" spans="1:6" ht="17">
      <c r="A206" s="1" t="s">
        <v>1208</v>
      </c>
      <c r="B206" s="1" t="s">
        <v>1209</v>
      </c>
      <c r="C206" s="2">
        <f>DATE(2024,9,24)+TIME(6,28,59)</f>
        <v>45559.270127314812</v>
      </c>
      <c r="E206" t="s">
        <v>1040</v>
      </c>
      <c r="F206" t="s">
        <v>61</v>
      </c>
    </row>
    <row r="207" spans="1:6" ht="17">
      <c r="A207" s="1" t="s">
        <v>1208</v>
      </c>
      <c r="B207" s="1" t="s">
        <v>660</v>
      </c>
      <c r="C207" s="2">
        <f>DATE(2024,7,25)+TIME(10,12,57)</f>
        <v>45498.425659722219</v>
      </c>
      <c r="E207" t="s">
        <v>1040</v>
      </c>
      <c r="F207" t="s">
        <v>61</v>
      </c>
    </row>
    <row r="208" spans="1:6" ht="17">
      <c r="A208" s="1" t="s">
        <v>1208</v>
      </c>
      <c r="B208" s="1" t="s">
        <v>2056</v>
      </c>
      <c r="C208" s="2">
        <f>DATE(2024,8,15)+TIME(9,3,8)</f>
        <v>45519.377175925925</v>
      </c>
      <c r="E208" t="s">
        <v>1040</v>
      </c>
      <c r="F208" t="s">
        <v>61</v>
      </c>
    </row>
    <row r="209" spans="1:6" ht="17">
      <c r="A209" s="1" t="s">
        <v>1208</v>
      </c>
      <c r="B209" s="1" t="s">
        <v>1386</v>
      </c>
      <c r="C209" s="2">
        <f>DATE(2024,7,24)+TIME(9,15,1)</f>
        <v>45497.385428240741</v>
      </c>
      <c r="E209" t="s">
        <v>1040</v>
      </c>
      <c r="F209" t="s">
        <v>61</v>
      </c>
    </row>
    <row r="210" spans="1:6" ht="17">
      <c r="A210" s="3" t="s">
        <v>1208</v>
      </c>
      <c r="B210" s="3" t="s">
        <v>2057</v>
      </c>
      <c r="C210" s="4">
        <f>DATE(2024,8,8)+TIME(11,40,5)</f>
        <v>45512.486168981479</v>
      </c>
      <c r="E210" t="s">
        <v>1040</v>
      </c>
      <c r="F210" t="s">
        <v>61</v>
      </c>
    </row>
    <row r="211" spans="1:6" ht="17">
      <c r="A211" s="3" t="s">
        <v>1210</v>
      </c>
      <c r="B211" s="3" t="s">
        <v>1211</v>
      </c>
      <c r="C211" s="4">
        <f>DATE(2024,7,22)+TIME(15,12,8)</f>
        <v>45495.633425925924</v>
      </c>
      <c r="F211" t="e">
        <f>VLOOKUP(Table1[[#This Row],[Company Name]],Sheet1!B:B,1,FALSE)</f>
        <v>#N/A</v>
      </c>
    </row>
    <row r="212" spans="1:6" ht="17">
      <c r="A212" s="3" t="s">
        <v>1212</v>
      </c>
      <c r="B212" s="3" t="s">
        <v>264</v>
      </c>
      <c r="C212" s="4">
        <f>DATE(2024,6,24)+TIME(6,29,47)</f>
        <v>45467.270682870374</v>
      </c>
      <c r="F212" t="e">
        <f>VLOOKUP(Table1[[#This Row],[Company Name]],Sheet1!B:B,1,FALSE)</f>
        <v>#N/A</v>
      </c>
    </row>
    <row r="213" spans="1:6" ht="17">
      <c r="A213" s="3" t="s">
        <v>1212</v>
      </c>
      <c r="B213" s="3" t="s">
        <v>264</v>
      </c>
      <c r="C213" s="4">
        <f>DATE(2024,6,24)+TIME(6,26,26)</f>
        <v>45467.26835648148</v>
      </c>
      <c r="F213" t="e">
        <f>VLOOKUP(Table1[[#This Row],[Company Name]],Sheet1!B:B,1,FALSE)</f>
        <v>#N/A</v>
      </c>
    </row>
    <row r="214" spans="1:6" ht="17">
      <c r="A214" s="1" t="s">
        <v>1213</v>
      </c>
      <c r="B214" s="1" t="s">
        <v>1214</v>
      </c>
      <c r="C214" s="2">
        <f>DATE(2024,6,5)+TIME(12,39,43)</f>
        <v>45448.527581018519</v>
      </c>
      <c r="E214" s="15" t="s">
        <v>1094</v>
      </c>
      <c r="F214" t="s">
        <v>61</v>
      </c>
    </row>
    <row r="215" spans="1:6" ht="17">
      <c r="A215" s="1" t="s">
        <v>1213</v>
      </c>
      <c r="B215" s="1" t="s">
        <v>52</v>
      </c>
      <c r="C215" s="2">
        <f>DATE(2024,6,12)+TIME(12,1,51)</f>
        <v>45455.501284722224</v>
      </c>
      <c r="E215" t="s">
        <v>1094</v>
      </c>
      <c r="F215" t="s">
        <v>61</v>
      </c>
    </row>
    <row r="216" spans="1:6" ht="17">
      <c r="A216" s="3" t="s">
        <v>1215</v>
      </c>
      <c r="B216" s="3" t="s">
        <v>101</v>
      </c>
      <c r="C216" s="4">
        <f>DATE(2024,9,21)+TIME(15,53,22)</f>
        <v>45556.662060185183</v>
      </c>
      <c r="E216" t="s">
        <v>1040</v>
      </c>
      <c r="F216" t="e">
        <f>VLOOKUP(Table1[[#This Row],[Company Name]],Sheet1!B:B,1,FALSE)</f>
        <v>#N/A</v>
      </c>
    </row>
    <row r="217" spans="1:6" ht="17">
      <c r="A217" s="1" t="s">
        <v>1216</v>
      </c>
      <c r="B217" s="1" t="s">
        <v>1217</v>
      </c>
      <c r="C217" s="2">
        <f>DATE(2024,6,20)+TIME(12,50,48)</f>
        <v>45463.535277777781</v>
      </c>
      <c r="F217" t="e">
        <f>VLOOKUP(Table1[[#This Row],[Company Name]],Sheet1!B:B,1,FALSE)</f>
        <v>#N/A</v>
      </c>
    </row>
    <row r="218" spans="1:6" ht="17">
      <c r="A218" s="1" t="s">
        <v>1216</v>
      </c>
      <c r="B218" s="1" t="s">
        <v>2058</v>
      </c>
      <c r="C218" s="2">
        <f>DATE(2024,6,28)+TIME(10,3,34)</f>
        <v>45471.41914351852</v>
      </c>
      <c r="F218" t="e">
        <f>VLOOKUP(Table1[[#This Row],[Company Name]],Sheet1!B:B,1,FALSE)</f>
        <v>#N/A</v>
      </c>
    </row>
    <row r="219" spans="1:6" ht="17">
      <c r="A219" s="3" t="s">
        <v>1216</v>
      </c>
      <c r="B219" s="3" t="s">
        <v>132</v>
      </c>
      <c r="C219" s="4">
        <f>DATE(2024,7,29)+TIME(5,35,27)</f>
        <v>45502.232951388891</v>
      </c>
      <c r="F219" t="e">
        <f>VLOOKUP(Table1[[#This Row],[Company Name]],Sheet1!B:B,1,FALSE)</f>
        <v>#N/A</v>
      </c>
    </row>
    <row r="220" spans="1:6" ht="17">
      <c r="A220" s="1" t="s">
        <v>1218</v>
      </c>
      <c r="B220" s="1" t="s">
        <v>1219</v>
      </c>
      <c r="C220" s="2">
        <f>DATE(2024,7,10)+TIME(13,11,18)</f>
        <v>45483.549513888887</v>
      </c>
      <c r="F220" t="e">
        <f>VLOOKUP(Table1[[#This Row],[Company Name]],Sheet1!B:B,1,FALSE)</f>
        <v>#N/A</v>
      </c>
    </row>
    <row r="221" spans="1:6" ht="17">
      <c r="A221" s="1" t="s">
        <v>1218</v>
      </c>
      <c r="B221" s="1" t="s">
        <v>2059</v>
      </c>
      <c r="C221" s="2">
        <f>DATE(2024,7,9)+TIME(8,56,13)</f>
        <v>45482.372372685182</v>
      </c>
      <c r="F221" t="e">
        <f>VLOOKUP(Table1[[#This Row],[Company Name]],Sheet1!B:B,1,FALSE)</f>
        <v>#N/A</v>
      </c>
    </row>
    <row r="222" spans="1:6" ht="17">
      <c r="A222" s="1" t="s">
        <v>1220</v>
      </c>
      <c r="B222" s="1" t="s">
        <v>1221</v>
      </c>
      <c r="C222" s="2">
        <f>DATE(2024,8,19)+TIME(15,45,53)</f>
        <v>45523.656863425924</v>
      </c>
      <c r="F222" t="e">
        <f>VLOOKUP(Table1[[#This Row],[Company Name]],Sheet1!B:B,1,FALSE)</f>
        <v>#N/A</v>
      </c>
    </row>
    <row r="223" spans="1:6" ht="17">
      <c r="A223" s="3" t="s">
        <v>1220</v>
      </c>
      <c r="B223" s="3" t="s">
        <v>2060</v>
      </c>
      <c r="C223" s="4">
        <f>DATE(2024,8,20)+TIME(8,16,34)</f>
        <v>45524.344837962963</v>
      </c>
      <c r="F223" t="e">
        <f>VLOOKUP(Table1[[#This Row],[Company Name]],Sheet1!B:B,1,FALSE)</f>
        <v>#N/A</v>
      </c>
    </row>
    <row r="224" spans="1:6" ht="34">
      <c r="A224" s="1" t="s">
        <v>226</v>
      </c>
      <c r="B224" s="1" t="s">
        <v>1222</v>
      </c>
      <c r="C224" s="2">
        <f>DATE(2024,8,13)+TIME(7,46,53)</f>
        <v>45517.324224537035</v>
      </c>
      <c r="F224" t="e">
        <f>VLOOKUP(Table1[[#This Row],[Company Name]],Sheet1!B:B,1,FALSE)</f>
        <v>#N/A</v>
      </c>
    </row>
    <row r="225" spans="1:6" ht="17">
      <c r="A225" s="1" t="s">
        <v>226</v>
      </c>
      <c r="B225" s="1" t="s">
        <v>85</v>
      </c>
      <c r="C225" s="2">
        <f>DATE(2024,6,3)+TIME(11,44,13)</f>
        <v>45446.489039351851</v>
      </c>
      <c r="F225" t="e">
        <f>VLOOKUP(Table1[[#This Row],[Company Name]],Sheet1!B:B,1,FALSE)</f>
        <v>#N/A</v>
      </c>
    </row>
    <row r="226" spans="1:6" ht="17">
      <c r="A226" s="1" t="s">
        <v>226</v>
      </c>
      <c r="B226" s="1" t="s">
        <v>1332</v>
      </c>
      <c r="C226" s="2">
        <f>DATE(2024,8,13)+TIME(7,39,31)</f>
        <v>45517.319108796299</v>
      </c>
      <c r="F226" t="e">
        <f>VLOOKUP(Table1[[#This Row],[Company Name]],Sheet1!B:B,1,FALSE)</f>
        <v>#N/A</v>
      </c>
    </row>
    <row r="227" spans="1:6" ht="17">
      <c r="A227" s="1" t="s">
        <v>226</v>
      </c>
      <c r="B227" s="1" t="s">
        <v>85</v>
      </c>
      <c r="C227" s="2">
        <f>DATE(2024,8,13)+TIME(7,43,50)</f>
        <v>45517.322106481479</v>
      </c>
      <c r="F227" t="e">
        <f>VLOOKUP(Table1[[#This Row],[Company Name]],Sheet1!B:B,1,FALSE)</f>
        <v>#N/A</v>
      </c>
    </row>
    <row r="228" spans="1:6" ht="17">
      <c r="A228" s="3" t="s">
        <v>226</v>
      </c>
      <c r="B228" s="3" t="s">
        <v>344</v>
      </c>
      <c r="C228" s="4">
        <f>DATE(2024,8,13)+TIME(7,54,28)</f>
        <v>45517.32949074074</v>
      </c>
      <c r="F228" t="e">
        <f>VLOOKUP(Table1[[#This Row],[Company Name]],Sheet1!B:B,1,FALSE)</f>
        <v>#N/A</v>
      </c>
    </row>
    <row r="229" spans="1:6" ht="17">
      <c r="A229" s="3" t="s">
        <v>226</v>
      </c>
      <c r="B229" s="3" t="s">
        <v>1332</v>
      </c>
      <c r="C229" s="4">
        <f>DATE(2024,8,13)+TIME(7,35,44)</f>
        <v>45517.316481481481</v>
      </c>
      <c r="F229" t="e">
        <f>VLOOKUP(Table1[[#This Row],[Company Name]],Sheet1!B:B,1,FALSE)</f>
        <v>#N/A</v>
      </c>
    </row>
    <row r="230" spans="1:6" ht="17">
      <c r="A230" s="1" t="s">
        <v>226</v>
      </c>
      <c r="B230" s="1" t="s">
        <v>2061</v>
      </c>
      <c r="C230" s="2">
        <f>DATE(2024,8,13)+TIME(7,29,13)</f>
        <v>45517.311956018515</v>
      </c>
      <c r="F230" t="e">
        <f>VLOOKUP(Table1[[#This Row],[Company Name]],Sheet1!B:B,1,FALSE)</f>
        <v>#N/A</v>
      </c>
    </row>
    <row r="231" spans="1:6" ht="17">
      <c r="A231" s="1" t="s">
        <v>226</v>
      </c>
      <c r="B231" s="1" t="s">
        <v>2062</v>
      </c>
      <c r="C231" s="2">
        <f>DATE(2024,8,13)+TIME(7,15,5)</f>
        <v>45517.302141203705</v>
      </c>
      <c r="F231" t="e">
        <f>VLOOKUP(Table1[[#This Row],[Company Name]],Sheet1!B:B,1,FALSE)</f>
        <v>#N/A</v>
      </c>
    </row>
    <row r="232" spans="1:6" ht="17">
      <c r="A232" s="3" t="s">
        <v>226</v>
      </c>
      <c r="B232" s="3" t="s">
        <v>227</v>
      </c>
      <c r="C232" s="4">
        <f>DATE(2024,9,5)+TIME(13,12,34)</f>
        <v>45540.550393518519</v>
      </c>
      <c r="F232" t="e">
        <f>VLOOKUP(Table1[[#This Row],[Company Name]],Sheet1!B:B,1,FALSE)</f>
        <v>#N/A</v>
      </c>
    </row>
    <row r="233" spans="1:6" ht="17">
      <c r="A233" s="1" t="s">
        <v>226</v>
      </c>
      <c r="B233" s="1" t="s">
        <v>85</v>
      </c>
      <c r="C233" s="2">
        <f>DATE(2024,8,13)+TIME(7,51,13)</f>
        <v>45517.327233796299</v>
      </c>
      <c r="F233" t="e">
        <f>VLOOKUP(Table1[[#This Row],[Company Name]],Sheet1!B:B,1,FALSE)</f>
        <v>#N/A</v>
      </c>
    </row>
    <row r="234" spans="1:6" ht="17">
      <c r="A234" s="3" t="s">
        <v>226</v>
      </c>
      <c r="B234" s="3" t="s">
        <v>85</v>
      </c>
      <c r="C234" s="4">
        <f>DATE(2024,6,6)+TIME(12,9,57)</f>
        <v>45449.506909722222</v>
      </c>
      <c r="F234" t="e">
        <f>VLOOKUP(Table1[[#This Row],[Company Name]],Sheet1!B:B,1,FALSE)</f>
        <v>#N/A</v>
      </c>
    </row>
    <row r="235" spans="1:6" ht="34">
      <c r="A235" s="3" t="s">
        <v>1223</v>
      </c>
      <c r="B235" s="3" t="s">
        <v>1224</v>
      </c>
      <c r="C235" s="4">
        <f>DATE(2024,8,13)+TIME(7,13,55)</f>
        <v>45517.30133101852</v>
      </c>
      <c r="E235" t="s">
        <v>1040</v>
      </c>
      <c r="F235" t="s">
        <v>61</v>
      </c>
    </row>
    <row r="236" spans="1:6" ht="17">
      <c r="A236" s="3" t="s">
        <v>1223</v>
      </c>
      <c r="B236" s="3" t="s">
        <v>264</v>
      </c>
      <c r="C236" s="4">
        <f>DATE(2024,8,13)+TIME(7,22,57)</f>
        <v>45517.307604166665</v>
      </c>
      <c r="E236" t="s">
        <v>1040</v>
      </c>
      <c r="F236" t="s">
        <v>61</v>
      </c>
    </row>
    <row r="237" spans="1:6" ht="17">
      <c r="A237" s="1" t="s">
        <v>1225</v>
      </c>
      <c r="B237" s="1" t="s">
        <v>1226</v>
      </c>
      <c r="C237" s="2">
        <f>DATE(2024,8,22)+TIME(9,39,24)</f>
        <v>45526.402361111112</v>
      </c>
      <c r="F237" t="e">
        <f>VLOOKUP(Table1[[#This Row],[Company Name]],Sheet1!B:B,1,FALSE)</f>
        <v>#N/A</v>
      </c>
    </row>
    <row r="238" spans="1:6" ht="17">
      <c r="A238" s="1" t="s">
        <v>1227</v>
      </c>
      <c r="B238" s="1" t="s">
        <v>1228</v>
      </c>
      <c r="C238" s="2">
        <f>DATE(2024,8,6)+TIME(16,39,38)</f>
        <v>45510.694189814814</v>
      </c>
      <c r="E238" t="s">
        <v>1040</v>
      </c>
      <c r="F238" t="s">
        <v>61</v>
      </c>
    </row>
    <row r="239" spans="1:6" ht="17">
      <c r="A239" s="6" t="s">
        <v>1229</v>
      </c>
      <c r="B239" s="6" t="s">
        <v>1230</v>
      </c>
      <c r="C239" s="7">
        <f>DATE(2024,6,25)+TIME(4,10,51)</f>
        <v>45468.174201388887</v>
      </c>
      <c r="D239" s="8" t="s">
        <v>2002</v>
      </c>
      <c r="F239" t="e">
        <f>VLOOKUP(Table1[[#This Row],[Company Name]],Sheet1!B:B,1,FALSE)</f>
        <v>#N/A</v>
      </c>
    </row>
    <row r="240" spans="1:6" ht="17">
      <c r="A240" s="6" t="s">
        <v>1229</v>
      </c>
      <c r="B240" s="6" t="s">
        <v>2063</v>
      </c>
      <c r="C240" s="7">
        <f>DATE(2024,6,25)+TIME(4,8,20)</f>
        <v>45468.172453703701</v>
      </c>
      <c r="D240" s="8" t="s">
        <v>2002</v>
      </c>
      <c r="F240" t="e">
        <f>VLOOKUP(Table1[[#This Row],[Company Name]],Sheet1!B:B,1,FALSE)</f>
        <v>#N/A</v>
      </c>
    </row>
    <row r="241" spans="1:6" ht="17">
      <c r="A241" s="6" t="s">
        <v>1229</v>
      </c>
      <c r="B241" s="6" t="s">
        <v>2063</v>
      </c>
      <c r="C241" s="7">
        <f>DATE(2024,6,25)+TIME(3,59,1)</f>
        <v>45468.165983796294</v>
      </c>
      <c r="D241" s="8" t="s">
        <v>2002</v>
      </c>
      <c r="F241" t="e">
        <f>VLOOKUP(Table1[[#This Row],[Company Name]],Sheet1!B:B,1,FALSE)</f>
        <v>#N/A</v>
      </c>
    </row>
    <row r="242" spans="1:6" ht="17">
      <c r="A242" s="3" t="s">
        <v>1231</v>
      </c>
      <c r="B242" s="3" t="s">
        <v>85</v>
      </c>
      <c r="C242" s="4">
        <f>DATE(2024,9,3)+TIME(15,9,38)</f>
        <v>45538.631689814814</v>
      </c>
      <c r="E242" t="s">
        <v>1040</v>
      </c>
      <c r="F242" t="s">
        <v>61</v>
      </c>
    </row>
    <row r="243" spans="1:6" ht="17">
      <c r="A243" s="3" t="s">
        <v>1231</v>
      </c>
      <c r="B243" s="3" t="s">
        <v>2064</v>
      </c>
      <c r="C243" s="4">
        <f>DATE(2024,9,3)+TIME(15,9,39)</f>
        <v>45538.631701388891</v>
      </c>
      <c r="E243" t="s">
        <v>1040</v>
      </c>
      <c r="F243" t="s">
        <v>61</v>
      </c>
    </row>
    <row r="244" spans="1:6" ht="17">
      <c r="A244" s="1" t="s">
        <v>1231</v>
      </c>
      <c r="B244" s="1" t="s">
        <v>2065</v>
      </c>
      <c r="C244" s="2">
        <f>DATE(2024,9,3)+TIME(15,9,38)</f>
        <v>45538.631689814814</v>
      </c>
      <c r="E244" t="s">
        <v>1040</v>
      </c>
      <c r="F244" t="s">
        <v>61</v>
      </c>
    </row>
    <row r="245" spans="1:6" ht="17">
      <c r="A245" s="3" t="s">
        <v>1231</v>
      </c>
      <c r="B245" s="3" t="s">
        <v>2066</v>
      </c>
      <c r="C245" s="4">
        <f>DATE(2024,9,3)+TIME(15,9,38)</f>
        <v>45538.631689814814</v>
      </c>
      <c r="E245" t="s">
        <v>1040</v>
      </c>
      <c r="F245" t="s">
        <v>61</v>
      </c>
    </row>
    <row r="246" spans="1:6" ht="17">
      <c r="A246" s="1" t="s">
        <v>239</v>
      </c>
      <c r="B246" s="1" t="s">
        <v>1232</v>
      </c>
      <c r="C246" s="2">
        <f>DATE(2024,8,8)+TIME(3,4,9)</f>
        <v>45512.127881944441</v>
      </c>
      <c r="F246" t="e">
        <f>VLOOKUP(Table1[[#This Row],[Company Name]],Sheet1!B:B,1,FALSE)</f>
        <v>#N/A</v>
      </c>
    </row>
    <row r="247" spans="1:6" ht="17">
      <c r="A247" s="3" t="s">
        <v>239</v>
      </c>
      <c r="B247" s="3" t="s">
        <v>2067</v>
      </c>
      <c r="C247" s="4">
        <f>DATE(2024,7,16)+TIME(20,28,32)</f>
        <v>45489.853148148148</v>
      </c>
      <c r="F247" t="e">
        <f>VLOOKUP(Table1[[#This Row],[Company Name]],Sheet1!B:B,1,FALSE)</f>
        <v>#N/A</v>
      </c>
    </row>
    <row r="248" spans="1:6" ht="17">
      <c r="A248" s="3" t="s">
        <v>239</v>
      </c>
      <c r="B248" s="3" t="s">
        <v>2068</v>
      </c>
      <c r="C248" s="4">
        <f>DATE(2024,7,16)+TIME(20,28,32)</f>
        <v>45489.853148148148</v>
      </c>
      <c r="F248" t="e">
        <f>VLOOKUP(Table1[[#This Row],[Company Name]],Sheet1!B:B,1,FALSE)</f>
        <v>#N/A</v>
      </c>
    </row>
    <row r="249" spans="1:6" ht="17">
      <c r="A249" s="3" t="s">
        <v>239</v>
      </c>
      <c r="B249" s="3" t="s">
        <v>240</v>
      </c>
      <c r="C249" s="4">
        <f>DATE(2024,7,16)+TIME(20,28,32)</f>
        <v>45489.853148148148</v>
      </c>
      <c r="F249" t="e">
        <f>VLOOKUP(Table1[[#This Row],[Company Name]],Sheet1!B:B,1,FALSE)</f>
        <v>#N/A</v>
      </c>
    </row>
    <row r="250" spans="1:6" ht="17">
      <c r="A250" s="6" t="s">
        <v>247</v>
      </c>
      <c r="B250" s="6" t="s">
        <v>296</v>
      </c>
      <c r="C250" s="7">
        <f>DATE(2024,9,11)+TIME(19,4,27)</f>
        <v>45546.794756944444</v>
      </c>
      <c r="D250" s="8" t="s">
        <v>2002</v>
      </c>
      <c r="F250" t="e">
        <f>VLOOKUP(Table1[[#This Row],[Company Name]],Sheet1!B:B,1,FALSE)</f>
        <v>#N/A</v>
      </c>
    </row>
    <row r="251" spans="1:6" ht="17">
      <c r="A251" s="6" t="s">
        <v>247</v>
      </c>
      <c r="B251" s="6" t="s">
        <v>296</v>
      </c>
      <c r="C251" s="7">
        <f>DATE(2024,9,6)+TIME(9,14,16)</f>
        <v>45541.38490740741</v>
      </c>
      <c r="D251" s="8" t="s">
        <v>2002</v>
      </c>
      <c r="F251" t="e">
        <f>VLOOKUP(Table1[[#This Row],[Company Name]],Sheet1!B:B,1,FALSE)</f>
        <v>#N/A</v>
      </c>
    </row>
    <row r="252" spans="1:6" ht="17">
      <c r="A252" s="6" t="s">
        <v>2069</v>
      </c>
      <c r="B252" s="6" t="s">
        <v>216</v>
      </c>
      <c r="C252" s="7">
        <f>DATE(2024,8,14)+TIME(13,23,34)</f>
        <v>45518.558032407411</v>
      </c>
      <c r="D252" s="8" t="s">
        <v>2002</v>
      </c>
      <c r="F252" t="e">
        <f>VLOOKUP(Table1[[#This Row],[Company Name]],Sheet1!B:B,1,FALSE)</f>
        <v>#N/A</v>
      </c>
    </row>
    <row r="253" spans="1:6" ht="17">
      <c r="A253" s="6" t="s">
        <v>2069</v>
      </c>
      <c r="B253" s="6" t="s">
        <v>2070</v>
      </c>
      <c r="C253" s="7">
        <f>DATE(2024,9,19)+TIME(9,34,13)</f>
        <v>45554.398761574077</v>
      </c>
      <c r="D253" s="8" t="s">
        <v>2002</v>
      </c>
      <c r="F253" t="e">
        <f>VLOOKUP(Table1[[#This Row],[Company Name]],Sheet1!B:B,1,FALSE)</f>
        <v>#N/A</v>
      </c>
    </row>
    <row r="254" spans="1:6" ht="17">
      <c r="A254" s="6" t="s">
        <v>2069</v>
      </c>
      <c r="B254" s="6" t="s">
        <v>2071</v>
      </c>
      <c r="C254" s="7">
        <f>DATE(2024,8,13)+TIME(13,44,26)</f>
        <v>45517.572523148148</v>
      </c>
      <c r="D254" s="8" t="s">
        <v>2002</v>
      </c>
      <c r="F254" t="e">
        <f>VLOOKUP(Table1[[#This Row],[Company Name]],Sheet1!B:B,1,FALSE)</f>
        <v>#N/A</v>
      </c>
    </row>
    <row r="255" spans="1:6" ht="17">
      <c r="A255" s="6" t="s">
        <v>2069</v>
      </c>
      <c r="B255" s="6" t="s">
        <v>296</v>
      </c>
      <c r="C255" s="7">
        <f>DATE(2024,9,5)+TIME(10,44,56)</f>
        <v>45540.447870370372</v>
      </c>
      <c r="D255" s="8" t="s">
        <v>2002</v>
      </c>
      <c r="F255" t="e">
        <f>VLOOKUP(Table1[[#This Row],[Company Name]],Sheet1!B:B,1,FALSE)</f>
        <v>#N/A</v>
      </c>
    </row>
    <row r="256" spans="1:6" ht="17">
      <c r="A256" s="6" t="s">
        <v>2069</v>
      </c>
      <c r="B256" s="6" t="s">
        <v>2072</v>
      </c>
      <c r="C256" s="7">
        <f>DATE(2024,7,21)+TIME(12,58,21)</f>
        <v>45494.540520833332</v>
      </c>
      <c r="D256" s="8" t="s">
        <v>2002</v>
      </c>
      <c r="F256" t="e">
        <f>VLOOKUP(Table1[[#This Row],[Company Name]],Sheet1!B:B,1,FALSE)</f>
        <v>#N/A</v>
      </c>
    </row>
    <row r="257" spans="1:6" ht="17">
      <c r="A257" s="6" t="s">
        <v>2069</v>
      </c>
      <c r="B257" s="6" t="s">
        <v>2073</v>
      </c>
      <c r="C257" s="7">
        <f>DATE(2024,9,12)+TIME(6,43,30)</f>
        <v>45547.28020833333</v>
      </c>
      <c r="D257" s="8" t="s">
        <v>2002</v>
      </c>
      <c r="F257" t="e">
        <f>VLOOKUP(Table1[[#This Row],[Company Name]],Sheet1!B:B,1,FALSE)</f>
        <v>#N/A</v>
      </c>
    </row>
    <row r="258" spans="1:6" ht="17">
      <c r="A258" s="6" t="s">
        <v>2069</v>
      </c>
      <c r="B258" s="6" t="s">
        <v>1230</v>
      </c>
      <c r="C258" s="7">
        <f>DATE(2024,8,15)+TIME(10,35,20)</f>
        <v>45519.441203703704</v>
      </c>
      <c r="D258" s="8" t="s">
        <v>2002</v>
      </c>
      <c r="F258" t="e">
        <f>VLOOKUP(Table1[[#This Row],[Company Name]],Sheet1!B:B,1,FALSE)</f>
        <v>#N/A</v>
      </c>
    </row>
    <row r="259" spans="1:6" ht="17">
      <c r="A259" s="6" t="s">
        <v>1236</v>
      </c>
      <c r="B259" s="6" t="s">
        <v>1237</v>
      </c>
      <c r="C259" s="7">
        <f>DATE(2024,8,14)+TIME(15,13,2)</f>
        <v>45518.634050925924</v>
      </c>
      <c r="D259" s="8" t="s">
        <v>2002</v>
      </c>
      <c r="F259" t="e">
        <f>VLOOKUP(Table1[[#This Row],[Company Name]],Sheet1!B:B,1,FALSE)</f>
        <v>#N/A</v>
      </c>
    </row>
    <row r="260" spans="1:6" ht="17">
      <c r="A260" s="1" t="s">
        <v>1239</v>
      </c>
      <c r="B260" s="1" t="s">
        <v>85</v>
      </c>
      <c r="C260" s="2">
        <f>DATE(2024,8,13)+TIME(8,10,34)</f>
        <v>45517.340671296297</v>
      </c>
      <c r="F260" t="e">
        <f>VLOOKUP(Table1[[#This Row],[Company Name]],Sheet1!B:B,1,FALSE)</f>
        <v>#N/A</v>
      </c>
    </row>
    <row r="261" spans="1:6" ht="17">
      <c r="A261" s="3" t="s">
        <v>1240</v>
      </c>
      <c r="B261" s="3" t="s">
        <v>660</v>
      </c>
      <c r="C261" s="4">
        <f>DATE(2024,6,14)+TIME(10,32,32)</f>
        <v>45457.439259259256</v>
      </c>
      <c r="F261" t="e">
        <f>VLOOKUP(Table1[[#This Row],[Company Name]],Sheet1!B:B,1,FALSE)</f>
        <v>#N/A</v>
      </c>
    </row>
    <row r="262" spans="1:6" ht="17">
      <c r="A262" s="1" t="s">
        <v>1241</v>
      </c>
      <c r="B262" s="1" t="s">
        <v>1242</v>
      </c>
      <c r="C262" s="2">
        <f>DATE(2024,6,14)+TIME(11,6,19)</f>
        <v>45457.462719907409</v>
      </c>
      <c r="E262" t="s">
        <v>1040</v>
      </c>
      <c r="F262" t="s">
        <v>61</v>
      </c>
    </row>
    <row r="263" spans="1:6" ht="17">
      <c r="A263" s="1" t="s">
        <v>1243</v>
      </c>
      <c r="B263" s="1" t="s">
        <v>1244</v>
      </c>
      <c r="C263" s="2">
        <f>DATE(2024,9,17)+TIME(13,47,10)</f>
        <v>45552.574421296296</v>
      </c>
      <c r="F263" t="e">
        <f>VLOOKUP(Table1[[#This Row],[Company Name]],Sheet1!B:B,1,FALSE)</f>
        <v>#N/A</v>
      </c>
    </row>
    <row r="264" spans="1:6" ht="17">
      <c r="A264" s="1" t="s">
        <v>1245</v>
      </c>
      <c r="B264" s="1" t="s">
        <v>1246</v>
      </c>
      <c r="C264" s="2">
        <f>DATE(2024,8,27)+TIME(13,54,9)</f>
        <v>45531.579270833332</v>
      </c>
      <c r="F264" t="e">
        <f>VLOOKUP(Table1[[#This Row],[Company Name]],Sheet1!B:B,1,FALSE)</f>
        <v>#N/A</v>
      </c>
    </row>
    <row r="265" spans="1:6" ht="17">
      <c r="A265" s="3" t="s">
        <v>1247</v>
      </c>
      <c r="B265" s="3" t="s">
        <v>85</v>
      </c>
      <c r="C265" s="4">
        <f>DATE(2024,7,10)+TIME(9,39,16)</f>
        <v>45483.402268518519</v>
      </c>
      <c r="F265" t="e">
        <f>VLOOKUP(Table1[[#This Row],[Company Name]],Sheet1!B:B,1,FALSE)</f>
        <v>#N/A</v>
      </c>
    </row>
    <row r="266" spans="1:6" ht="17">
      <c r="A266" s="3" t="s">
        <v>1248</v>
      </c>
      <c r="B266" s="3" t="s">
        <v>1249</v>
      </c>
      <c r="C266" s="4">
        <f>DATE(2024,5,30)+TIME(14,46,12)</f>
        <v>45442.615416666667</v>
      </c>
      <c r="F266" t="e">
        <f>VLOOKUP(Table1[[#This Row],[Company Name]],Sheet1!B:B,1,FALSE)</f>
        <v>#N/A</v>
      </c>
    </row>
    <row r="267" spans="1:6" ht="17">
      <c r="A267" s="1" t="s">
        <v>1250</v>
      </c>
      <c r="B267" s="1" t="s">
        <v>1251</v>
      </c>
      <c r="C267" s="2">
        <f>DATE(2024,7,19)+TIME(16,24,33)</f>
        <v>45492.683715277781</v>
      </c>
      <c r="F267" t="e">
        <f>VLOOKUP(Table1[[#This Row],[Company Name]],Sheet1!B:B,1,FALSE)</f>
        <v>#N/A</v>
      </c>
    </row>
    <row r="268" spans="1:6" ht="17">
      <c r="A268" s="1" t="s">
        <v>1250</v>
      </c>
      <c r="B268" s="1" t="s">
        <v>2074</v>
      </c>
      <c r="C268" s="2">
        <f>DATE(2024,7,19)+TIME(15,30,20)</f>
        <v>45492.646064814813</v>
      </c>
      <c r="F268" t="e">
        <f>VLOOKUP(Table1[[#This Row],[Company Name]],Sheet1!B:B,1,FALSE)</f>
        <v>#N/A</v>
      </c>
    </row>
    <row r="269" spans="1:6" ht="17">
      <c r="A269" s="3" t="s">
        <v>1250</v>
      </c>
      <c r="B269" s="3" t="s">
        <v>2075</v>
      </c>
      <c r="C269" s="4">
        <f>DATE(2024,6,19)+TIME(8,18,46)</f>
        <v>45462.346365740741</v>
      </c>
      <c r="F269" t="e">
        <f>VLOOKUP(Table1[[#This Row],[Company Name]],Sheet1!B:B,1,FALSE)</f>
        <v>#N/A</v>
      </c>
    </row>
    <row r="270" spans="1:6" ht="17">
      <c r="A270" s="1" t="s">
        <v>2076</v>
      </c>
      <c r="B270" s="1" t="s">
        <v>2077</v>
      </c>
      <c r="C270" s="2">
        <f>DATE(2024,8,23)+TIME(16,1,1)</f>
        <v>45527.667372685188</v>
      </c>
      <c r="F270" t="e">
        <f>VLOOKUP(Table1[[#This Row],[Company Name]],Sheet1!B:B,1,FALSE)</f>
        <v>#N/A</v>
      </c>
    </row>
    <row r="271" spans="1:6" ht="17">
      <c r="A271" s="3" t="s">
        <v>1252</v>
      </c>
      <c r="B271" s="3" t="s">
        <v>344</v>
      </c>
      <c r="C271" s="4">
        <f>DATE(2024,8,23)+TIME(6,42,19)</f>
        <v>45527.279386574075</v>
      </c>
      <c r="F271" t="e">
        <f>VLOOKUP(Table1[[#This Row],[Company Name]],Sheet1!B:B,1,FALSE)</f>
        <v>#N/A</v>
      </c>
    </row>
    <row r="272" spans="1:6" ht="17">
      <c r="A272" s="1" t="s">
        <v>1252</v>
      </c>
      <c r="B272" s="1" t="s">
        <v>1406</v>
      </c>
      <c r="C272" s="2">
        <f>DATE(2024,9,18)+TIME(13,36,37)</f>
        <v>45553.567094907405</v>
      </c>
      <c r="F272" t="e">
        <f>VLOOKUP(Table1[[#This Row],[Company Name]],Sheet1!B:B,1,FALSE)</f>
        <v>#N/A</v>
      </c>
    </row>
    <row r="273" spans="1:6" ht="17">
      <c r="A273" s="1" t="s">
        <v>1252</v>
      </c>
      <c r="B273" s="1" t="s">
        <v>2078</v>
      </c>
      <c r="C273" s="2">
        <f>DATE(2024,8,21)+TIME(15,32,33)</f>
        <v>45525.647604166668</v>
      </c>
      <c r="F273" t="e">
        <f>VLOOKUP(Table1[[#This Row],[Company Name]],Sheet1!B:B,1,FALSE)</f>
        <v>#N/A</v>
      </c>
    </row>
    <row r="274" spans="1:6" ht="17">
      <c r="A274" s="1" t="s">
        <v>1253</v>
      </c>
      <c r="B274" s="1" t="s">
        <v>1254</v>
      </c>
      <c r="C274" s="2">
        <f>DATE(2024,9,16)+TIME(14,19,32)</f>
        <v>45551.596898148149</v>
      </c>
      <c r="F274" t="e">
        <f>VLOOKUP(Table1[[#This Row],[Company Name]],Sheet1!B:B,1,FALSE)</f>
        <v>#N/A</v>
      </c>
    </row>
    <row r="275" spans="1:6" ht="17">
      <c r="A275" s="3" t="s">
        <v>1255</v>
      </c>
      <c r="B275" s="3" t="s">
        <v>85</v>
      </c>
      <c r="C275" s="4">
        <f>DATE(2024,8,9)+TIME(12,13,57)</f>
        <v>45513.509687500002</v>
      </c>
      <c r="F275" t="e">
        <f>VLOOKUP(Table1[[#This Row],[Company Name]],Sheet1!B:B,1,FALSE)</f>
        <v>#N/A</v>
      </c>
    </row>
    <row r="276" spans="1:6" ht="17">
      <c r="A276" s="1" t="s">
        <v>1255</v>
      </c>
      <c r="B276" s="1" t="s">
        <v>2079</v>
      </c>
      <c r="C276" s="2">
        <f>DATE(2024,8,9)+TIME(12,13,57)</f>
        <v>45513.509687500002</v>
      </c>
      <c r="F276" t="e">
        <f>VLOOKUP(Table1[[#This Row],[Company Name]],Sheet1!B:B,1,FALSE)</f>
        <v>#N/A</v>
      </c>
    </row>
    <row r="277" spans="1:6" ht="17">
      <c r="A277" s="1" t="s">
        <v>1256</v>
      </c>
      <c r="B277" s="1" t="s">
        <v>216</v>
      </c>
      <c r="C277" s="2">
        <f>DATE(2024,8,15)+TIME(11,53,34)</f>
        <v>45519.495532407411</v>
      </c>
      <c r="E277" t="s">
        <v>1257</v>
      </c>
      <c r="F277" t="s">
        <v>61</v>
      </c>
    </row>
    <row r="278" spans="1:6" ht="17">
      <c r="A278" s="1" t="s">
        <v>1256</v>
      </c>
      <c r="B278" s="1" t="s">
        <v>2080</v>
      </c>
      <c r="C278" s="2">
        <f>DATE(2024,9,26)+TIME(21,52,21)</f>
        <v>45561.911354166667</v>
      </c>
      <c r="E278" t="s">
        <v>1257</v>
      </c>
      <c r="F278" t="s">
        <v>61</v>
      </c>
    </row>
    <row r="279" spans="1:6" ht="17">
      <c r="A279" s="3" t="s">
        <v>1256</v>
      </c>
      <c r="B279" s="3" t="s">
        <v>2080</v>
      </c>
      <c r="C279" s="4">
        <f>DATE(2024,6,18)+TIME(15,6,27)</f>
        <v>45461.629479166666</v>
      </c>
      <c r="E279" t="s">
        <v>1257</v>
      </c>
      <c r="F279" t="s">
        <v>61</v>
      </c>
    </row>
    <row r="280" spans="1:6" ht="17">
      <c r="A280" s="1" t="s">
        <v>1256</v>
      </c>
      <c r="B280" s="1" t="s">
        <v>2081</v>
      </c>
      <c r="C280" s="2">
        <f>DATE(2024,9,5)+TIME(9,31,41)</f>
        <v>45540.397002314814</v>
      </c>
      <c r="E280" t="s">
        <v>1257</v>
      </c>
      <c r="F280" t="s">
        <v>61</v>
      </c>
    </row>
    <row r="281" spans="1:6" ht="17">
      <c r="A281" s="3" t="s">
        <v>1256</v>
      </c>
      <c r="B281" s="3" t="s">
        <v>2082</v>
      </c>
      <c r="C281" s="4">
        <f>DATE(2024,9,19)+TIME(11,59,45)</f>
        <v>45554.499826388892</v>
      </c>
      <c r="E281" t="s">
        <v>1257</v>
      </c>
      <c r="F281" t="s">
        <v>61</v>
      </c>
    </row>
    <row r="282" spans="1:6" ht="17">
      <c r="A282" s="1" t="s">
        <v>1256</v>
      </c>
      <c r="B282" s="1" t="s">
        <v>2083</v>
      </c>
      <c r="C282" s="2">
        <f>DATE(2024,9,6)+TIME(11,34,54)</f>
        <v>45541.482569444444</v>
      </c>
      <c r="E282" t="s">
        <v>1257</v>
      </c>
      <c r="F282" t="s">
        <v>61</v>
      </c>
    </row>
    <row r="283" spans="1:6" ht="17">
      <c r="A283" s="1" t="s">
        <v>1256</v>
      </c>
      <c r="B283" s="1" t="s">
        <v>344</v>
      </c>
      <c r="C283" s="2">
        <f>DATE(2024,8,19)+TIME(14,51,18)</f>
        <v>45523.618958333333</v>
      </c>
      <c r="E283" t="s">
        <v>1257</v>
      </c>
      <c r="F283" t="s">
        <v>61</v>
      </c>
    </row>
    <row r="284" spans="1:6" ht="17">
      <c r="A284" s="3" t="s">
        <v>1256</v>
      </c>
      <c r="B284" s="3" t="s">
        <v>2084</v>
      </c>
      <c r="C284" s="4">
        <f>DATE(2024,5,30)+TIME(19,54,38)</f>
        <v>45442.829606481479</v>
      </c>
      <c r="E284" t="s">
        <v>1257</v>
      </c>
      <c r="F284" t="s">
        <v>61</v>
      </c>
    </row>
    <row r="285" spans="1:6" ht="17">
      <c r="A285" s="3" t="s">
        <v>1258</v>
      </c>
      <c r="B285" s="3" t="s">
        <v>1259</v>
      </c>
      <c r="C285" s="4">
        <f>DATE(2024,6,27)+TIME(14,13,44)</f>
        <v>45470.592870370368</v>
      </c>
      <c r="F285" t="e">
        <f>VLOOKUP(Table1[[#This Row],[Company Name]],Sheet1!B:B,1,FALSE)</f>
        <v>#N/A</v>
      </c>
    </row>
    <row r="286" spans="1:6" ht="17">
      <c r="A286" s="1" t="s">
        <v>1260</v>
      </c>
      <c r="B286" s="1" t="s">
        <v>1261</v>
      </c>
      <c r="C286" s="2">
        <f>DATE(2024,8,7)+TIME(8,0,41)</f>
        <v>45511.333807870367</v>
      </c>
      <c r="F286" t="e">
        <f>VLOOKUP(Table1[[#This Row],[Company Name]],Sheet1!B:B,1,FALSE)</f>
        <v>#N/A</v>
      </c>
    </row>
    <row r="287" spans="1:6" ht="17">
      <c r="A287" s="1" t="s">
        <v>1260</v>
      </c>
      <c r="B287" s="1" t="s">
        <v>2085</v>
      </c>
      <c r="C287" s="2">
        <f>DATE(2024,8,5)+TIME(8,53,15)</f>
        <v>45509.370312500003</v>
      </c>
      <c r="F287" t="e">
        <f>VLOOKUP(Table1[[#This Row],[Company Name]],Sheet1!B:B,1,FALSE)</f>
        <v>#N/A</v>
      </c>
    </row>
    <row r="288" spans="1:6" ht="17">
      <c r="A288" s="3" t="s">
        <v>1262</v>
      </c>
      <c r="B288" s="3" t="s">
        <v>85</v>
      </c>
      <c r="C288" s="4">
        <f>DATE(2024,7,2)+TIME(7,7,51)</f>
        <v>45475.297118055554</v>
      </c>
      <c r="F288" t="e">
        <f>VLOOKUP(Table1[[#This Row],[Company Name]],Sheet1!B:B,1,FALSE)</f>
        <v>#N/A</v>
      </c>
    </row>
    <row r="289" spans="1:6" ht="17">
      <c r="A289" s="3" t="s">
        <v>1262</v>
      </c>
      <c r="B289" s="3" t="s">
        <v>113</v>
      </c>
      <c r="C289" s="4">
        <f>DATE(2024,7,2)+TIME(7,15,30)</f>
        <v>45475.302430555559</v>
      </c>
      <c r="F289" t="e">
        <f>VLOOKUP(Table1[[#This Row],[Company Name]],Sheet1!B:B,1,FALSE)</f>
        <v>#N/A</v>
      </c>
    </row>
    <row r="290" spans="1:6" ht="17">
      <c r="A290" s="1" t="s">
        <v>1262</v>
      </c>
      <c r="B290" s="1" t="s">
        <v>344</v>
      </c>
      <c r="C290" s="2">
        <f>DATE(2024,7,2)+TIME(7,7,50)</f>
        <v>45475.297106481485</v>
      </c>
      <c r="F290" t="e">
        <f>VLOOKUP(Table1[[#This Row],[Company Name]],Sheet1!B:B,1,FALSE)</f>
        <v>#N/A</v>
      </c>
    </row>
    <row r="291" spans="1:6" ht="17">
      <c r="A291" s="3" t="s">
        <v>1262</v>
      </c>
      <c r="B291" s="3" t="s">
        <v>344</v>
      </c>
      <c r="C291" s="4">
        <f>DATE(2024,7,2)+TIME(7,7,50)</f>
        <v>45475.297106481485</v>
      </c>
      <c r="F291" t="e">
        <f>VLOOKUP(Table1[[#This Row],[Company Name]],Sheet1!B:B,1,FALSE)</f>
        <v>#N/A</v>
      </c>
    </row>
    <row r="292" spans="1:6" ht="17">
      <c r="A292" s="3" t="s">
        <v>1262</v>
      </c>
      <c r="B292" s="3" t="s">
        <v>344</v>
      </c>
      <c r="C292" s="4">
        <f>DATE(2024,7,2)+TIME(7,7,50)</f>
        <v>45475.297106481485</v>
      </c>
      <c r="F292" t="e">
        <f>VLOOKUP(Table1[[#This Row],[Company Name]],Sheet1!B:B,1,FALSE)</f>
        <v>#N/A</v>
      </c>
    </row>
    <row r="293" spans="1:6" ht="17">
      <c r="A293" s="3" t="s">
        <v>1263</v>
      </c>
      <c r="B293" s="3" t="s">
        <v>1264</v>
      </c>
      <c r="C293" s="4">
        <f>DATE(2024,9,4)+TIME(12,13,23)</f>
        <v>45539.509293981479</v>
      </c>
      <c r="F293" t="e">
        <f>VLOOKUP(Table1[[#This Row],[Company Name]],Sheet1!B:B,1,FALSE)</f>
        <v>#N/A</v>
      </c>
    </row>
    <row r="294" spans="1:6" ht="17">
      <c r="A294" s="3" t="s">
        <v>2086</v>
      </c>
      <c r="B294" s="3" t="s">
        <v>2087</v>
      </c>
      <c r="C294" s="4">
        <f>DATE(2024,8,30)+TIME(7,54,7)</f>
        <v>45534.329247685186</v>
      </c>
      <c r="F294" t="e">
        <f>VLOOKUP(Table1[[#This Row],[Company Name]],Sheet1!B:B,1,FALSE)</f>
        <v>#N/A</v>
      </c>
    </row>
    <row r="295" spans="1:6" ht="17">
      <c r="A295" s="3" t="s">
        <v>1265</v>
      </c>
      <c r="B295" s="3" t="s">
        <v>1266</v>
      </c>
      <c r="C295" s="4">
        <f>DATE(2024,8,13)+TIME(10,24,0)</f>
        <v>45517.433333333334</v>
      </c>
      <c r="E295" t="s">
        <v>1267</v>
      </c>
      <c r="F295" t="s">
        <v>61</v>
      </c>
    </row>
    <row r="296" spans="1:6" ht="17">
      <c r="A296" s="1" t="s">
        <v>1265</v>
      </c>
      <c r="B296" s="1" t="s">
        <v>1266</v>
      </c>
      <c r="C296" s="2">
        <f>DATE(2024,8,13)+TIME(10,15,34)</f>
        <v>45517.427476851852</v>
      </c>
      <c r="E296" t="s">
        <v>1267</v>
      </c>
      <c r="F296" t="s">
        <v>61</v>
      </c>
    </row>
    <row r="297" spans="1:6" ht="17">
      <c r="A297" s="1" t="s">
        <v>1268</v>
      </c>
      <c r="B297" s="1" t="s">
        <v>567</v>
      </c>
      <c r="C297" s="2">
        <f>DATE(2024,9,10)+TIME(9,18,14)</f>
        <v>45545.387662037036</v>
      </c>
      <c r="E297" t="s">
        <v>1040</v>
      </c>
      <c r="F297" t="s">
        <v>61</v>
      </c>
    </row>
    <row r="298" spans="1:6" ht="17">
      <c r="A298" s="6" t="s">
        <v>1269</v>
      </c>
      <c r="B298" s="6" t="s">
        <v>271</v>
      </c>
      <c r="C298" s="7">
        <f>DATE(2024,9,20)+TIME(9,31,44)</f>
        <v>45555.397037037037</v>
      </c>
      <c r="D298" s="8" t="s">
        <v>2002</v>
      </c>
      <c r="F298" t="e">
        <f>VLOOKUP(Table1[[#This Row],[Company Name]],Sheet1!B:B,1,FALSE)</f>
        <v>#N/A</v>
      </c>
    </row>
    <row r="299" spans="1:6" ht="17">
      <c r="A299" s="6" t="s">
        <v>1272</v>
      </c>
      <c r="B299" s="6" t="s">
        <v>1273</v>
      </c>
      <c r="C299" s="7">
        <f>DATE(2024,7,8)+TIME(9,17,47)</f>
        <v>45481.387349537035</v>
      </c>
      <c r="D299" s="8" t="s">
        <v>2002</v>
      </c>
      <c r="F299" t="e">
        <f>VLOOKUP(Table1[[#This Row],[Company Name]],Sheet1!B:B,1,FALSE)</f>
        <v>#N/A</v>
      </c>
    </row>
    <row r="300" spans="1:6" ht="17">
      <c r="A300" s="3" t="s">
        <v>263</v>
      </c>
      <c r="B300" s="3" t="s">
        <v>264</v>
      </c>
      <c r="C300" s="4">
        <f>DATE(2024,7,30)+TIME(9,13,28)</f>
        <v>45503.384351851855</v>
      </c>
      <c r="F300" t="e">
        <f>VLOOKUP(Table1[[#This Row],[Company Name]],Sheet1!B:B,1,FALSE)</f>
        <v>#N/A</v>
      </c>
    </row>
    <row r="301" spans="1:6" ht="17">
      <c r="A301" s="3" t="s">
        <v>1276</v>
      </c>
      <c r="B301" s="3" t="s">
        <v>1277</v>
      </c>
      <c r="C301" s="4">
        <f>DATE(2024,8,13)+TIME(8,7,33)</f>
        <v>45517.338576388887</v>
      </c>
      <c r="F301" t="e">
        <f>VLOOKUP(Table1[[#This Row],[Company Name]],Sheet1!B:B,1,FALSE)</f>
        <v>#N/A</v>
      </c>
    </row>
    <row r="302" spans="1:6" ht="17">
      <c r="A302" s="1" t="s">
        <v>1278</v>
      </c>
      <c r="B302" s="1" t="s">
        <v>1279</v>
      </c>
      <c r="C302" s="2">
        <f>DATE(2024,8,6)+TIME(13,54,36)</f>
        <v>45510.579583333332</v>
      </c>
      <c r="F302" t="e">
        <f>VLOOKUP(Table1[[#This Row],[Company Name]],Sheet1!B:B,1,FALSE)</f>
        <v>#N/A</v>
      </c>
    </row>
    <row r="303" spans="1:6" ht="17">
      <c r="A303" s="6" t="s">
        <v>270</v>
      </c>
      <c r="B303" s="6" t="s">
        <v>271</v>
      </c>
      <c r="C303" s="7">
        <f>DATE(2024,8,29)+TIME(2,26,6)</f>
        <v>45533.101458333331</v>
      </c>
      <c r="D303" s="8" t="s">
        <v>2002</v>
      </c>
      <c r="F303" t="e">
        <f>VLOOKUP(Table1[[#This Row],[Company Name]],Sheet1!B:B,1,FALSE)</f>
        <v>#N/A</v>
      </c>
    </row>
    <row r="304" spans="1:6" ht="17">
      <c r="A304" s="1" t="s">
        <v>281</v>
      </c>
      <c r="B304" s="1" t="s">
        <v>264</v>
      </c>
      <c r="C304" s="2">
        <f>DATE(2024,8,9)+TIME(11,5,24)</f>
        <v>45513.462083333332</v>
      </c>
      <c r="F304" t="e">
        <f>VLOOKUP(Table1[[#This Row],[Company Name]],Sheet1!B:B,1,FALSE)</f>
        <v>#N/A</v>
      </c>
    </row>
    <row r="305" spans="1:6" ht="17">
      <c r="A305" s="1" t="s">
        <v>1282</v>
      </c>
      <c r="B305" s="1" t="s">
        <v>1283</v>
      </c>
      <c r="C305" s="2">
        <f>DATE(2024,8,22)+TIME(10,33,51)</f>
        <v>45526.44017361111</v>
      </c>
      <c r="F305" t="s">
        <v>61</v>
      </c>
    </row>
    <row r="306" spans="1:6" ht="17">
      <c r="A306" s="3" t="s">
        <v>1284</v>
      </c>
      <c r="B306" s="3" t="s">
        <v>1285</v>
      </c>
      <c r="C306" s="4">
        <f>DATE(2024,9,25)+TIME(6,32,40)</f>
        <v>45560.272685185184</v>
      </c>
      <c r="F306" t="e">
        <f>VLOOKUP(Table1[[#This Row],[Company Name]],Sheet1!B:B,1,FALSE)</f>
        <v>#N/A</v>
      </c>
    </row>
    <row r="307" spans="1:6" ht="34">
      <c r="A307" s="3" t="s">
        <v>1286</v>
      </c>
      <c r="B307" s="3" t="s">
        <v>1287</v>
      </c>
      <c r="C307" s="4">
        <f>DATE(2024,7,2)+TIME(13,10,30)</f>
        <v>45475.548958333333</v>
      </c>
      <c r="E307" t="s">
        <v>1288</v>
      </c>
      <c r="F307" t="s">
        <v>61</v>
      </c>
    </row>
    <row r="308" spans="1:6" ht="17">
      <c r="A308" s="1" t="s">
        <v>1286</v>
      </c>
      <c r="B308" s="1" t="s">
        <v>2088</v>
      </c>
      <c r="C308" s="2">
        <f>DATE(2024,7,2)+TIME(11,26,20)</f>
        <v>45475.476620370369</v>
      </c>
      <c r="E308" t="s">
        <v>1288</v>
      </c>
      <c r="F308" t="s">
        <v>61</v>
      </c>
    </row>
    <row r="309" spans="1:6" ht="17">
      <c r="A309" s="3" t="s">
        <v>1286</v>
      </c>
      <c r="B309" s="3" t="s">
        <v>1588</v>
      </c>
      <c r="C309" s="4">
        <f>DATE(2024,7,12)+TIME(8,49,19)</f>
        <v>45485.367581018516</v>
      </c>
      <c r="E309" t="s">
        <v>1288</v>
      </c>
      <c r="F309" t="s">
        <v>61</v>
      </c>
    </row>
    <row r="310" spans="1:6" ht="17">
      <c r="A310" s="3" t="s">
        <v>1286</v>
      </c>
      <c r="B310" s="3" t="s">
        <v>1976</v>
      </c>
      <c r="C310" s="4">
        <f>DATE(2024,7,12)+TIME(8,49,18)</f>
        <v>45485.367569444446</v>
      </c>
      <c r="E310" t="s">
        <v>1288</v>
      </c>
      <c r="F310" t="s">
        <v>61</v>
      </c>
    </row>
    <row r="311" spans="1:6" ht="17">
      <c r="A311" s="1" t="s">
        <v>1286</v>
      </c>
      <c r="B311" s="1" t="s">
        <v>1976</v>
      </c>
      <c r="C311" s="2">
        <f>DATE(2024,7,12)+TIME(10,47,13)</f>
        <v>45485.449456018519</v>
      </c>
      <c r="E311" t="s">
        <v>1288</v>
      </c>
      <c r="F311" t="s">
        <v>61</v>
      </c>
    </row>
    <row r="312" spans="1:6" ht="17">
      <c r="A312" s="1" t="s">
        <v>1286</v>
      </c>
      <c r="B312" s="1" t="s">
        <v>2089</v>
      </c>
      <c r="C312" s="2">
        <f>DATE(2024,7,2)+TIME(13,39,48)</f>
        <v>45475.569305555553</v>
      </c>
      <c r="E312" t="s">
        <v>1288</v>
      </c>
      <c r="F312" t="s">
        <v>61</v>
      </c>
    </row>
    <row r="313" spans="1:6" ht="34">
      <c r="A313" s="1" t="s">
        <v>1286</v>
      </c>
      <c r="B313" s="1" t="s">
        <v>2090</v>
      </c>
      <c r="C313" s="2">
        <f>DATE(2024,7,2)+TIME(13,30,29)</f>
        <v>45475.562835648147</v>
      </c>
      <c r="E313" t="s">
        <v>1288</v>
      </c>
      <c r="F313" t="s">
        <v>61</v>
      </c>
    </row>
    <row r="314" spans="1:6" ht="17">
      <c r="A314" s="1" t="s">
        <v>1286</v>
      </c>
      <c r="B314" s="1" t="s">
        <v>2091</v>
      </c>
      <c r="C314" s="2">
        <f>DATE(2024,7,2)+TIME(11,26,20)</f>
        <v>45475.476620370369</v>
      </c>
      <c r="E314" t="s">
        <v>1288</v>
      </c>
      <c r="F314" t="s">
        <v>61</v>
      </c>
    </row>
    <row r="315" spans="1:6" ht="17">
      <c r="A315" s="1" t="s">
        <v>1286</v>
      </c>
      <c r="B315" s="1" t="s">
        <v>2088</v>
      </c>
      <c r="C315" s="2">
        <f>DATE(2024,7,2)+TIME(12,35,8)</f>
        <v>45475.524398148147</v>
      </c>
      <c r="E315" t="s">
        <v>1288</v>
      </c>
      <c r="F315" t="s">
        <v>61</v>
      </c>
    </row>
    <row r="316" spans="1:6" ht="34">
      <c r="A316" s="3" t="s">
        <v>1286</v>
      </c>
      <c r="B316" s="3" t="s">
        <v>2090</v>
      </c>
      <c r="C316" s="4">
        <f>DATE(2024,7,2)+TIME(11,26,19)</f>
        <v>45475.4766087963</v>
      </c>
      <c r="E316" t="s">
        <v>1288</v>
      </c>
      <c r="F316" t="s">
        <v>61</v>
      </c>
    </row>
    <row r="317" spans="1:6" ht="34">
      <c r="A317" s="3" t="s">
        <v>1286</v>
      </c>
      <c r="B317" s="3" t="s">
        <v>1287</v>
      </c>
      <c r="C317" s="4">
        <f>DATE(2024,7,12)+TIME(10,33,22)</f>
        <v>45485.439837962964</v>
      </c>
      <c r="E317" t="s">
        <v>1288</v>
      </c>
      <c r="F317" t="s">
        <v>61</v>
      </c>
    </row>
    <row r="318" spans="1:6" ht="17">
      <c r="A318" s="1" t="s">
        <v>1286</v>
      </c>
      <c r="B318" s="1" t="s">
        <v>1266</v>
      </c>
      <c r="C318" s="2">
        <f>DATE(2024,7,2)+TIME(11,54,5)</f>
        <v>45475.495891203704</v>
      </c>
      <c r="E318" t="s">
        <v>1288</v>
      </c>
      <c r="F318" t="s">
        <v>61</v>
      </c>
    </row>
    <row r="319" spans="1:6" ht="17">
      <c r="A319" s="3" t="s">
        <v>1286</v>
      </c>
      <c r="B319" s="3" t="s">
        <v>1254</v>
      </c>
      <c r="C319" s="4">
        <f>DATE(2024,7,12)+TIME(10,33,22)</f>
        <v>45485.439837962964</v>
      </c>
      <c r="E319" t="s">
        <v>1288</v>
      </c>
      <c r="F319" t="s">
        <v>61</v>
      </c>
    </row>
    <row r="320" spans="1:6" ht="17">
      <c r="A320" s="3" t="s">
        <v>1286</v>
      </c>
      <c r="B320" s="3" t="s">
        <v>1254</v>
      </c>
      <c r="C320" s="4">
        <f>DATE(2024,7,2)+TIME(11,26,20)</f>
        <v>45475.476620370369</v>
      </c>
      <c r="E320" t="s">
        <v>1288</v>
      </c>
      <c r="F320" t="s">
        <v>61</v>
      </c>
    </row>
    <row r="321" spans="1:6" ht="17">
      <c r="A321" s="1" t="s">
        <v>1286</v>
      </c>
      <c r="B321" s="1" t="s">
        <v>1976</v>
      </c>
      <c r="C321" s="2">
        <f>DATE(2024,7,2)+TIME(11,54,5)</f>
        <v>45475.495891203704</v>
      </c>
      <c r="E321" t="s">
        <v>1288</v>
      </c>
      <c r="F321" t="s">
        <v>61</v>
      </c>
    </row>
    <row r="322" spans="1:6" ht="34">
      <c r="A322" s="1" t="s">
        <v>1286</v>
      </c>
      <c r="B322" s="1" t="s">
        <v>1287</v>
      </c>
      <c r="C322" s="2">
        <f>DATE(2024,7,12)+TIME(10,33,23)</f>
        <v>45485.439849537041</v>
      </c>
      <c r="E322" t="s">
        <v>1288</v>
      </c>
      <c r="F322" t="s">
        <v>61</v>
      </c>
    </row>
    <row r="323" spans="1:6" ht="17">
      <c r="A323" s="3" t="s">
        <v>1286</v>
      </c>
      <c r="B323" s="3" t="s">
        <v>1266</v>
      </c>
      <c r="C323" s="4">
        <f>DATE(2024,7,2)+TIME(13,10,31)</f>
        <v>45475.54896990741</v>
      </c>
      <c r="E323" t="s">
        <v>1288</v>
      </c>
      <c r="F323" t="s">
        <v>61</v>
      </c>
    </row>
    <row r="324" spans="1:6" ht="17">
      <c r="A324" s="1" t="s">
        <v>1286</v>
      </c>
      <c r="B324" s="1" t="s">
        <v>1254</v>
      </c>
      <c r="C324" s="2">
        <f>DATE(2024,7,2)+TIME(11,54,5)</f>
        <v>45475.495891203704</v>
      </c>
      <c r="E324" t="s">
        <v>1288</v>
      </c>
      <c r="F324" t="s">
        <v>61</v>
      </c>
    </row>
    <row r="325" spans="1:6" ht="34">
      <c r="A325" s="3" t="s">
        <v>1286</v>
      </c>
      <c r="B325" s="3" t="s">
        <v>1287</v>
      </c>
      <c r="C325" s="4">
        <f>DATE(2024,7,2)+TIME(11,54,4)</f>
        <v>45475.495879629627</v>
      </c>
      <c r="E325" t="s">
        <v>1288</v>
      </c>
      <c r="F325" t="s">
        <v>61</v>
      </c>
    </row>
    <row r="326" spans="1:6" ht="17">
      <c r="A326" s="1" t="s">
        <v>1286</v>
      </c>
      <c r="B326" s="1" t="s">
        <v>113</v>
      </c>
      <c r="C326" s="2">
        <f>DATE(2024,7,2)+TIME(12,35,8)</f>
        <v>45475.524398148147</v>
      </c>
      <c r="E326" t="s">
        <v>1288</v>
      </c>
      <c r="F326" t="s">
        <v>61</v>
      </c>
    </row>
    <row r="327" spans="1:6" ht="17">
      <c r="A327" s="1" t="s">
        <v>1286</v>
      </c>
      <c r="B327" s="1" t="s">
        <v>2088</v>
      </c>
      <c r="C327" s="2">
        <f>DATE(2024,7,2)+TIME(13,10,30)</f>
        <v>45475.548958333333</v>
      </c>
      <c r="E327" t="s">
        <v>1288</v>
      </c>
      <c r="F327" t="s">
        <v>61</v>
      </c>
    </row>
    <row r="328" spans="1:6" ht="17">
      <c r="A328" s="3" t="s">
        <v>1286</v>
      </c>
      <c r="B328" s="3" t="s">
        <v>1588</v>
      </c>
      <c r="C328" s="4">
        <f>DATE(2024,7,12)+TIME(8,49,18)</f>
        <v>45485.367569444446</v>
      </c>
      <c r="E328" t="s">
        <v>1288</v>
      </c>
      <c r="F328" t="s">
        <v>61</v>
      </c>
    </row>
    <row r="329" spans="1:6" ht="17">
      <c r="A329" s="1" t="s">
        <v>1286</v>
      </c>
      <c r="B329" s="1" t="s">
        <v>2092</v>
      </c>
      <c r="C329" s="2">
        <f>DATE(2024,7,2)+TIME(13,30,28)</f>
        <v>45475.562824074077</v>
      </c>
      <c r="E329" t="s">
        <v>1288</v>
      </c>
      <c r="F329" t="s">
        <v>61</v>
      </c>
    </row>
    <row r="330" spans="1:6" ht="17">
      <c r="A330" s="1" t="s">
        <v>1286</v>
      </c>
      <c r="B330" s="1" t="s">
        <v>2092</v>
      </c>
      <c r="C330" s="2">
        <f>DATE(2024,7,2)+TIME(13,39,48)</f>
        <v>45475.569305555553</v>
      </c>
      <c r="E330" t="s">
        <v>1288</v>
      </c>
      <c r="F330" t="s">
        <v>61</v>
      </c>
    </row>
    <row r="331" spans="1:6" ht="17">
      <c r="A331" s="6" t="s">
        <v>1289</v>
      </c>
      <c r="B331" s="6" t="s">
        <v>1290</v>
      </c>
      <c r="C331" s="7">
        <f>DATE(2024,9,16)+TIME(9,41,12)</f>
        <v>45551.403611111113</v>
      </c>
      <c r="D331" s="8" t="s">
        <v>2002</v>
      </c>
      <c r="F331" t="e">
        <f>VLOOKUP(Table1[[#This Row],[Company Name]],Sheet1!B:B,1,FALSE)</f>
        <v>#N/A</v>
      </c>
    </row>
    <row r="332" spans="1:6" ht="17">
      <c r="A332" s="3" t="s">
        <v>1293</v>
      </c>
      <c r="B332" s="3" t="s">
        <v>1294</v>
      </c>
      <c r="C332" s="4">
        <f>DATE(2024,9,17)+TIME(17,43,53)</f>
        <v>45552.738807870373</v>
      </c>
      <c r="E332" t="s">
        <v>1288</v>
      </c>
      <c r="F332" t="s">
        <v>61</v>
      </c>
    </row>
    <row r="333" spans="1:6" ht="17">
      <c r="A333" s="3" t="s">
        <v>1295</v>
      </c>
      <c r="B333" s="3" t="s">
        <v>151</v>
      </c>
      <c r="C333" s="4">
        <f>DATE(2024,6,13)+TIME(11,13,53)</f>
        <v>45456.467974537038</v>
      </c>
      <c r="F333" t="e">
        <f>VLOOKUP(Table1[[#This Row],[Company Name]],Sheet1!B:B,1,FALSE)</f>
        <v>#N/A</v>
      </c>
    </row>
    <row r="334" spans="1:6" ht="17">
      <c r="A334" s="1" t="s">
        <v>1295</v>
      </c>
      <c r="B334" s="1" t="s">
        <v>2093</v>
      </c>
      <c r="C334" s="2">
        <f>DATE(2024,7,26)+TIME(7,54,52)</f>
        <v>45499.329768518517</v>
      </c>
      <c r="F334" t="e">
        <f>VLOOKUP(Table1[[#This Row],[Company Name]],Sheet1!B:B,1,FALSE)</f>
        <v>#N/A</v>
      </c>
    </row>
    <row r="335" spans="1:6" ht="17">
      <c r="A335" s="3" t="s">
        <v>1295</v>
      </c>
      <c r="B335" s="3" t="s">
        <v>2094</v>
      </c>
      <c r="C335" s="4">
        <f>DATE(2024,7,30)+TIME(9,34,55)</f>
        <v>45503.399247685185</v>
      </c>
      <c r="F335" t="e">
        <f>VLOOKUP(Table1[[#This Row],[Company Name]],Sheet1!B:B,1,FALSE)</f>
        <v>#N/A</v>
      </c>
    </row>
    <row r="336" spans="1:6" ht="17">
      <c r="A336" s="3" t="s">
        <v>1295</v>
      </c>
      <c r="B336" s="3" t="s">
        <v>52</v>
      </c>
      <c r="C336" s="4">
        <f>DATE(2024,7,26)+TIME(7,0,37)</f>
        <v>45499.292094907411</v>
      </c>
      <c r="F336" t="e">
        <f>VLOOKUP(Table1[[#This Row],[Company Name]],Sheet1!B:B,1,FALSE)</f>
        <v>#N/A</v>
      </c>
    </row>
    <row r="337" spans="1:6" ht="17">
      <c r="A337" s="3" t="s">
        <v>1295</v>
      </c>
      <c r="B337" s="3" t="s">
        <v>264</v>
      </c>
      <c r="C337" s="4">
        <f>DATE(2024,7,30)+TIME(14,38,7)</f>
        <v>45503.609803240739</v>
      </c>
      <c r="F337" t="e">
        <f>VLOOKUP(Table1[[#This Row],[Company Name]],Sheet1!B:B,1,FALSE)</f>
        <v>#N/A</v>
      </c>
    </row>
    <row r="338" spans="1:6" ht="17">
      <c r="A338" s="3" t="s">
        <v>1295</v>
      </c>
      <c r="B338" s="3" t="s">
        <v>2095</v>
      </c>
      <c r="C338" s="4">
        <f>DATE(2024,7,26)+TIME(12,59,56)</f>
        <v>45499.541620370372</v>
      </c>
      <c r="F338" t="e">
        <f>VLOOKUP(Table1[[#This Row],[Company Name]],Sheet1!B:B,1,FALSE)</f>
        <v>#N/A</v>
      </c>
    </row>
    <row r="339" spans="1:6" ht="17">
      <c r="A339" s="1" t="s">
        <v>1295</v>
      </c>
      <c r="B339" s="1" t="s">
        <v>2096</v>
      </c>
      <c r="C339" s="2">
        <f>DATE(2024,6,10)+TIME(15,24,54)</f>
        <v>45453.642291666663</v>
      </c>
      <c r="F339" t="e">
        <f>VLOOKUP(Table1[[#This Row],[Company Name]],Sheet1!B:B,1,FALSE)</f>
        <v>#N/A</v>
      </c>
    </row>
    <row r="340" spans="1:6" ht="17">
      <c r="A340" s="3" t="s">
        <v>1295</v>
      </c>
      <c r="B340" s="3" t="s">
        <v>1251</v>
      </c>
      <c r="C340" s="4">
        <f>DATE(2024,8,2)+TIME(10,2,47)</f>
        <v>45506.418599537035</v>
      </c>
      <c r="F340" t="e">
        <f>VLOOKUP(Table1[[#This Row],[Company Name]],Sheet1!B:B,1,FALSE)</f>
        <v>#N/A</v>
      </c>
    </row>
    <row r="341" spans="1:6" ht="17">
      <c r="A341" s="3" t="s">
        <v>1295</v>
      </c>
      <c r="B341" s="3" t="s">
        <v>1251</v>
      </c>
      <c r="C341" s="4">
        <f>DATE(2024,8,6)+TIME(6,43,9)</f>
        <v>45510.279965277776</v>
      </c>
      <c r="F341" t="e">
        <f>VLOOKUP(Table1[[#This Row],[Company Name]],Sheet1!B:B,1,FALSE)</f>
        <v>#N/A</v>
      </c>
    </row>
    <row r="342" spans="1:6" ht="17">
      <c r="A342" s="3" t="s">
        <v>1295</v>
      </c>
      <c r="B342" s="3" t="s">
        <v>1251</v>
      </c>
      <c r="C342" s="4">
        <f>DATE(2024,7,26)+TIME(6,52,22)</f>
        <v>45499.286365740743</v>
      </c>
      <c r="F342" t="e">
        <f>VLOOKUP(Table1[[#This Row],[Company Name]],Sheet1!B:B,1,FALSE)</f>
        <v>#N/A</v>
      </c>
    </row>
    <row r="343" spans="1:6" ht="17">
      <c r="A343" s="1" t="s">
        <v>1295</v>
      </c>
      <c r="B343" s="1" t="s">
        <v>85</v>
      </c>
      <c r="C343" s="2">
        <f>DATE(2024,7,29)+TIME(13,57,55)</f>
        <v>45502.581886574073</v>
      </c>
      <c r="F343" t="e">
        <f>VLOOKUP(Table1[[#This Row],[Company Name]],Sheet1!B:B,1,FALSE)</f>
        <v>#N/A</v>
      </c>
    </row>
    <row r="344" spans="1:6" ht="34">
      <c r="A344" s="3" t="s">
        <v>1295</v>
      </c>
      <c r="B344" s="3" t="s">
        <v>2097</v>
      </c>
      <c r="C344" s="4">
        <f>DATE(2024,7,26)+TIME(9,25,15)</f>
        <v>45499.392534722225</v>
      </c>
      <c r="F344" t="e">
        <f>VLOOKUP(Table1[[#This Row],[Company Name]],Sheet1!B:B,1,FALSE)</f>
        <v>#N/A</v>
      </c>
    </row>
    <row r="345" spans="1:6" ht="17">
      <c r="A345" s="3" t="s">
        <v>1296</v>
      </c>
      <c r="B345" s="3" t="s">
        <v>943</v>
      </c>
      <c r="C345" s="4">
        <f>DATE(2024,8,8)+TIME(13,15,4)</f>
        <v>45512.552129629628</v>
      </c>
      <c r="F345" t="e">
        <f>VLOOKUP(Table1[[#This Row],[Company Name]],Sheet1!B:B,1,FALSE)</f>
        <v>#N/A</v>
      </c>
    </row>
    <row r="346" spans="1:6" ht="17">
      <c r="A346" s="3" t="s">
        <v>1296</v>
      </c>
      <c r="B346" s="3" t="s">
        <v>943</v>
      </c>
      <c r="C346" s="4">
        <f>DATE(2024,8,8)+TIME(13,3,19)</f>
        <v>45512.543969907405</v>
      </c>
      <c r="F346" t="e">
        <f>VLOOKUP(Table1[[#This Row],[Company Name]],Sheet1!B:B,1,FALSE)</f>
        <v>#N/A</v>
      </c>
    </row>
    <row r="347" spans="1:6" ht="17">
      <c r="A347" s="1" t="s">
        <v>1296</v>
      </c>
      <c r="B347" s="1" t="s">
        <v>943</v>
      </c>
      <c r="C347" s="2">
        <f>DATE(2024,8,8)+TIME(12,55,7)</f>
        <v>45512.538275462961</v>
      </c>
      <c r="F347" t="e">
        <f>VLOOKUP(Table1[[#This Row],[Company Name]],Sheet1!B:B,1,FALSE)</f>
        <v>#N/A</v>
      </c>
    </row>
    <row r="348" spans="1:6" ht="17">
      <c r="A348" s="3" t="s">
        <v>1296</v>
      </c>
      <c r="B348" s="3" t="s">
        <v>2098</v>
      </c>
      <c r="C348" s="4">
        <f>DATE(2024,8,8)+TIME(12,43,35)</f>
        <v>45512.530266203707</v>
      </c>
      <c r="F348" t="e">
        <f>VLOOKUP(Table1[[#This Row],[Company Name]],Sheet1!B:B,1,FALSE)</f>
        <v>#N/A</v>
      </c>
    </row>
    <row r="349" spans="1:6" ht="17">
      <c r="A349" s="3" t="s">
        <v>1296</v>
      </c>
      <c r="B349" s="3" t="s">
        <v>943</v>
      </c>
      <c r="C349" s="4">
        <f>DATE(2024,8,8)+TIME(13,25,39)</f>
        <v>45512.559479166666</v>
      </c>
      <c r="F349" t="e">
        <f>VLOOKUP(Table1[[#This Row],[Company Name]],Sheet1!B:B,1,FALSE)</f>
        <v>#N/A</v>
      </c>
    </row>
    <row r="350" spans="1:6" ht="17">
      <c r="A350" s="1" t="s">
        <v>1297</v>
      </c>
      <c r="B350" s="1" t="s">
        <v>1044</v>
      </c>
      <c r="C350" s="2">
        <f>DATE(2024,9,10)+TIME(13,41,4)</f>
        <v>45545.570185185185</v>
      </c>
      <c r="E350" s="15" t="s">
        <v>1040</v>
      </c>
      <c r="F350" t="s">
        <v>61</v>
      </c>
    </row>
    <row r="351" spans="1:6" ht="17">
      <c r="A351" s="3" t="s">
        <v>1297</v>
      </c>
      <c r="B351" s="3" t="s">
        <v>2099</v>
      </c>
      <c r="C351" s="4">
        <f>DATE(2024,9,10)+TIME(13,42,31)</f>
        <v>45545.571192129632</v>
      </c>
      <c r="E351" s="15" t="s">
        <v>1040</v>
      </c>
      <c r="F351" t="s">
        <v>61</v>
      </c>
    </row>
    <row r="352" spans="1:6" ht="17">
      <c r="A352" s="6" t="s">
        <v>1298</v>
      </c>
      <c r="B352" s="6" t="s">
        <v>1299</v>
      </c>
      <c r="C352" s="7">
        <f>DATE(2024,9,25)+TIME(11,29,11)</f>
        <v>45560.47859953704</v>
      </c>
      <c r="D352" s="8" t="s">
        <v>2002</v>
      </c>
      <c r="F352" t="e">
        <f>VLOOKUP(Table1[[#This Row],[Company Name]],Sheet1!B:B,1,FALSE)</f>
        <v>#N/A</v>
      </c>
    </row>
    <row r="353" spans="1:6" ht="17">
      <c r="A353" s="6" t="s">
        <v>1298</v>
      </c>
      <c r="B353" s="6" t="s">
        <v>2100</v>
      </c>
      <c r="C353" s="7">
        <f>DATE(2024,9,25)+TIME(11,26,30)</f>
        <v>45560.476736111108</v>
      </c>
      <c r="D353" s="8" t="s">
        <v>2002</v>
      </c>
      <c r="F353" t="e">
        <f>VLOOKUP(Table1[[#This Row],[Company Name]],Sheet1!B:B,1,FALSE)</f>
        <v>#N/A</v>
      </c>
    </row>
    <row r="354" spans="1:6" ht="17">
      <c r="A354" s="6" t="s">
        <v>1298</v>
      </c>
      <c r="B354" s="6" t="s">
        <v>2101</v>
      </c>
      <c r="C354" s="7">
        <f>DATE(2024,9,25)+TIME(11,23,32)</f>
        <v>45560.474675925929</v>
      </c>
      <c r="D354" s="8" t="s">
        <v>2002</v>
      </c>
      <c r="F354" t="e">
        <f>VLOOKUP(Table1[[#This Row],[Company Name]],Sheet1!B:B,1,FALSE)</f>
        <v>#N/A</v>
      </c>
    </row>
    <row r="355" spans="1:6" ht="17">
      <c r="A355" s="3" t="s">
        <v>1302</v>
      </c>
      <c r="B355" s="3" t="s">
        <v>85</v>
      </c>
      <c r="C355" s="4">
        <f>DATE(2024,9,3)+TIME(12,27,52)</f>
        <v>45538.51935185185</v>
      </c>
      <c r="F355" t="e">
        <f>VLOOKUP(Table1[[#This Row],[Company Name]],Sheet1!B:B,1,FALSE)</f>
        <v>#N/A</v>
      </c>
    </row>
    <row r="356" spans="1:6" ht="17">
      <c r="A356" s="1" t="s">
        <v>1302</v>
      </c>
      <c r="B356" s="1" t="s">
        <v>85</v>
      </c>
      <c r="C356" s="2">
        <f>DATE(2024,8,30)+TIME(9,28,43)</f>
        <v>45534.394942129627</v>
      </c>
      <c r="F356" t="e">
        <f>VLOOKUP(Table1[[#This Row],[Company Name]],Sheet1!B:B,1,FALSE)</f>
        <v>#N/A</v>
      </c>
    </row>
    <row r="357" spans="1:6" ht="17">
      <c r="A357" s="6" t="s">
        <v>291</v>
      </c>
      <c r="B357" s="6" t="s">
        <v>1014</v>
      </c>
      <c r="C357" s="7">
        <f>DATE(2024,8,21)+TIME(14,14,49)</f>
        <v>45525.593622685185</v>
      </c>
      <c r="D357" s="8" t="s">
        <v>2002</v>
      </c>
      <c r="F357" t="e">
        <f>VLOOKUP(Table1[[#This Row],[Company Name]],Sheet1!B:B,1,FALSE)</f>
        <v>#N/A</v>
      </c>
    </row>
    <row r="358" spans="1:6" ht="17">
      <c r="A358" s="6" t="s">
        <v>291</v>
      </c>
      <c r="B358" s="6" t="s">
        <v>2102</v>
      </c>
      <c r="C358" s="7">
        <f>DATE(2024,6,25)+TIME(12,42,12)</f>
        <v>45468.529305555552</v>
      </c>
      <c r="D358" s="8" t="s">
        <v>2002</v>
      </c>
      <c r="F358" t="e">
        <f>VLOOKUP(Table1[[#This Row],[Company Name]],Sheet1!B:B,1,FALSE)</f>
        <v>#N/A</v>
      </c>
    </row>
    <row r="359" spans="1:6" ht="17">
      <c r="A359" s="6" t="s">
        <v>291</v>
      </c>
      <c r="B359" s="6" t="s">
        <v>2103</v>
      </c>
      <c r="C359" s="7">
        <f>DATE(2024,7,9)+TIME(8,48,30)</f>
        <v>45482.367013888892</v>
      </c>
      <c r="D359" s="8" t="s">
        <v>2002</v>
      </c>
      <c r="F359" t="e">
        <f>VLOOKUP(Table1[[#This Row],[Company Name]],Sheet1!B:B,1,FALSE)</f>
        <v>#N/A</v>
      </c>
    </row>
    <row r="360" spans="1:6" ht="17">
      <c r="A360" s="6" t="s">
        <v>291</v>
      </c>
      <c r="B360" s="6" t="s">
        <v>2104</v>
      </c>
      <c r="C360" s="7">
        <f>DATE(2024,8,12)+TIME(19,4,40)</f>
        <v>45516.794907407406</v>
      </c>
      <c r="D360" s="8" t="s">
        <v>2002</v>
      </c>
      <c r="F360" t="e">
        <f>VLOOKUP(Table1[[#This Row],[Company Name]],Sheet1!B:B,1,FALSE)</f>
        <v>#N/A</v>
      </c>
    </row>
    <row r="361" spans="1:6" ht="17">
      <c r="A361" s="6" t="s">
        <v>1306</v>
      </c>
      <c r="B361" s="6" t="s">
        <v>1307</v>
      </c>
      <c r="C361" s="7">
        <f>DATE(2024,8,13)+TIME(13,57,35)</f>
        <v>45517.581655092596</v>
      </c>
      <c r="D361" s="8" t="s">
        <v>2002</v>
      </c>
      <c r="F361" t="e">
        <f>VLOOKUP(Table1[[#This Row],[Company Name]],Sheet1!B:B,1,FALSE)</f>
        <v>#N/A</v>
      </c>
    </row>
    <row r="362" spans="1:6" ht="17">
      <c r="A362" s="1" t="s">
        <v>1310</v>
      </c>
      <c r="B362" s="1" t="s">
        <v>1311</v>
      </c>
      <c r="C362" s="2">
        <f>DATE(2024,7,2)+TIME(13,8,36)</f>
        <v>45475.547638888886</v>
      </c>
      <c r="F362" t="e">
        <f>VLOOKUP(Table1[[#This Row],[Company Name]],Sheet1!B:B,1,FALSE)</f>
        <v>#N/A</v>
      </c>
    </row>
    <row r="363" spans="1:6" ht="17">
      <c r="A363" s="1" t="s">
        <v>1310</v>
      </c>
      <c r="B363" s="1" t="s">
        <v>52</v>
      </c>
      <c r="C363" s="2">
        <f>DATE(2024,9,19)+TIME(12,38,38)</f>
        <v>45554.526828703703</v>
      </c>
      <c r="F363" t="e">
        <f>VLOOKUP(Table1[[#This Row],[Company Name]],Sheet1!B:B,1,FALSE)</f>
        <v>#N/A</v>
      </c>
    </row>
    <row r="364" spans="1:6" ht="17">
      <c r="A364" s="3" t="s">
        <v>1312</v>
      </c>
      <c r="B364" s="3" t="s">
        <v>1313</v>
      </c>
      <c r="C364" s="4">
        <f>DATE(2024,6,27)+TIME(15,43,42)</f>
        <v>45470.655347222222</v>
      </c>
      <c r="F364" t="e">
        <f>VLOOKUP(Table1[[#This Row],[Company Name]],Sheet1!B:B,1,FALSE)</f>
        <v>#N/A</v>
      </c>
    </row>
    <row r="365" spans="1:6" ht="34">
      <c r="A365" s="1" t="s">
        <v>1312</v>
      </c>
      <c r="B365" s="1" t="s">
        <v>2105</v>
      </c>
      <c r="C365" s="2">
        <f>DATE(2024,6,27)+TIME(15,8,7)</f>
        <v>45470.630636574075</v>
      </c>
      <c r="F365" t="e">
        <f>VLOOKUP(Table1[[#This Row],[Company Name]],Sheet1!B:B,1,FALSE)</f>
        <v>#N/A</v>
      </c>
    </row>
    <row r="366" spans="1:6" ht="17">
      <c r="A366" s="1" t="s">
        <v>1314</v>
      </c>
      <c r="B366" s="1" t="s">
        <v>52</v>
      </c>
      <c r="C366" s="2">
        <f>DATE(2024,9,25)+TIME(22,27,11)</f>
        <v>45560.935543981483</v>
      </c>
      <c r="F366" t="e">
        <f>VLOOKUP(Table1[[#This Row],[Company Name]],Sheet1!B:B,1,FALSE)</f>
        <v>#N/A</v>
      </c>
    </row>
    <row r="367" spans="1:6" ht="17">
      <c r="A367" s="6" t="s">
        <v>1315</v>
      </c>
      <c r="B367" s="6" t="s">
        <v>296</v>
      </c>
      <c r="C367" s="7">
        <f>DATE(2024,6,14)+TIME(2,1,22)</f>
        <v>45457.084282407406</v>
      </c>
      <c r="D367" s="8" t="s">
        <v>2002</v>
      </c>
      <c r="F367" t="e">
        <f>VLOOKUP(Table1[[#This Row],[Company Name]],Sheet1!B:B,1,FALSE)</f>
        <v>#N/A</v>
      </c>
    </row>
    <row r="368" spans="1:6" ht="17">
      <c r="A368" s="3" t="s">
        <v>1318</v>
      </c>
      <c r="B368" s="3" t="s">
        <v>1319</v>
      </c>
      <c r="C368" s="4">
        <f>DATE(2024,8,7)+TIME(13,33,30)</f>
        <v>45511.564930555556</v>
      </c>
      <c r="E368" s="15" t="s">
        <v>1040</v>
      </c>
      <c r="F368" t="s">
        <v>61</v>
      </c>
    </row>
    <row r="369" spans="1:6" ht="17">
      <c r="A369" s="1" t="s">
        <v>1318</v>
      </c>
      <c r="B369" s="1" t="s">
        <v>2106</v>
      </c>
      <c r="C369" s="2">
        <f>DATE(2024,9,12)+TIME(8,6,3)</f>
        <v>45547.337534722225</v>
      </c>
      <c r="E369" s="15" t="s">
        <v>1040</v>
      </c>
      <c r="F369" t="s">
        <v>61</v>
      </c>
    </row>
    <row r="370" spans="1:6" ht="17">
      <c r="A370" s="1" t="s">
        <v>1320</v>
      </c>
      <c r="B370" s="1" t="s">
        <v>1321</v>
      </c>
      <c r="C370" s="2">
        <f>DATE(2024,9,26)+TIME(11,8,57)</f>
        <v>45561.464548611111</v>
      </c>
      <c r="F370" t="e">
        <f>VLOOKUP(Table1[[#This Row],[Company Name]],Sheet1!B:B,1,FALSE)</f>
        <v>#N/A</v>
      </c>
    </row>
    <row r="371" spans="1:6" ht="17">
      <c r="A371" s="3" t="s">
        <v>1322</v>
      </c>
      <c r="B371" s="3" t="s">
        <v>1323</v>
      </c>
      <c r="C371" s="4">
        <f>DATE(2024,9,26)+TIME(14,45,47)</f>
        <v>45561.615127314813</v>
      </c>
      <c r="F371" t="e">
        <f>VLOOKUP(Table1[[#This Row],[Company Name]],Sheet1!B:B,1,FALSE)</f>
        <v>#N/A</v>
      </c>
    </row>
    <row r="372" spans="1:6" ht="17">
      <c r="A372" s="3" t="s">
        <v>1324</v>
      </c>
      <c r="B372" s="3" t="s">
        <v>264</v>
      </c>
      <c r="C372" s="4">
        <f>DATE(2024,9,11)+TIME(7,9,41)</f>
        <v>45546.298391203702</v>
      </c>
      <c r="F372" t="e">
        <f>VLOOKUP(Table1[[#This Row],[Company Name]],Sheet1!B:B,1,FALSE)</f>
        <v>#N/A</v>
      </c>
    </row>
    <row r="373" spans="1:6" ht="17">
      <c r="A373" s="3" t="s">
        <v>304</v>
      </c>
      <c r="B373" s="3" t="s">
        <v>1251</v>
      </c>
      <c r="C373" s="4">
        <f>DATE(2024,7,1)+TIME(10,22,52)</f>
        <v>45474.432546296295</v>
      </c>
      <c r="E373" s="15" t="s">
        <v>1040</v>
      </c>
      <c r="F373" t="s">
        <v>61</v>
      </c>
    </row>
    <row r="374" spans="1:6" ht="17">
      <c r="A374" s="1" t="s">
        <v>304</v>
      </c>
      <c r="B374" s="1" t="s">
        <v>85</v>
      </c>
      <c r="C374" s="2">
        <f>DATE(2024,7,19)+TIME(10,3,54)</f>
        <v>45492.419374999998</v>
      </c>
      <c r="E374" s="15" t="s">
        <v>1040</v>
      </c>
      <c r="F374" t="s">
        <v>61</v>
      </c>
    </row>
    <row r="375" spans="1:6" ht="17">
      <c r="A375" s="1" t="s">
        <v>304</v>
      </c>
      <c r="B375" s="1" t="s">
        <v>305</v>
      </c>
      <c r="C375" s="2">
        <f>DATE(2024,7,9)+TIME(16,5,53)</f>
        <v>45482.670752314814</v>
      </c>
      <c r="E375" s="15" t="s">
        <v>1040</v>
      </c>
      <c r="F375" t="s">
        <v>61</v>
      </c>
    </row>
    <row r="376" spans="1:6" ht="17">
      <c r="A376" s="6" t="s">
        <v>950</v>
      </c>
      <c r="B376" s="6" t="s">
        <v>1325</v>
      </c>
      <c r="C376" s="7">
        <f>DATE(2024,7,30)+TIME(16,48,56)</f>
        <v>45503.700648148151</v>
      </c>
      <c r="D376" s="8" t="s">
        <v>2002</v>
      </c>
      <c r="F376" t="e">
        <f>VLOOKUP(Table1[[#This Row],[Company Name]],Sheet1!B:B,1,FALSE)</f>
        <v>#N/A</v>
      </c>
    </row>
    <row r="377" spans="1:6" ht="34">
      <c r="A377" s="3" t="s">
        <v>1328</v>
      </c>
      <c r="B377" s="3" t="s">
        <v>1287</v>
      </c>
      <c r="C377" s="4">
        <f>DATE(2024,7,2)+TIME(12,35,8)</f>
        <v>45475.524398148147</v>
      </c>
      <c r="F377" t="e">
        <f>VLOOKUP(Table1[[#This Row],[Company Name]],Sheet1!B:B,1,FALSE)</f>
        <v>#N/A</v>
      </c>
    </row>
    <row r="378" spans="1:6" ht="17">
      <c r="A378" s="3" t="s">
        <v>1328</v>
      </c>
      <c r="B378" s="3" t="s">
        <v>2107</v>
      </c>
      <c r="C378" s="4">
        <f>DATE(2024,7,2)+TIME(13,30,28)</f>
        <v>45475.562824074077</v>
      </c>
      <c r="F378" t="e">
        <f>VLOOKUP(Table1[[#This Row],[Company Name]],Sheet1!B:B,1,FALSE)</f>
        <v>#N/A</v>
      </c>
    </row>
    <row r="379" spans="1:6" ht="17">
      <c r="A379" s="1" t="s">
        <v>1329</v>
      </c>
      <c r="B379" s="1" t="s">
        <v>1330</v>
      </c>
      <c r="C379" s="2">
        <f>DATE(2024,9,17)+TIME(17,16,49)</f>
        <v>45552.720011574071</v>
      </c>
      <c r="F379" t="e">
        <f>VLOOKUP(Table1[[#This Row],[Company Name]],Sheet1!B:B,1,FALSE)</f>
        <v>#N/A</v>
      </c>
    </row>
    <row r="380" spans="1:6" ht="17">
      <c r="A380" s="3" t="s">
        <v>1331</v>
      </c>
      <c r="B380" s="3" t="s">
        <v>1332</v>
      </c>
      <c r="C380" s="4">
        <f>DATE(2024,8,29)+TIME(14,17,10)</f>
        <v>45533.595254629632</v>
      </c>
      <c r="F380" t="e">
        <f>VLOOKUP(Table1[[#This Row],[Company Name]],Sheet1!B:B,1,FALSE)</f>
        <v>#N/A</v>
      </c>
    </row>
    <row r="381" spans="1:6" ht="17">
      <c r="A381" s="1" t="s">
        <v>1331</v>
      </c>
      <c r="B381" s="1" t="s">
        <v>2108</v>
      </c>
      <c r="C381" s="2">
        <f>DATE(2024,9,17)+TIME(16,52,8)</f>
        <v>45552.702870370369</v>
      </c>
      <c r="F381" t="e">
        <f>VLOOKUP(Table1[[#This Row],[Company Name]],Sheet1!B:B,1,FALSE)</f>
        <v>#N/A</v>
      </c>
    </row>
    <row r="382" spans="1:6" ht="17">
      <c r="A382" s="1" t="s">
        <v>1333</v>
      </c>
      <c r="B382" s="1" t="s">
        <v>296</v>
      </c>
      <c r="C382" s="2">
        <f>DATE(2024,7,2)+TIME(8,38,11)</f>
        <v>45475.359849537039</v>
      </c>
      <c r="F382" t="e">
        <f>VLOOKUP(Table1[[#This Row],[Company Name]],Sheet1!B:B,1,FALSE)</f>
        <v>#N/A</v>
      </c>
    </row>
    <row r="383" spans="1:6" ht="17">
      <c r="A383" s="3" t="s">
        <v>316</v>
      </c>
      <c r="B383" s="3" t="s">
        <v>1264</v>
      </c>
      <c r="C383" s="4">
        <f>DATE(2024,6,18)+TIME(9,34,33)</f>
        <v>45461.398993055554</v>
      </c>
      <c r="F383" t="e">
        <f>VLOOKUP(Table1[[#This Row],[Company Name]],Sheet1!B:B,1,FALSE)</f>
        <v>#N/A</v>
      </c>
    </row>
    <row r="384" spans="1:6" ht="17">
      <c r="A384" s="3" t="s">
        <v>316</v>
      </c>
      <c r="B384" s="3" t="s">
        <v>317</v>
      </c>
      <c r="C384" s="4">
        <f>DATE(2024,6,24)+TIME(8,13,23)</f>
        <v>45467.342627314814</v>
      </c>
      <c r="F384" t="e">
        <f>VLOOKUP(Table1[[#This Row],[Company Name]],Sheet1!B:B,1,FALSE)</f>
        <v>#N/A</v>
      </c>
    </row>
    <row r="385" spans="1:6" ht="34">
      <c r="A385" s="1" t="s">
        <v>316</v>
      </c>
      <c r="B385" s="1" t="s">
        <v>2109</v>
      </c>
      <c r="C385" s="2">
        <f>DATE(2024,6,28)+TIME(7,22,31)</f>
        <v>45471.307303240741</v>
      </c>
      <c r="F385" t="e">
        <f>VLOOKUP(Table1[[#This Row],[Company Name]],Sheet1!B:B,1,FALSE)</f>
        <v>#N/A</v>
      </c>
    </row>
    <row r="386" spans="1:6" ht="17">
      <c r="A386" s="1" t="s">
        <v>1334</v>
      </c>
      <c r="B386" s="1" t="s">
        <v>1251</v>
      </c>
      <c r="C386" s="2">
        <f>DATE(2024,8,30)+TIME(10,56,58)</f>
        <v>45534.456226851849</v>
      </c>
      <c r="F386" t="e">
        <f>VLOOKUP(Table1[[#This Row],[Company Name]],Sheet1!B:B,1,FALSE)</f>
        <v>#N/A</v>
      </c>
    </row>
    <row r="387" spans="1:6" ht="17">
      <c r="A387" s="1" t="s">
        <v>2110</v>
      </c>
      <c r="B387" s="1" t="s">
        <v>2111</v>
      </c>
      <c r="C387" s="2">
        <f>DATE(2024,9,24)+TIME(14,39,41)</f>
        <v>45559.610891203702</v>
      </c>
      <c r="F387" t="e">
        <f>VLOOKUP(Table1[[#This Row],[Company Name]],Sheet1!B:B,1,FALSE)</f>
        <v>#N/A</v>
      </c>
    </row>
    <row r="388" spans="1:6" ht="17">
      <c r="A388" s="3" t="s">
        <v>1334</v>
      </c>
      <c r="B388" s="3" t="s">
        <v>2112</v>
      </c>
      <c r="C388" s="4">
        <f>DATE(2024,8,30)+TIME(10,56,58)</f>
        <v>45534.456226851849</v>
      </c>
      <c r="F388" t="e">
        <f>VLOOKUP(Table1[[#This Row],[Company Name]],Sheet1!B:B,1,FALSE)</f>
        <v>#N/A</v>
      </c>
    </row>
    <row r="389" spans="1:6" ht="17">
      <c r="A389" s="3" t="s">
        <v>1335</v>
      </c>
      <c r="B389" s="3" t="s">
        <v>1336</v>
      </c>
      <c r="C389" s="4">
        <f>DATE(2024,9,17)+TIME(10,28,6)</f>
        <v>45552.436180555553</v>
      </c>
      <c r="F389" t="e">
        <f>VLOOKUP(Table1[[#This Row],[Company Name]],Sheet1!B:B,1,FALSE)</f>
        <v>#N/A</v>
      </c>
    </row>
    <row r="390" spans="1:6" ht="17">
      <c r="A390" s="3" t="s">
        <v>1335</v>
      </c>
      <c r="B390" s="3" t="s">
        <v>943</v>
      </c>
      <c r="C390" s="4">
        <f>DATE(2024,9,17)+TIME(10,28,5)</f>
        <v>45552.436168981483</v>
      </c>
      <c r="F390" t="e">
        <f>VLOOKUP(Table1[[#This Row],[Company Name]],Sheet1!B:B,1,FALSE)</f>
        <v>#N/A</v>
      </c>
    </row>
    <row r="391" spans="1:6" ht="17">
      <c r="A391" s="3" t="s">
        <v>1335</v>
      </c>
      <c r="B391" s="3" t="s">
        <v>2113</v>
      </c>
      <c r="C391" s="4">
        <f>DATE(2024,9,17)+TIME(10,28,6)</f>
        <v>45552.436180555553</v>
      </c>
      <c r="F391" t="e">
        <f>VLOOKUP(Table1[[#This Row],[Company Name]],Sheet1!B:B,1,FALSE)</f>
        <v>#N/A</v>
      </c>
    </row>
    <row r="392" spans="1:6" ht="17">
      <c r="A392" s="1" t="s">
        <v>1337</v>
      </c>
      <c r="B392" s="1" t="s">
        <v>1338</v>
      </c>
      <c r="C392" s="2">
        <f>DATE(2024,8,29)+TIME(7,40,27)</f>
        <v>45533.319756944446</v>
      </c>
      <c r="E392" s="15" t="s">
        <v>1040</v>
      </c>
      <c r="F392" t="s">
        <v>61</v>
      </c>
    </row>
    <row r="393" spans="1:6" ht="17">
      <c r="A393" s="1" t="s">
        <v>1339</v>
      </c>
      <c r="B393" s="1" t="s">
        <v>660</v>
      </c>
      <c r="C393" s="2">
        <f>DATE(2024,9,13)+TIME(14,33,46)</f>
        <v>45548.606782407405</v>
      </c>
      <c r="F393" t="e">
        <f>VLOOKUP(Table1[[#This Row],[Company Name]],Sheet1!B:B,1,FALSE)</f>
        <v>#N/A</v>
      </c>
    </row>
    <row r="394" spans="1:6" ht="17">
      <c r="A394" s="3" t="s">
        <v>1340</v>
      </c>
      <c r="B394" s="3" t="s">
        <v>85</v>
      </c>
      <c r="C394" s="4">
        <f>DATE(2024,7,11)+TIME(8,20,16)</f>
        <v>45484.347407407404</v>
      </c>
      <c r="F394" t="e">
        <f>VLOOKUP(Table1[[#This Row],[Company Name]],Sheet1!B:B,1,FALSE)</f>
        <v>#N/A</v>
      </c>
    </row>
    <row r="395" spans="1:6" ht="17">
      <c r="A395" s="1" t="s">
        <v>1341</v>
      </c>
      <c r="B395" s="1" t="s">
        <v>1342</v>
      </c>
      <c r="C395" s="2">
        <f>DATE(2024,6,4)+TIME(14,0,20)</f>
        <v>45447.583564814813</v>
      </c>
      <c r="E395" s="15" t="s">
        <v>1040</v>
      </c>
      <c r="F395" t="s">
        <v>61</v>
      </c>
    </row>
    <row r="396" spans="1:6" ht="17">
      <c r="A396" s="1" t="s">
        <v>1343</v>
      </c>
      <c r="B396" s="1" t="s">
        <v>1344</v>
      </c>
      <c r="C396" s="2">
        <f>DATE(2024,9,27)+TIME(7,22,42)</f>
        <v>45562.307430555556</v>
      </c>
      <c r="F396" t="e">
        <f>VLOOKUP(Table1[[#This Row],[Company Name]],Sheet1!B:B,1,FALSE)</f>
        <v>#N/A</v>
      </c>
    </row>
    <row r="397" spans="1:6" ht="34">
      <c r="A397" s="1" t="s">
        <v>1345</v>
      </c>
      <c r="B397" s="1" t="s">
        <v>1346</v>
      </c>
      <c r="C397" s="2">
        <f>DATE(2024,8,27)+TIME(10,56,47)</f>
        <v>45531.456099537034</v>
      </c>
      <c r="E397" s="15" t="s">
        <v>1135</v>
      </c>
      <c r="F397" t="s">
        <v>61</v>
      </c>
    </row>
    <row r="398" spans="1:6" ht="17">
      <c r="A398" s="3" t="s">
        <v>1347</v>
      </c>
      <c r="B398" s="3" t="s">
        <v>1348</v>
      </c>
      <c r="C398" s="4">
        <f>DATE(2024,7,25)+TIME(12,51,16)</f>
        <v>45498.535601851851</v>
      </c>
      <c r="F398" t="e">
        <f>VLOOKUP(Table1[[#This Row],[Company Name]],Sheet1!B:B,1,FALSE)</f>
        <v>#N/A</v>
      </c>
    </row>
    <row r="399" spans="1:6" ht="17">
      <c r="A399" s="1" t="s">
        <v>1347</v>
      </c>
      <c r="B399" s="1" t="s">
        <v>2114</v>
      </c>
      <c r="C399" s="2">
        <f>DATE(2024,7,23)+TIME(14,41,9)</f>
        <v>45496.611909722225</v>
      </c>
      <c r="F399" t="e">
        <f>VLOOKUP(Table1[[#This Row],[Company Name]],Sheet1!B:B,1,FALSE)</f>
        <v>#N/A</v>
      </c>
    </row>
    <row r="400" spans="1:6" ht="17">
      <c r="A400" s="3" t="s">
        <v>1349</v>
      </c>
      <c r="B400" s="3" t="s">
        <v>113</v>
      </c>
      <c r="C400" s="4">
        <f>DATE(2024,6,5)+TIME(13,53,53)</f>
        <v>45448.579085648147</v>
      </c>
      <c r="F400" t="e">
        <f>VLOOKUP(Table1[[#This Row],[Company Name]],Sheet1!B:B,1,FALSE)</f>
        <v>#N/A</v>
      </c>
    </row>
    <row r="401" spans="1:6" ht="17">
      <c r="A401" s="3" t="s">
        <v>1349</v>
      </c>
      <c r="B401" s="3" t="s">
        <v>2115</v>
      </c>
      <c r="C401" s="4">
        <f>DATE(2024,6,5)+TIME(13,54,14)</f>
        <v>45448.579328703701</v>
      </c>
      <c r="F401" t="e">
        <f>VLOOKUP(Table1[[#This Row],[Company Name]],Sheet1!B:B,1,FALSE)</f>
        <v>#N/A</v>
      </c>
    </row>
    <row r="402" spans="1:6" ht="17">
      <c r="A402" s="1" t="s">
        <v>1349</v>
      </c>
      <c r="B402" s="1" t="s">
        <v>2116</v>
      </c>
      <c r="C402" s="2">
        <f>DATE(2024,8,13)+TIME(18,43,8)</f>
        <v>45517.779953703706</v>
      </c>
      <c r="F402" t="e">
        <f>VLOOKUP(Table1[[#This Row],[Company Name]],Sheet1!B:B,1,FALSE)</f>
        <v>#N/A</v>
      </c>
    </row>
    <row r="403" spans="1:6" ht="17">
      <c r="A403" s="1" t="s">
        <v>1349</v>
      </c>
      <c r="B403" s="1" t="s">
        <v>2117</v>
      </c>
      <c r="C403" s="2">
        <f>DATE(2024,8,13)+TIME(18,27,59)</f>
        <v>45517.769432870373</v>
      </c>
      <c r="F403" t="e">
        <f>VLOOKUP(Table1[[#This Row],[Company Name]],Sheet1!B:B,1,FALSE)</f>
        <v>#N/A</v>
      </c>
    </row>
    <row r="404" spans="1:6" ht="17">
      <c r="A404" s="6" t="s">
        <v>1350</v>
      </c>
      <c r="B404" s="6" t="s">
        <v>1351</v>
      </c>
      <c r="C404" s="7">
        <f>DATE(2024,6,28)+TIME(5,24,4)</f>
        <v>45471.225046296298</v>
      </c>
      <c r="D404" s="8" t="s">
        <v>2002</v>
      </c>
      <c r="F404" t="e">
        <f>VLOOKUP(Table1[[#This Row],[Company Name]],Sheet1!B:B,1,FALSE)</f>
        <v>#N/A</v>
      </c>
    </row>
    <row r="405" spans="1:6" ht="17">
      <c r="A405" s="3" t="s">
        <v>1354</v>
      </c>
      <c r="B405" s="3" t="s">
        <v>1355</v>
      </c>
      <c r="C405" s="4">
        <f>DATE(2024,8,20)+TIME(13,58,38)</f>
        <v>45524.582384259258</v>
      </c>
      <c r="F405" t="e">
        <f>VLOOKUP(Table1[[#This Row],[Company Name]],Sheet1!B:B,1,FALSE)</f>
        <v>#N/A</v>
      </c>
    </row>
    <row r="406" spans="1:6" ht="17">
      <c r="A406" s="1" t="s">
        <v>1354</v>
      </c>
      <c r="B406" s="1" t="s">
        <v>2118</v>
      </c>
      <c r="C406" s="2">
        <f>DATE(2024,8,20)+TIME(13,58,38)</f>
        <v>45524.582384259258</v>
      </c>
      <c r="F406" t="e">
        <f>VLOOKUP(Table1[[#This Row],[Company Name]],Sheet1!B:B,1,FALSE)</f>
        <v>#N/A</v>
      </c>
    </row>
    <row r="407" spans="1:6" ht="17">
      <c r="A407" s="6" t="s">
        <v>1356</v>
      </c>
      <c r="B407" s="6" t="s">
        <v>1357</v>
      </c>
      <c r="C407" s="7">
        <f>DATE(2024,8,22)+TIME(14,33,22)</f>
        <v>45526.606504629628</v>
      </c>
      <c r="D407" s="8" t="s">
        <v>2002</v>
      </c>
      <c r="F407" t="e">
        <f>VLOOKUP(Table1[[#This Row],[Company Name]],Sheet1!B:B,1,FALSE)</f>
        <v>#N/A</v>
      </c>
    </row>
    <row r="408" spans="1:6" ht="17">
      <c r="A408" s="6" t="s">
        <v>1356</v>
      </c>
      <c r="B408" s="6" t="s">
        <v>912</v>
      </c>
      <c r="C408" s="7">
        <f>DATE(2024,8,22)+TIME(14,27,32)</f>
        <v>45526.602453703701</v>
      </c>
      <c r="D408" s="8" t="s">
        <v>2002</v>
      </c>
      <c r="F408" t="e">
        <f>VLOOKUP(Table1[[#This Row],[Company Name]],Sheet1!B:B,1,FALSE)</f>
        <v>#N/A</v>
      </c>
    </row>
    <row r="409" spans="1:6" ht="17">
      <c r="A409" s="6" t="s">
        <v>1356</v>
      </c>
      <c r="B409" s="6" t="s">
        <v>2119</v>
      </c>
      <c r="C409" s="7">
        <f>DATE(2024,9,4)+TIME(8,48,51)</f>
        <v>45539.367256944446</v>
      </c>
      <c r="D409" s="8" t="s">
        <v>2002</v>
      </c>
      <c r="F409" t="e">
        <f>VLOOKUP(Table1[[#This Row],[Company Name]],Sheet1!B:B,1,FALSE)</f>
        <v>#N/A</v>
      </c>
    </row>
    <row r="410" spans="1:6" ht="17">
      <c r="A410" s="1" t="s">
        <v>1360</v>
      </c>
      <c r="B410" s="1" t="s">
        <v>1214</v>
      </c>
      <c r="C410" s="2">
        <f>DATE(2024,8,27)+TIME(7,44,13)</f>
        <v>45531.322372685187</v>
      </c>
      <c r="F410" t="e">
        <f>VLOOKUP(Table1[[#This Row],[Company Name]],Sheet1!B:B,1,FALSE)</f>
        <v>#N/A</v>
      </c>
    </row>
    <row r="411" spans="1:6" ht="17">
      <c r="A411" s="1" t="s">
        <v>1360</v>
      </c>
      <c r="B411" s="1" t="s">
        <v>1680</v>
      </c>
      <c r="C411" s="2">
        <f>DATE(2024,7,23)+TIME(12,12,14)</f>
        <v>45496.50849537037</v>
      </c>
      <c r="F411" t="e">
        <f>VLOOKUP(Table1[[#This Row],[Company Name]],Sheet1!B:B,1,FALSE)</f>
        <v>#N/A</v>
      </c>
    </row>
    <row r="412" spans="1:6" ht="17">
      <c r="A412" s="6" t="s">
        <v>1361</v>
      </c>
      <c r="B412" s="6" t="s">
        <v>675</v>
      </c>
      <c r="C412" s="7">
        <f>DATE(2024,7,24)+TIME(11,7,44)</f>
        <v>45497.463703703703</v>
      </c>
      <c r="D412" s="8" t="s">
        <v>2002</v>
      </c>
      <c r="F412" t="e">
        <f>VLOOKUP(Table1[[#This Row],[Company Name]],Sheet1!B:B,1,FALSE)</f>
        <v>#N/A</v>
      </c>
    </row>
    <row r="413" spans="1:6" ht="17">
      <c r="A413" s="6" t="s">
        <v>1361</v>
      </c>
      <c r="B413" s="6" t="s">
        <v>2120</v>
      </c>
      <c r="C413" s="7">
        <f>DATE(2024,7,12)+TIME(12,56,0)</f>
        <v>45485.538888888892</v>
      </c>
      <c r="D413" s="8" t="s">
        <v>2002</v>
      </c>
      <c r="F413" t="e">
        <f>VLOOKUP(Table1[[#This Row],[Company Name]],Sheet1!B:B,1,FALSE)</f>
        <v>#N/A</v>
      </c>
    </row>
    <row r="414" spans="1:6" ht="17">
      <c r="A414" s="6" t="s">
        <v>2121</v>
      </c>
      <c r="B414" s="6" t="s">
        <v>2122</v>
      </c>
      <c r="C414" s="7">
        <f>DATE(2024,9,5)+TIME(15,45,25)</f>
        <v>45540.656539351854</v>
      </c>
      <c r="D414" s="8" t="s">
        <v>2002</v>
      </c>
      <c r="F414" t="e">
        <f>VLOOKUP(Table1[[#This Row],[Company Name]],Sheet1!B:B,1,FALSE)</f>
        <v>#N/A</v>
      </c>
    </row>
    <row r="415" spans="1:6" ht="17">
      <c r="A415" s="6" t="s">
        <v>1364</v>
      </c>
      <c r="B415" s="6" t="s">
        <v>1365</v>
      </c>
      <c r="C415" s="7">
        <f>DATE(2024,9,15)+TIME(9,38,4)</f>
        <v>45550.401435185187</v>
      </c>
      <c r="D415" s="8" t="s">
        <v>2002</v>
      </c>
      <c r="F415" t="e">
        <f>VLOOKUP(Table1[[#This Row],[Company Name]],Sheet1!B:B,1,FALSE)</f>
        <v>#N/A</v>
      </c>
    </row>
    <row r="416" spans="1:6" ht="17">
      <c r="A416" s="6" t="s">
        <v>1368</v>
      </c>
      <c r="B416" s="6" t="s">
        <v>1369</v>
      </c>
      <c r="C416" s="7">
        <f>DATE(2024,9,4)+TIME(8,45,16)</f>
        <v>45539.364768518521</v>
      </c>
      <c r="D416" s="8" t="s">
        <v>2002</v>
      </c>
      <c r="F416" t="e">
        <f>VLOOKUP(Table1[[#This Row],[Company Name]],Sheet1!B:B,1,FALSE)</f>
        <v>#N/A</v>
      </c>
    </row>
    <row r="417" spans="1:6" ht="17">
      <c r="A417" s="6" t="s">
        <v>1368</v>
      </c>
      <c r="B417" s="6" t="s">
        <v>2123</v>
      </c>
      <c r="C417" s="7">
        <f>DATE(2024,5,31)+TIME(22,22,20)</f>
        <v>45443.932175925926</v>
      </c>
      <c r="D417" s="8" t="s">
        <v>2002</v>
      </c>
      <c r="F417" t="e">
        <f>VLOOKUP(Table1[[#This Row],[Company Name]],Sheet1!B:B,1,FALSE)</f>
        <v>#N/A</v>
      </c>
    </row>
    <row r="418" spans="1:6" ht="17">
      <c r="A418" s="1" t="s">
        <v>1372</v>
      </c>
      <c r="B418" s="1" t="s">
        <v>1373</v>
      </c>
      <c r="C418" s="2">
        <f>DATE(2024,7,10)+TIME(12,7,10)</f>
        <v>45483.504976851851</v>
      </c>
      <c r="F418" t="e">
        <f>VLOOKUP(Table1[[#This Row],[Company Name]],Sheet1!B:B,1,FALSE)</f>
        <v>#N/A</v>
      </c>
    </row>
    <row r="419" spans="1:6" ht="17">
      <c r="A419" s="3" t="s">
        <v>1374</v>
      </c>
      <c r="B419" s="3" t="s">
        <v>1375</v>
      </c>
      <c r="C419" s="4">
        <f>DATE(2024,6,11)+TIME(11,13,37)</f>
        <v>45454.467789351853</v>
      </c>
      <c r="F419" t="e">
        <f>VLOOKUP(Table1[[#This Row],[Company Name]],Sheet1!B:B,1,FALSE)</f>
        <v>#N/A</v>
      </c>
    </row>
    <row r="420" spans="1:6" ht="17">
      <c r="A420" s="1" t="s">
        <v>1374</v>
      </c>
      <c r="B420" s="1" t="s">
        <v>2124</v>
      </c>
      <c r="C420" s="2">
        <f>DATE(2024,6,11)+TIME(9,24,8)</f>
        <v>45454.391759259262</v>
      </c>
      <c r="F420" t="e">
        <f>VLOOKUP(Table1[[#This Row],[Company Name]],Sheet1!B:B,1,FALSE)</f>
        <v>#N/A</v>
      </c>
    </row>
    <row r="421" spans="1:6" ht="17">
      <c r="A421" s="3" t="s">
        <v>1376</v>
      </c>
      <c r="B421" s="3" t="s">
        <v>1377</v>
      </c>
      <c r="C421" s="4">
        <f>DATE(2024,6,11)+TIME(9,25,3)</f>
        <v>45454.392395833333</v>
      </c>
      <c r="F421" t="e">
        <f>VLOOKUP(Table1[[#This Row],[Company Name]],Sheet1!B:B,1,FALSE)</f>
        <v>#N/A</v>
      </c>
    </row>
    <row r="422" spans="1:6" ht="17">
      <c r="A422" s="6" t="s">
        <v>1378</v>
      </c>
      <c r="B422" s="6" t="s">
        <v>1379</v>
      </c>
      <c r="C422" s="7">
        <f>DATE(2024,9,23)+TIME(14,36,2)</f>
        <v>45558.608356481483</v>
      </c>
      <c r="D422" s="8" t="s">
        <v>2002</v>
      </c>
      <c r="F422" t="e">
        <f>VLOOKUP(Table1[[#This Row],[Company Name]],Sheet1!B:B,1,FALSE)</f>
        <v>#N/A</v>
      </c>
    </row>
    <row r="423" spans="1:6" ht="17">
      <c r="A423" s="6" t="s">
        <v>1378</v>
      </c>
      <c r="B423" s="6" t="s">
        <v>2125</v>
      </c>
      <c r="C423" s="7">
        <f>DATE(2024,9,19)+TIME(12,3,49)</f>
        <v>45554.502650462964</v>
      </c>
      <c r="D423" s="8" t="s">
        <v>2002</v>
      </c>
      <c r="F423" t="e">
        <f>VLOOKUP(Table1[[#This Row],[Company Name]],Sheet1!B:B,1,FALSE)</f>
        <v>#N/A</v>
      </c>
    </row>
    <row r="424" spans="1:6" ht="17">
      <c r="A424" s="6" t="s">
        <v>1378</v>
      </c>
      <c r="B424" s="6" t="s">
        <v>2126</v>
      </c>
      <c r="C424" s="7">
        <f>DATE(2024,9,25)+TIME(9,55,38)</f>
        <v>45560.413634259261</v>
      </c>
      <c r="D424" s="8" t="s">
        <v>2002</v>
      </c>
      <c r="F424" t="e">
        <f>VLOOKUP(Table1[[#This Row],[Company Name]],Sheet1!B:B,1,FALSE)</f>
        <v>#N/A</v>
      </c>
    </row>
    <row r="425" spans="1:6" ht="17">
      <c r="A425" s="6" t="s">
        <v>1378</v>
      </c>
      <c r="B425" s="6" t="s">
        <v>52</v>
      </c>
      <c r="C425" s="7">
        <f>DATE(2024,7,16)+TIME(11,21,27)</f>
        <v>45489.473229166666</v>
      </c>
      <c r="D425" s="8" t="s">
        <v>2002</v>
      </c>
      <c r="F425" t="e">
        <f>VLOOKUP(Table1[[#This Row],[Company Name]],Sheet1!B:B,1,FALSE)</f>
        <v>#N/A</v>
      </c>
    </row>
    <row r="426" spans="1:6" ht="17">
      <c r="A426" s="6" t="s">
        <v>1382</v>
      </c>
      <c r="B426" s="6" t="s">
        <v>1383</v>
      </c>
      <c r="C426" s="7">
        <f>DATE(2024,8,8)+TIME(9,47,40)</f>
        <v>45512.408101851855</v>
      </c>
      <c r="D426" s="8" t="s">
        <v>2002</v>
      </c>
      <c r="F426" t="e">
        <f>VLOOKUP(Table1[[#This Row],[Company Name]],Sheet1!B:B,1,FALSE)</f>
        <v>#N/A</v>
      </c>
    </row>
    <row r="427" spans="1:6" ht="17">
      <c r="A427" s="1" t="s">
        <v>1385</v>
      </c>
      <c r="B427" s="1" t="s">
        <v>1386</v>
      </c>
      <c r="C427" s="2">
        <f>DATE(2024,9,17)+TIME(20,31,3)</f>
        <v>45552.854895833334</v>
      </c>
      <c r="F427" t="e">
        <f>VLOOKUP(Table1[[#This Row],[Company Name]],Sheet1!B:B,1,FALSE)</f>
        <v>#N/A</v>
      </c>
    </row>
    <row r="428" spans="1:6" ht="34">
      <c r="A428" s="3" t="s">
        <v>331</v>
      </c>
      <c r="B428" s="3" t="s">
        <v>1387</v>
      </c>
      <c r="C428" s="4">
        <f>DATE(2024,6,6)+TIME(13,10,57)</f>
        <v>45449.549270833333</v>
      </c>
      <c r="F428" t="e">
        <f>VLOOKUP(Table1[[#This Row],[Company Name]],Sheet1!B:B,1,FALSE)</f>
        <v>#N/A</v>
      </c>
    </row>
    <row r="429" spans="1:6" ht="34">
      <c r="A429" s="3" t="s">
        <v>331</v>
      </c>
      <c r="B429" s="3" t="s">
        <v>2127</v>
      </c>
      <c r="C429" s="4">
        <f>DATE(2024,8,29)+TIME(12,6,30)</f>
        <v>45533.504513888889</v>
      </c>
      <c r="F429" t="e">
        <f>VLOOKUP(Table1[[#This Row],[Company Name]],Sheet1!B:B,1,FALSE)</f>
        <v>#N/A</v>
      </c>
    </row>
    <row r="430" spans="1:6" ht="17">
      <c r="A430" s="1" t="s">
        <v>331</v>
      </c>
      <c r="B430" s="1" t="s">
        <v>296</v>
      </c>
      <c r="C430" s="2">
        <f>DATE(2024,8,8)+TIME(7,57,39)</f>
        <v>45512.331701388888</v>
      </c>
      <c r="F430" t="e">
        <f>VLOOKUP(Table1[[#This Row],[Company Name]],Sheet1!B:B,1,FALSE)</f>
        <v>#N/A</v>
      </c>
    </row>
    <row r="431" spans="1:6" ht="17">
      <c r="A431" s="1" t="s">
        <v>331</v>
      </c>
      <c r="B431" s="1" t="s">
        <v>332</v>
      </c>
      <c r="C431" s="2">
        <f>DATE(2024,6,4)+TIME(12,9,9)</f>
        <v>45447.506354166668</v>
      </c>
      <c r="F431" t="e">
        <f>VLOOKUP(Table1[[#This Row],[Company Name]],Sheet1!B:B,1,FALSE)</f>
        <v>#N/A</v>
      </c>
    </row>
    <row r="432" spans="1:6" ht="17">
      <c r="A432" s="1" t="s">
        <v>331</v>
      </c>
      <c r="B432" s="1" t="s">
        <v>2128</v>
      </c>
      <c r="C432" s="2">
        <f>DATE(2024,8,8)+TIME(8,27,34)</f>
        <v>45512.352476851855</v>
      </c>
      <c r="F432" t="e">
        <f>VLOOKUP(Table1[[#This Row],[Company Name]],Sheet1!B:B,1,FALSE)</f>
        <v>#N/A</v>
      </c>
    </row>
    <row r="433" spans="1:6" ht="17">
      <c r="A433" s="6" t="s">
        <v>337</v>
      </c>
      <c r="B433" s="6" t="s">
        <v>338</v>
      </c>
      <c r="C433" s="7">
        <f>DATE(2024,7,29)+TIME(9,45,17)</f>
        <v>45502.406446759262</v>
      </c>
      <c r="D433" s="8" t="s">
        <v>2002</v>
      </c>
      <c r="F433" t="e">
        <f>VLOOKUP(Table1[[#This Row],[Company Name]],Sheet1!B:B,1,FALSE)</f>
        <v>#N/A</v>
      </c>
    </row>
    <row r="434" spans="1:6" ht="17">
      <c r="A434" s="3" t="s">
        <v>1390</v>
      </c>
      <c r="B434" s="3" t="s">
        <v>1391</v>
      </c>
      <c r="C434" s="4">
        <f>DATE(2024,9,17)+TIME(4,28,42)</f>
        <v>45552.186597222222</v>
      </c>
      <c r="F434" t="e">
        <f>VLOOKUP(Table1[[#This Row],[Company Name]],Sheet1!B:B,1,FALSE)</f>
        <v>#N/A</v>
      </c>
    </row>
    <row r="435" spans="1:6" ht="17">
      <c r="A435" s="3" t="s">
        <v>343</v>
      </c>
      <c r="B435" s="3" t="s">
        <v>344</v>
      </c>
      <c r="C435" s="4">
        <f>DATE(2024,8,22)+TIME(10,12,37)</f>
        <v>45526.425428240742</v>
      </c>
      <c r="F435" t="e">
        <f>VLOOKUP(Table1[[#This Row],[Company Name]],Sheet1!B:B,1,FALSE)</f>
        <v>#N/A</v>
      </c>
    </row>
    <row r="436" spans="1:6" ht="17">
      <c r="A436" s="1" t="s">
        <v>1392</v>
      </c>
      <c r="B436" s="1" t="s">
        <v>1393</v>
      </c>
      <c r="C436" s="2">
        <f>DATE(2024,8,14)+TIME(13,32,37)</f>
        <v>45518.564317129632</v>
      </c>
      <c r="F436" t="e">
        <f>VLOOKUP(Table1[[#This Row],[Company Name]],Sheet1!B:B,1,FALSE)</f>
        <v>#N/A</v>
      </c>
    </row>
    <row r="437" spans="1:6" ht="17">
      <c r="A437" s="6" t="s">
        <v>1394</v>
      </c>
      <c r="B437" s="6" t="s">
        <v>1395</v>
      </c>
      <c r="C437" s="7">
        <f>DATE(2024,9,10)+TIME(14,55,52)</f>
        <v>45545.622129629628</v>
      </c>
      <c r="D437" s="8" t="s">
        <v>2002</v>
      </c>
      <c r="F437" t="e">
        <f>VLOOKUP(Table1[[#This Row],[Company Name]],Sheet1!B:B,1,FALSE)</f>
        <v>#N/A</v>
      </c>
    </row>
    <row r="438" spans="1:6" ht="17">
      <c r="A438" s="1" t="s">
        <v>1398</v>
      </c>
      <c r="B438" s="1" t="s">
        <v>1399</v>
      </c>
      <c r="C438" s="2">
        <f>DATE(2024,8,29)+TIME(2,33,9)</f>
        <v>45533.106354166666</v>
      </c>
      <c r="F438" t="e">
        <f>VLOOKUP(Table1[[#This Row],[Company Name]],Sheet1!B:B,1,FALSE)</f>
        <v>#N/A</v>
      </c>
    </row>
    <row r="439" spans="1:6" ht="17">
      <c r="A439" s="3" t="s">
        <v>1400</v>
      </c>
      <c r="B439" s="3" t="s">
        <v>296</v>
      </c>
      <c r="C439" s="4">
        <f>DATE(2024,8,8)+TIME(13,28,52)</f>
        <v>45512.561712962961</v>
      </c>
      <c r="F439" t="e">
        <f>VLOOKUP(Table1[[#This Row],[Company Name]],Sheet1!B:B,1,FALSE)</f>
        <v>#N/A</v>
      </c>
    </row>
    <row r="440" spans="1:6" ht="17">
      <c r="A440" s="1" t="s">
        <v>1401</v>
      </c>
      <c r="B440" s="1" t="s">
        <v>1402</v>
      </c>
      <c r="C440" s="2">
        <f>DATE(2024,9,20)+TIME(13,2,4)</f>
        <v>45555.54310185185</v>
      </c>
      <c r="F440" t="e">
        <f>VLOOKUP(Table1[[#This Row],[Company Name]],Sheet1!B:B,1,FALSE)</f>
        <v>#N/A</v>
      </c>
    </row>
    <row r="441" spans="1:6" ht="17">
      <c r="A441" s="1" t="s">
        <v>1403</v>
      </c>
      <c r="B441" s="1" t="s">
        <v>1404</v>
      </c>
      <c r="C441" s="2">
        <f>DATE(2024,9,5)+TIME(10,23,34)</f>
        <v>45540.433032407411</v>
      </c>
      <c r="F441" t="e">
        <f>VLOOKUP(Table1[[#This Row],[Company Name]],Sheet1!B:B,1,FALSE)</f>
        <v>#N/A</v>
      </c>
    </row>
    <row r="442" spans="1:6" ht="17">
      <c r="A442" s="3" t="s">
        <v>1403</v>
      </c>
      <c r="B442" s="3" t="s">
        <v>113</v>
      </c>
      <c r="C442" s="4">
        <f>DATE(2024,8,10)+TIME(13,10,35)</f>
        <v>45514.549016203702</v>
      </c>
      <c r="F442" t="e">
        <f>VLOOKUP(Table1[[#This Row],[Company Name]],Sheet1!B:B,1,FALSE)</f>
        <v>#N/A</v>
      </c>
    </row>
    <row r="443" spans="1:6" ht="17">
      <c r="A443" s="1" t="s">
        <v>1405</v>
      </c>
      <c r="B443" s="1" t="s">
        <v>1406</v>
      </c>
      <c r="C443" s="2">
        <f>DATE(2024,8,26)+TIME(20,31,38)</f>
        <v>45530.855300925927</v>
      </c>
      <c r="F443" t="e">
        <f>VLOOKUP(Table1[[#This Row],[Company Name]],Sheet1!B:B,1,FALSE)</f>
        <v>#N/A</v>
      </c>
    </row>
    <row r="444" spans="1:6" ht="17">
      <c r="A444" s="6" t="s">
        <v>1407</v>
      </c>
      <c r="B444" s="6" t="s">
        <v>1408</v>
      </c>
      <c r="C444" s="7">
        <f>DATE(2024,7,16)+TIME(14,29,56)</f>
        <v>45489.604120370372</v>
      </c>
      <c r="D444" s="8" t="s">
        <v>2002</v>
      </c>
      <c r="F444" t="e">
        <f>VLOOKUP(Table1[[#This Row],[Company Name]],Sheet1!B:B,1,FALSE)</f>
        <v>#N/A</v>
      </c>
    </row>
    <row r="445" spans="1:6" ht="17">
      <c r="A445" s="6" t="s">
        <v>1407</v>
      </c>
      <c r="B445" s="6" t="s">
        <v>1081</v>
      </c>
      <c r="C445" s="7">
        <f>DATE(2024,7,16)+TIME(14,29,55)</f>
        <v>45489.604108796295</v>
      </c>
      <c r="D445" s="8" t="s">
        <v>2002</v>
      </c>
      <c r="F445" t="e">
        <f>VLOOKUP(Table1[[#This Row],[Company Name]],Sheet1!B:B,1,FALSE)</f>
        <v>#N/A</v>
      </c>
    </row>
    <row r="446" spans="1:6" ht="17">
      <c r="A446" s="6" t="s">
        <v>1407</v>
      </c>
      <c r="B446" s="6" t="s">
        <v>2129</v>
      </c>
      <c r="C446" s="7">
        <f>DATE(2024,7,16)+TIME(14,29,56)</f>
        <v>45489.604120370372</v>
      </c>
      <c r="D446" s="8" t="s">
        <v>2002</v>
      </c>
      <c r="F446" t="e">
        <f>VLOOKUP(Table1[[#This Row],[Company Name]],Sheet1!B:B,1,FALSE)</f>
        <v>#N/A</v>
      </c>
    </row>
    <row r="447" spans="1:6" ht="17">
      <c r="A447" s="6" t="s">
        <v>1407</v>
      </c>
      <c r="B447" s="6" t="s">
        <v>2130</v>
      </c>
      <c r="C447" s="7">
        <f>DATE(2024,7,16)+TIME(14,29,56)</f>
        <v>45489.604120370372</v>
      </c>
      <c r="D447" s="8" t="s">
        <v>2002</v>
      </c>
      <c r="F447" t="e">
        <f>VLOOKUP(Table1[[#This Row],[Company Name]],Sheet1!B:B,1,FALSE)</f>
        <v>#N/A</v>
      </c>
    </row>
    <row r="448" spans="1:6" ht="17">
      <c r="A448" s="6" t="s">
        <v>351</v>
      </c>
      <c r="B448" s="6" t="s">
        <v>352</v>
      </c>
      <c r="C448" s="7">
        <f>DATE(2024,9,4)+TIME(10,4,0)</f>
        <v>45539.419444444444</v>
      </c>
      <c r="D448" s="8" t="s">
        <v>2002</v>
      </c>
      <c r="F448" t="e">
        <f>VLOOKUP(Table1[[#This Row],[Company Name]],Sheet1!B:B,1,FALSE)</f>
        <v>#N/A</v>
      </c>
    </row>
    <row r="449" spans="1:6" ht="17">
      <c r="A449" s="3" t="s">
        <v>358</v>
      </c>
      <c r="B449" s="3" t="s">
        <v>52</v>
      </c>
      <c r="C449" s="4">
        <f>DATE(2024,7,18)+TIME(13,35,10)</f>
        <v>45491.566087962965</v>
      </c>
      <c r="F449" t="e">
        <f>VLOOKUP(Table1[[#This Row],[Company Name]],Sheet1!B:B,1,FALSE)</f>
        <v>#N/A</v>
      </c>
    </row>
    <row r="450" spans="1:6" ht="17">
      <c r="A450" s="3" t="s">
        <v>1412</v>
      </c>
      <c r="B450" s="3" t="s">
        <v>1413</v>
      </c>
      <c r="C450" s="4">
        <f>DATE(2024,9,25)+TIME(8,31,26)</f>
        <v>45560.355162037034</v>
      </c>
      <c r="F450" t="e">
        <f>VLOOKUP(Table1[[#This Row],[Company Name]],Sheet1!B:B,1,FALSE)</f>
        <v>#N/A</v>
      </c>
    </row>
    <row r="451" spans="1:6" ht="17">
      <c r="A451" s="3" t="s">
        <v>1412</v>
      </c>
      <c r="B451" s="3" t="s">
        <v>1261</v>
      </c>
      <c r="C451" s="4">
        <f>DATE(2024,8,19)+TIME(8,35,46)</f>
        <v>45523.358171296299</v>
      </c>
      <c r="F451" t="e">
        <f>VLOOKUP(Table1[[#This Row],[Company Name]],Sheet1!B:B,1,FALSE)</f>
        <v>#N/A</v>
      </c>
    </row>
    <row r="452" spans="1:6" ht="17">
      <c r="A452" s="3" t="s">
        <v>1412</v>
      </c>
      <c r="B452" s="3" t="s">
        <v>1332</v>
      </c>
      <c r="C452" s="4">
        <f>DATE(2024,8,15)+TIME(19,21,46)</f>
        <v>45519.80678240741</v>
      </c>
      <c r="F452" t="e">
        <f>VLOOKUP(Table1[[#This Row],[Company Name]],Sheet1!B:B,1,FALSE)</f>
        <v>#N/A</v>
      </c>
    </row>
    <row r="453" spans="1:6" ht="17">
      <c r="A453" s="3" t="s">
        <v>1412</v>
      </c>
      <c r="B453" s="3" t="s">
        <v>2131</v>
      </c>
      <c r="C453" s="4">
        <f>DATE(2024,9,25)+TIME(10,27,39)</f>
        <v>45560.435868055552</v>
      </c>
      <c r="F453" t="e">
        <f>VLOOKUP(Table1[[#This Row],[Company Name]],Sheet1!B:B,1,FALSE)</f>
        <v>#N/A</v>
      </c>
    </row>
    <row r="454" spans="1:6" ht="17">
      <c r="A454" s="3" t="s">
        <v>1412</v>
      </c>
      <c r="B454" s="3" t="s">
        <v>2132</v>
      </c>
      <c r="C454" s="4">
        <f>DATE(2024,8,19)+TIME(15,37,47)</f>
        <v>45523.651238425926</v>
      </c>
      <c r="F454" t="e">
        <f>VLOOKUP(Table1[[#This Row],[Company Name]],Sheet1!B:B,1,FALSE)</f>
        <v>#N/A</v>
      </c>
    </row>
    <row r="455" spans="1:6" ht="17">
      <c r="A455" s="3" t="s">
        <v>1412</v>
      </c>
      <c r="B455" s="3" t="s">
        <v>2133</v>
      </c>
      <c r="C455" s="4">
        <f>DATE(2024,7,18)+TIME(12,32,16)</f>
        <v>45491.522407407407</v>
      </c>
      <c r="F455" t="e">
        <f>VLOOKUP(Table1[[#This Row],[Company Name]],Sheet1!B:B,1,FALSE)</f>
        <v>#N/A</v>
      </c>
    </row>
    <row r="456" spans="1:6" ht="17">
      <c r="A456" s="1" t="s">
        <v>1414</v>
      </c>
      <c r="B456" s="1" t="s">
        <v>344</v>
      </c>
      <c r="C456" s="2">
        <f>DATE(2024,8,8)+TIME(13,21,2)</f>
        <v>45512.556273148148</v>
      </c>
      <c r="F456" t="e">
        <f>VLOOKUP(Table1[[#This Row],[Company Name]],Sheet1!B:B,1,FALSE)</f>
        <v>#N/A</v>
      </c>
    </row>
    <row r="457" spans="1:6" ht="17">
      <c r="A457" s="3" t="s">
        <v>2134</v>
      </c>
      <c r="B457" s="3" t="s">
        <v>2135</v>
      </c>
      <c r="C457" s="4">
        <f>DATE(2024,8,9)+TIME(12,10,58)</f>
        <v>45513.507615740738</v>
      </c>
      <c r="F457" t="e">
        <f>VLOOKUP(Table1[[#This Row],[Company Name]],Sheet1!B:B,1,FALSE)</f>
        <v>#N/A</v>
      </c>
    </row>
    <row r="458" spans="1:6" ht="17">
      <c r="A458" s="1" t="s">
        <v>366</v>
      </c>
      <c r="B458" s="1" t="s">
        <v>367</v>
      </c>
      <c r="C458" s="2">
        <f>DATE(2024,7,29)+TIME(12,56,11)</f>
        <v>45502.5390162037</v>
      </c>
      <c r="F458" t="e">
        <f>VLOOKUP(Table1[[#This Row],[Company Name]],Sheet1!B:B,1,FALSE)</f>
        <v>#N/A</v>
      </c>
    </row>
    <row r="459" spans="1:6" ht="17">
      <c r="A459" s="1" t="s">
        <v>1415</v>
      </c>
      <c r="B459" s="1" t="s">
        <v>1416</v>
      </c>
      <c r="C459" s="2">
        <f>DATE(2024,9,5)+TIME(7,53,54)</f>
        <v>45540.329097222224</v>
      </c>
      <c r="F459" t="e">
        <f>VLOOKUP(Table1[[#This Row],[Company Name]],Sheet1!B:B,1,FALSE)</f>
        <v>#N/A</v>
      </c>
    </row>
    <row r="460" spans="1:6" ht="17">
      <c r="A460" s="1" t="s">
        <v>1417</v>
      </c>
      <c r="B460" s="1" t="s">
        <v>1261</v>
      </c>
      <c r="C460" s="2">
        <f>DATE(2024,8,6)+TIME(9,25,32)</f>
        <v>45510.392731481479</v>
      </c>
      <c r="F460" t="e">
        <f>VLOOKUP(Table1[[#This Row],[Company Name]],Sheet1!B:B,1,FALSE)</f>
        <v>#N/A</v>
      </c>
    </row>
    <row r="461" spans="1:6" ht="17">
      <c r="A461" s="3" t="s">
        <v>1417</v>
      </c>
      <c r="B461" s="3" t="s">
        <v>2136</v>
      </c>
      <c r="C461" s="4">
        <f>DATE(2024,8,29)+TIME(9,39,46)</f>
        <v>45533.402615740742</v>
      </c>
      <c r="F461" t="e">
        <f>VLOOKUP(Table1[[#This Row],[Company Name]],Sheet1!B:B,1,FALSE)</f>
        <v>#N/A</v>
      </c>
    </row>
    <row r="462" spans="1:6" ht="34">
      <c r="A462" s="1" t="s">
        <v>1417</v>
      </c>
      <c r="B462" s="1" t="s">
        <v>2137</v>
      </c>
      <c r="C462" s="2">
        <f>DATE(2024,7,8)+TIME(12,28,58)</f>
        <v>45481.520115740743</v>
      </c>
      <c r="F462" t="e">
        <f>VLOOKUP(Table1[[#This Row],[Company Name]],Sheet1!B:B,1,FALSE)</f>
        <v>#N/A</v>
      </c>
    </row>
    <row r="463" spans="1:6" ht="17">
      <c r="A463" s="3" t="s">
        <v>374</v>
      </c>
      <c r="B463" s="3" t="s">
        <v>375</v>
      </c>
      <c r="C463" s="4">
        <f>DATE(2024,7,5)+TIME(12,55,53)</f>
        <v>45478.538807870369</v>
      </c>
      <c r="F463" t="e">
        <f>VLOOKUP(Table1[[#This Row],[Company Name]],Sheet1!B:B,1,FALSE)</f>
        <v>#N/A</v>
      </c>
    </row>
    <row r="464" spans="1:6" ht="34">
      <c r="A464" s="3" t="s">
        <v>1418</v>
      </c>
      <c r="B464" s="3" t="s">
        <v>1419</v>
      </c>
      <c r="C464" s="4">
        <f>DATE(2024,7,13)+TIME(18,19,38)</f>
        <v>45486.76363425926</v>
      </c>
      <c r="F464" t="e">
        <f>VLOOKUP(Table1[[#This Row],[Company Name]],Sheet1!B:B,1,FALSE)</f>
        <v>#N/A</v>
      </c>
    </row>
    <row r="465" spans="1:6" ht="17">
      <c r="A465" s="6" t="s">
        <v>1420</v>
      </c>
      <c r="B465" s="6" t="s">
        <v>1290</v>
      </c>
      <c r="C465" s="7">
        <f>DATE(2024,8,14)+TIME(8,8,54)</f>
        <v>45518.339513888888</v>
      </c>
      <c r="D465" s="8" t="s">
        <v>2002</v>
      </c>
      <c r="F465" t="e">
        <f>VLOOKUP(Table1[[#This Row],[Company Name]],Sheet1!B:B,1,FALSE)</f>
        <v>#N/A</v>
      </c>
    </row>
    <row r="466" spans="1:6" ht="17">
      <c r="A466" s="1" t="s">
        <v>1423</v>
      </c>
      <c r="B466" s="1" t="s">
        <v>1424</v>
      </c>
      <c r="C466" s="2">
        <f>DATE(2024,9,4)+TIME(20,2,7)</f>
        <v>45539.834803240738</v>
      </c>
      <c r="F466" t="e">
        <f>VLOOKUP(Table1[[#This Row],[Company Name]],Sheet1!B:B,1,FALSE)</f>
        <v>#N/A</v>
      </c>
    </row>
    <row r="467" spans="1:6" ht="17">
      <c r="A467" s="6" t="s">
        <v>380</v>
      </c>
      <c r="B467" s="6" t="s">
        <v>296</v>
      </c>
      <c r="C467" s="7">
        <f>DATE(2024,9,5)+TIME(15,57,13)</f>
        <v>45540.664733796293</v>
      </c>
      <c r="D467" s="8" t="s">
        <v>2002</v>
      </c>
      <c r="F467" t="e">
        <f>VLOOKUP(Table1[[#This Row],[Company Name]],Sheet1!B:B,1,FALSE)</f>
        <v>#N/A</v>
      </c>
    </row>
    <row r="468" spans="1:6" ht="17">
      <c r="A468" s="6" t="s">
        <v>380</v>
      </c>
      <c r="B468" s="6" t="s">
        <v>296</v>
      </c>
      <c r="C468" s="7">
        <f>DATE(2024,9,5)+TIME(16,9,39)</f>
        <v>45540.673368055555</v>
      </c>
      <c r="D468" s="8" t="s">
        <v>2002</v>
      </c>
      <c r="F468" t="e">
        <f>VLOOKUP(Table1[[#This Row],[Company Name]],Sheet1!B:B,1,FALSE)</f>
        <v>#N/A</v>
      </c>
    </row>
    <row r="469" spans="1:6" ht="17">
      <c r="A469" s="6" t="s">
        <v>380</v>
      </c>
      <c r="B469" s="6" t="s">
        <v>2138</v>
      </c>
      <c r="C469" s="7">
        <f>DATE(2024,9,5)+TIME(15,52,29)</f>
        <v>45540.661446759259</v>
      </c>
      <c r="D469" s="8" t="s">
        <v>2002</v>
      </c>
      <c r="F469" t="e">
        <f>VLOOKUP(Table1[[#This Row],[Company Name]],Sheet1!B:B,1,FALSE)</f>
        <v>#N/A</v>
      </c>
    </row>
    <row r="470" spans="1:6" ht="17">
      <c r="A470" s="1" t="s">
        <v>1426</v>
      </c>
      <c r="B470" s="1" t="s">
        <v>85</v>
      </c>
      <c r="C470" s="2">
        <f>DATE(2024,8,21)+TIME(10,46,28)</f>
        <v>45525.448935185188</v>
      </c>
      <c r="F470" t="e">
        <f>VLOOKUP(Table1[[#This Row],[Company Name]],Sheet1!B:B,1,FALSE)</f>
        <v>#N/A</v>
      </c>
    </row>
    <row r="471" spans="1:6" ht="17">
      <c r="A471" s="3" t="s">
        <v>1426</v>
      </c>
      <c r="B471" s="3" t="s">
        <v>85</v>
      </c>
      <c r="C471" s="4">
        <f>DATE(2024,7,31)+TIME(11,43,5)</f>
        <v>45504.488252314812</v>
      </c>
      <c r="F471" t="e">
        <f>VLOOKUP(Table1[[#This Row],[Company Name]],Sheet1!B:B,1,FALSE)</f>
        <v>#N/A</v>
      </c>
    </row>
    <row r="472" spans="1:6" ht="17">
      <c r="A472" s="1" t="s">
        <v>1427</v>
      </c>
      <c r="B472" s="1" t="s">
        <v>1428</v>
      </c>
      <c r="C472" s="2">
        <f>DATE(2024,8,27)+TIME(9,18,44)</f>
        <v>45531.388009259259</v>
      </c>
      <c r="F472" t="e">
        <f>VLOOKUP(Table1[[#This Row],[Company Name]],Sheet1!B:B,1,FALSE)</f>
        <v>#N/A</v>
      </c>
    </row>
    <row r="473" spans="1:6" ht="17">
      <c r="A473" s="3" t="s">
        <v>1429</v>
      </c>
      <c r="B473" s="3" t="s">
        <v>1430</v>
      </c>
      <c r="C473" s="4">
        <f>DATE(2024,8,26)+TIME(13,59,13)</f>
        <v>45530.582789351851</v>
      </c>
      <c r="F473" t="e">
        <f>VLOOKUP(Table1[[#This Row],[Company Name]],Sheet1!B:B,1,FALSE)</f>
        <v>#N/A</v>
      </c>
    </row>
    <row r="474" spans="1:6" ht="17">
      <c r="A474" s="1" t="s">
        <v>1429</v>
      </c>
      <c r="B474" s="1" t="s">
        <v>1254</v>
      </c>
      <c r="C474" s="2">
        <f>DATE(2024,9,23)+TIME(12,56,8)</f>
        <v>45558.538981481484</v>
      </c>
      <c r="F474" t="e">
        <f>VLOOKUP(Table1[[#This Row],[Company Name]],Sheet1!B:B,1,FALSE)</f>
        <v>#N/A</v>
      </c>
    </row>
    <row r="475" spans="1:6" ht="17">
      <c r="A475" s="1" t="s">
        <v>1431</v>
      </c>
      <c r="B475" s="1" t="s">
        <v>1261</v>
      </c>
      <c r="C475" s="2">
        <f>DATE(2024,8,30)+TIME(11,38,27)</f>
        <v>45534.485034722224</v>
      </c>
      <c r="F475" t="e">
        <f>VLOOKUP(Table1[[#This Row],[Company Name]],Sheet1!B:B,1,FALSE)</f>
        <v>#N/A</v>
      </c>
    </row>
    <row r="476" spans="1:6" ht="17">
      <c r="A476" s="1" t="s">
        <v>1431</v>
      </c>
      <c r="B476" s="1" t="s">
        <v>2139</v>
      </c>
      <c r="C476" s="2">
        <f>DATE(2024,8,30)+TIME(12,37,13)</f>
        <v>45534.52584490741</v>
      </c>
      <c r="F476" t="e">
        <f>VLOOKUP(Table1[[#This Row],[Company Name]],Sheet1!B:B,1,FALSE)</f>
        <v>#N/A</v>
      </c>
    </row>
    <row r="477" spans="1:6" ht="17">
      <c r="A477" s="1" t="s">
        <v>1431</v>
      </c>
      <c r="B477" s="1" t="s">
        <v>2140</v>
      </c>
      <c r="C477" s="2">
        <f>DATE(2024,8,30)+TIME(11,38,27)</f>
        <v>45534.485034722224</v>
      </c>
      <c r="F477" t="e">
        <f>VLOOKUP(Table1[[#This Row],[Company Name]],Sheet1!B:B,1,FALSE)</f>
        <v>#N/A</v>
      </c>
    </row>
    <row r="478" spans="1:6" ht="17">
      <c r="A478" s="1" t="s">
        <v>1431</v>
      </c>
      <c r="B478" s="1" t="s">
        <v>2141</v>
      </c>
      <c r="C478" s="2">
        <f>DATE(2024,8,30)+TIME(11,38,26)</f>
        <v>45534.485023148147</v>
      </c>
      <c r="F478" t="e">
        <f>VLOOKUP(Table1[[#This Row],[Company Name]],Sheet1!B:B,1,FALSE)</f>
        <v>#N/A</v>
      </c>
    </row>
    <row r="479" spans="1:6" ht="17">
      <c r="A479" s="1" t="s">
        <v>1431</v>
      </c>
      <c r="B479" s="1" t="s">
        <v>2140</v>
      </c>
      <c r="C479" s="2">
        <f>DATE(2024,8,30)+TIME(11,38,28)</f>
        <v>45534.485046296293</v>
      </c>
      <c r="F479" t="e">
        <f>VLOOKUP(Table1[[#This Row],[Company Name]],Sheet1!B:B,1,FALSE)</f>
        <v>#N/A</v>
      </c>
    </row>
    <row r="480" spans="1:6" ht="17">
      <c r="A480" s="1" t="s">
        <v>1431</v>
      </c>
      <c r="B480" s="1" t="s">
        <v>1261</v>
      </c>
      <c r="C480" s="2">
        <f>DATE(2024,8,30)+TIME(11,38,27)</f>
        <v>45534.485034722224</v>
      </c>
      <c r="F480" t="e">
        <f>VLOOKUP(Table1[[#This Row],[Company Name]],Sheet1!B:B,1,FALSE)</f>
        <v>#N/A</v>
      </c>
    </row>
    <row r="481" spans="1:6" ht="34">
      <c r="A481" s="3" t="s">
        <v>1432</v>
      </c>
      <c r="B481" s="3" t="s">
        <v>1433</v>
      </c>
      <c r="C481" s="4">
        <f>DATE(2024,8,30)+TIME(11,38,28)</f>
        <v>45534.485046296293</v>
      </c>
      <c r="F481" t="e">
        <f>VLOOKUP(Table1[[#This Row],[Company Name]],Sheet1!B:B,1,FALSE)</f>
        <v>#N/A</v>
      </c>
    </row>
    <row r="482" spans="1:6" ht="17">
      <c r="A482" s="3" t="s">
        <v>1434</v>
      </c>
      <c r="B482" s="3" t="s">
        <v>1187</v>
      </c>
      <c r="C482" s="4">
        <f>DATE(2024,7,1)+TIME(7,35,33)</f>
        <v>45474.316354166665</v>
      </c>
      <c r="F482" t="e">
        <f>VLOOKUP(Table1[[#This Row],[Company Name]],Sheet1!B:B,1,FALSE)</f>
        <v>#N/A</v>
      </c>
    </row>
    <row r="483" spans="1:6" ht="17">
      <c r="A483" s="1" t="s">
        <v>1434</v>
      </c>
      <c r="B483" s="1" t="s">
        <v>2142</v>
      </c>
      <c r="C483" s="2">
        <f>DATE(2024,8,5)+TIME(10,41,22)</f>
        <v>45509.445393518516</v>
      </c>
      <c r="F483" t="e">
        <f>VLOOKUP(Table1[[#This Row],[Company Name]],Sheet1!B:B,1,FALSE)</f>
        <v>#N/A</v>
      </c>
    </row>
    <row r="484" spans="1:6" ht="17">
      <c r="A484" s="1" t="s">
        <v>1434</v>
      </c>
      <c r="B484" s="1" t="s">
        <v>660</v>
      </c>
      <c r="C484" s="2">
        <f>DATE(2024,6,27)+TIME(13,22,28)</f>
        <v>45470.557268518518</v>
      </c>
      <c r="F484" t="e">
        <f>VLOOKUP(Table1[[#This Row],[Company Name]],Sheet1!B:B,1,FALSE)</f>
        <v>#N/A</v>
      </c>
    </row>
    <row r="485" spans="1:6" ht="17">
      <c r="A485" s="3" t="s">
        <v>1434</v>
      </c>
      <c r="B485" s="3" t="s">
        <v>2143</v>
      </c>
      <c r="C485" s="4">
        <f>DATE(2024,7,18)+TIME(8,28,39)</f>
        <v>45491.353229166663</v>
      </c>
      <c r="F485" t="e">
        <f>VLOOKUP(Table1[[#This Row],[Company Name]],Sheet1!B:B,1,FALSE)</f>
        <v>#N/A</v>
      </c>
    </row>
    <row r="486" spans="1:6" ht="17">
      <c r="A486" s="3" t="s">
        <v>1434</v>
      </c>
      <c r="B486" s="3" t="s">
        <v>2144</v>
      </c>
      <c r="C486" s="4">
        <f>DATE(2024,7,12)+TIME(13,30,39)</f>
        <v>45485.562951388885</v>
      </c>
      <c r="F486" t="e">
        <f>VLOOKUP(Table1[[#This Row],[Company Name]],Sheet1!B:B,1,FALSE)</f>
        <v>#N/A</v>
      </c>
    </row>
    <row r="487" spans="1:6" ht="17">
      <c r="A487" s="3" t="s">
        <v>1434</v>
      </c>
      <c r="B487" s="3" t="s">
        <v>2145</v>
      </c>
      <c r="C487" s="4">
        <f>DATE(2024,9,4)+TIME(10,3,7)</f>
        <v>45539.41883101852</v>
      </c>
      <c r="F487" t="e">
        <f>VLOOKUP(Table1[[#This Row],[Company Name]],Sheet1!B:B,1,FALSE)</f>
        <v>#N/A</v>
      </c>
    </row>
    <row r="488" spans="1:6" ht="17">
      <c r="A488" s="3" t="s">
        <v>1434</v>
      </c>
      <c r="B488" s="3" t="s">
        <v>2146</v>
      </c>
      <c r="C488" s="4">
        <f>DATE(2024,7,1)+TIME(7,35,33)</f>
        <v>45474.316354166665</v>
      </c>
      <c r="F488" t="e">
        <f>VLOOKUP(Table1[[#This Row],[Company Name]],Sheet1!B:B,1,FALSE)</f>
        <v>#N/A</v>
      </c>
    </row>
    <row r="489" spans="1:6" ht="34">
      <c r="A489" s="3" t="s">
        <v>1434</v>
      </c>
      <c r="B489" s="3" t="s">
        <v>2147</v>
      </c>
      <c r="C489" s="4">
        <f>DATE(2024,7,18)+TIME(8,31,30)</f>
        <v>45491.355208333334</v>
      </c>
      <c r="F489" t="e">
        <f>VLOOKUP(Table1[[#This Row],[Company Name]],Sheet1!B:B,1,FALSE)</f>
        <v>#N/A</v>
      </c>
    </row>
    <row r="490" spans="1:6" ht="34">
      <c r="A490" s="3" t="s">
        <v>1434</v>
      </c>
      <c r="B490" s="3" t="s">
        <v>2148</v>
      </c>
      <c r="C490" s="4">
        <f>DATE(2024,7,1)+TIME(7,35,33)</f>
        <v>45474.316354166665</v>
      </c>
      <c r="F490" t="e">
        <f>VLOOKUP(Table1[[#This Row],[Company Name]],Sheet1!B:B,1,FALSE)</f>
        <v>#N/A</v>
      </c>
    </row>
    <row r="491" spans="1:6" ht="17">
      <c r="A491" s="3" t="s">
        <v>1434</v>
      </c>
      <c r="B491" s="3" t="s">
        <v>121</v>
      </c>
      <c r="C491" s="4">
        <f>DATE(2024,7,26)+TIME(13,1,41)</f>
        <v>45499.54283564815</v>
      </c>
      <c r="F491" t="e">
        <f>VLOOKUP(Table1[[#This Row],[Company Name]],Sheet1!B:B,1,FALSE)</f>
        <v>#N/A</v>
      </c>
    </row>
    <row r="492" spans="1:6" ht="17">
      <c r="A492" s="1" t="s">
        <v>1434</v>
      </c>
      <c r="B492" s="1" t="s">
        <v>1054</v>
      </c>
      <c r="C492" s="2">
        <f>DATE(2024,6,28)+TIME(7,34,35)</f>
        <v>45471.315682870372</v>
      </c>
      <c r="F492" t="e">
        <f>VLOOKUP(Table1[[#This Row],[Company Name]],Sheet1!B:B,1,FALSE)</f>
        <v>#N/A</v>
      </c>
    </row>
    <row r="493" spans="1:6" ht="17">
      <c r="A493" s="3" t="s">
        <v>1435</v>
      </c>
      <c r="B493" s="3" t="s">
        <v>1436</v>
      </c>
      <c r="C493" s="4">
        <f>DATE(2024,6,19)+TIME(8,52,8)</f>
        <v>45462.369537037041</v>
      </c>
      <c r="F493" t="e">
        <f>VLOOKUP(Table1[[#This Row],[Company Name]],Sheet1!B:B,1,FALSE)</f>
        <v>#N/A</v>
      </c>
    </row>
    <row r="494" spans="1:6" ht="17">
      <c r="A494" s="3" t="s">
        <v>1437</v>
      </c>
      <c r="B494" s="3" t="s">
        <v>675</v>
      </c>
      <c r="C494" s="4">
        <f>DATE(2024,8,20)+TIME(18,1,33)</f>
        <v>45524.751076388886</v>
      </c>
      <c r="F494" t="e">
        <f>VLOOKUP(Table1[[#This Row],[Company Name]],Sheet1!B:B,1,FALSE)</f>
        <v>#N/A</v>
      </c>
    </row>
    <row r="495" spans="1:6" ht="17">
      <c r="A495" s="6" t="s">
        <v>1438</v>
      </c>
      <c r="B495" s="6" t="s">
        <v>666</v>
      </c>
      <c r="C495" s="7">
        <f>DATE(2024,9,4)+TIME(19,43,36)</f>
        <v>45539.821944444448</v>
      </c>
      <c r="D495" s="8" t="s">
        <v>2002</v>
      </c>
      <c r="F495" t="e">
        <f>VLOOKUP(Table1[[#This Row],[Company Name]],Sheet1!B:B,1,FALSE)</f>
        <v>#N/A</v>
      </c>
    </row>
    <row r="496" spans="1:6" ht="17">
      <c r="A496" s="6" t="s">
        <v>2149</v>
      </c>
      <c r="B496" s="6" t="s">
        <v>1290</v>
      </c>
      <c r="C496" s="7">
        <f>DATE(2024,9,8)+TIME(15,52,35)</f>
        <v>45543.661516203705</v>
      </c>
      <c r="D496" s="8" t="s">
        <v>2002</v>
      </c>
      <c r="F496" t="e">
        <f>VLOOKUP(Table1[[#This Row],[Company Name]],Sheet1!B:B,1,FALSE)</f>
        <v>#N/A</v>
      </c>
    </row>
    <row r="497" spans="1:6" ht="17">
      <c r="A497" s="6" t="s">
        <v>399</v>
      </c>
      <c r="B497" s="6" t="s">
        <v>1442</v>
      </c>
      <c r="C497" s="7">
        <f>DATE(2024,9,20)+TIME(12,4,51)</f>
        <v>45555.503368055557</v>
      </c>
      <c r="D497" s="8" t="s">
        <v>2002</v>
      </c>
      <c r="E497" t="s">
        <v>1288</v>
      </c>
      <c r="F497" t="s">
        <v>61</v>
      </c>
    </row>
    <row r="498" spans="1:6" ht="17">
      <c r="A498" s="6" t="s">
        <v>399</v>
      </c>
      <c r="B498" s="6" t="s">
        <v>296</v>
      </c>
      <c r="C498" s="7">
        <f>DATE(2024,9,25)+TIME(12,39,23)</f>
        <v>45560.527349537035</v>
      </c>
      <c r="D498" s="8" t="s">
        <v>2002</v>
      </c>
      <c r="E498" t="s">
        <v>1288</v>
      </c>
      <c r="F498" t="s">
        <v>61</v>
      </c>
    </row>
    <row r="499" spans="1:6" ht="17">
      <c r="A499" s="6" t="s">
        <v>399</v>
      </c>
      <c r="B499" s="6" t="s">
        <v>2006</v>
      </c>
      <c r="C499" s="7">
        <f>DATE(2024,8,26)+TIME(14,26,21)</f>
        <v>45530.601631944446</v>
      </c>
      <c r="D499" s="8" t="s">
        <v>2002</v>
      </c>
      <c r="E499" t="s">
        <v>1288</v>
      </c>
      <c r="F499" t="s">
        <v>61</v>
      </c>
    </row>
    <row r="500" spans="1:6" ht="17">
      <c r="A500" s="6" t="s">
        <v>399</v>
      </c>
      <c r="B500" s="6" t="s">
        <v>2150</v>
      </c>
      <c r="C500" s="7">
        <f>DATE(2024,8,19)+TIME(13,56,13)</f>
        <v>45523.580706018518</v>
      </c>
      <c r="D500" s="8" t="s">
        <v>2002</v>
      </c>
      <c r="E500" t="s">
        <v>1288</v>
      </c>
      <c r="F500" t="s">
        <v>61</v>
      </c>
    </row>
    <row r="501" spans="1:6" ht="17">
      <c r="A501" s="6" t="s">
        <v>399</v>
      </c>
      <c r="B501" s="6" t="s">
        <v>216</v>
      </c>
      <c r="C501" s="7">
        <f>DATE(2024,9,24)+TIME(10,33,40)</f>
        <v>45559.440046296295</v>
      </c>
      <c r="D501" s="8" t="s">
        <v>2002</v>
      </c>
      <c r="E501" t="s">
        <v>1288</v>
      </c>
      <c r="F501" t="s">
        <v>61</v>
      </c>
    </row>
    <row r="502" spans="1:6" ht="17">
      <c r="A502" s="6" t="s">
        <v>399</v>
      </c>
      <c r="B502" s="6" t="s">
        <v>2151</v>
      </c>
      <c r="C502" s="7">
        <f>DATE(2024,9,6)+TIME(12,11,28)</f>
        <v>45541.507962962962</v>
      </c>
      <c r="D502" s="8" t="s">
        <v>2002</v>
      </c>
      <c r="E502" t="s">
        <v>1288</v>
      </c>
      <c r="F502" t="s">
        <v>61</v>
      </c>
    </row>
    <row r="503" spans="1:6" ht="17">
      <c r="A503" s="6" t="s">
        <v>399</v>
      </c>
      <c r="B503" s="6" t="s">
        <v>1044</v>
      </c>
      <c r="C503" s="7">
        <f>DATE(2024,9,19)+TIME(19,7,44)</f>
        <v>45554.797037037039</v>
      </c>
      <c r="D503" s="8" t="s">
        <v>2002</v>
      </c>
      <c r="E503" t="s">
        <v>1288</v>
      </c>
      <c r="F503" t="s">
        <v>61</v>
      </c>
    </row>
    <row r="504" spans="1:6" ht="17">
      <c r="A504" s="6" t="s">
        <v>399</v>
      </c>
      <c r="B504" s="6" t="s">
        <v>660</v>
      </c>
      <c r="C504" s="7">
        <f>DATE(2024,9,16)+TIME(8,54,45)</f>
        <v>45551.371354166666</v>
      </c>
      <c r="D504" s="8" t="s">
        <v>2002</v>
      </c>
      <c r="E504" t="s">
        <v>1288</v>
      </c>
      <c r="F504" t="s">
        <v>61</v>
      </c>
    </row>
    <row r="505" spans="1:6" ht="17">
      <c r="A505" s="6" t="s">
        <v>399</v>
      </c>
      <c r="B505" s="6" t="s">
        <v>2152</v>
      </c>
      <c r="C505" s="7">
        <f>DATE(2024,9,20)+TIME(6,30,16)</f>
        <v>45555.271018518521</v>
      </c>
      <c r="D505" s="8" t="s">
        <v>2002</v>
      </c>
      <c r="E505" t="s">
        <v>1288</v>
      </c>
      <c r="F505" t="s">
        <v>61</v>
      </c>
    </row>
    <row r="506" spans="1:6" ht="17">
      <c r="A506" s="6" t="s">
        <v>1445</v>
      </c>
      <c r="B506" s="6" t="s">
        <v>1446</v>
      </c>
      <c r="C506" s="7">
        <f>DATE(2024,9,5)+TIME(10,18,27)</f>
        <v>45540.429479166669</v>
      </c>
      <c r="D506" s="8" t="s">
        <v>2002</v>
      </c>
      <c r="F506" t="e">
        <f>VLOOKUP(Table1[[#This Row],[Company Name]],Sheet1!B:B,1,FALSE)</f>
        <v>#N/A</v>
      </c>
    </row>
    <row r="507" spans="1:6" ht="17">
      <c r="A507" s="6" t="s">
        <v>1445</v>
      </c>
      <c r="B507" s="6" t="s">
        <v>2153</v>
      </c>
      <c r="C507" s="7">
        <f>DATE(2024,9,5)+TIME(8,55,19)</f>
        <v>45540.371747685182</v>
      </c>
      <c r="D507" s="8" t="s">
        <v>2002</v>
      </c>
      <c r="F507" t="e">
        <f>VLOOKUP(Table1[[#This Row],[Company Name]],Sheet1!B:B,1,FALSE)</f>
        <v>#N/A</v>
      </c>
    </row>
    <row r="508" spans="1:6" ht="17">
      <c r="A508" s="6" t="s">
        <v>1449</v>
      </c>
      <c r="B508" s="6" t="s">
        <v>85</v>
      </c>
      <c r="C508" s="7">
        <f>DATE(2024,9,24)+TIME(9,29,56)</f>
        <v>45559.395787037036</v>
      </c>
      <c r="D508" s="8" t="s">
        <v>2002</v>
      </c>
      <c r="F508" t="e">
        <f>VLOOKUP(Table1[[#This Row],[Company Name]],Sheet1!B:B,1,FALSE)</f>
        <v>#N/A</v>
      </c>
    </row>
    <row r="509" spans="1:6" ht="17">
      <c r="A509" s="6" t="s">
        <v>1449</v>
      </c>
      <c r="B509" s="6" t="s">
        <v>2154</v>
      </c>
      <c r="C509" s="7">
        <f>DATE(2024,9,24)+TIME(9,35,40)</f>
        <v>45559.399768518517</v>
      </c>
      <c r="D509" s="8" t="s">
        <v>2002</v>
      </c>
      <c r="F509" t="e">
        <f>VLOOKUP(Table1[[#This Row],[Company Name]],Sheet1!B:B,1,FALSE)</f>
        <v>#N/A</v>
      </c>
    </row>
    <row r="510" spans="1:6" ht="17">
      <c r="A510" s="6" t="s">
        <v>1449</v>
      </c>
      <c r="B510" s="6" t="s">
        <v>1050</v>
      </c>
      <c r="C510" s="7">
        <f>DATE(2024,9,24)+TIME(7,23,37)</f>
        <v>45559.308067129627</v>
      </c>
      <c r="D510" s="8" t="s">
        <v>2002</v>
      </c>
      <c r="F510" t="e">
        <f>VLOOKUP(Table1[[#This Row],[Company Name]],Sheet1!B:B,1,FALSE)</f>
        <v>#N/A</v>
      </c>
    </row>
    <row r="511" spans="1:6" ht="17">
      <c r="A511" s="6" t="s">
        <v>1449</v>
      </c>
      <c r="B511" s="6" t="s">
        <v>2155</v>
      </c>
      <c r="C511" s="7">
        <f>DATE(2024,9,23)+TIME(12,12,43)</f>
        <v>45558.508831018517</v>
      </c>
      <c r="D511" s="8" t="s">
        <v>2002</v>
      </c>
      <c r="F511" t="e">
        <f>VLOOKUP(Table1[[#This Row],[Company Name]],Sheet1!B:B,1,FALSE)</f>
        <v>#N/A</v>
      </c>
    </row>
    <row r="512" spans="1:6" ht="17">
      <c r="A512" s="6" t="s">
        <v>2156</v>
      </c>
      <c r="B512" s="6" t="s">
        <v>2157</v>
      </c>
      <c r="C512" s="7">
        <f>DATE(2024,9,24)+TIME(14,29,38)</f>
        <v>45559.603912037041</v>
      </c>
      <c r="D512" s="8" t="s">
        <v>2002</v>
      </c>
      <c r="F512" t="e">
        <f>VLOOKUP(Table1[[#This Row],[Company Name]],Sheet1!B:B,1,FALSE)</f>
        <v>#N/A</v>
      </c>
    </row>
    <row r="513" spans="1:6" ht="17">
      <c r="A513" s="6" t="s">
        <v>1452</v>
      </c>
      <c r="B513" s="6" t="s">
        <v>1453</v>
      </c>
      <c r="C513" s="7">
        <f>DATE(2024,9,10)+TIME(13,59,36)</f>
        <v>45545.583055555559</v>
      </c>
      <c r="D513" s="8" t="s">
        <v>2002</v>
      </c>
      <c r="F513" t="e">
        <f>VLOOKUP(Table1[[#This Row],[Company Name]],Sheet1!B:B,1,FALSE)</f>
        <v>#N/A</v>
      </c>
    </row>
    <row r="514" spans="1:6" ht="17">
      <c r="A514" s="6" t="s">
        <v>2158</v>
      </c>
      <c r="B514" s="6" t="s">
        <v>2159</v>
      </c>
      <c r="C514" s="7">
        <f>DATE(2024,8,23)+TIME(7,42,25)</f>
        <v>45527.321122685185</v>
      </c>
      <c r="D514" s="8" t="s">
        <v>2002</v>
      </c>
      <c r="F514" t="e">
        <f>VLOOKUP(Table1[[#This Row],[Company Name]],Sheet1!B:B,1,FALSE)</f>
        <v>#N/A</v>
      </c>
    </row>
    <row r="515" spans="1:6" ht="17">
      <c r="A515" s="6" t="s">
        <v>409</v>
      </c>
      <c r="B515" s="6" t="s">
        <v>1456</v>
      </c>
      <c r="C515" s="7">
        <f>DATE(2024,7,2)+TIME(8,47,14)</f>
        <v>45475.36613425926</v>
      </c>
      <c r="D515" s="8" t="s">
        <v>2002</v>
      </c>
      <c r="F515" t="e">
        <f>VLOOKUP(Table1[[#This Row],[Company Name]],Sheet1!B:B,1,FALSE)</f>
        <v>#N/A</v>
      </c>
    </row>
    <row r="516" spans="1:6" ht="17">
      <c r="A516" s="6" t="s">
        <v>409</v>
      </c>
      <c r="B516" s="6" t="s">
        <v>410</v>
      </c>
      <c r="C516" s="7">
        <f>DATE(2024,6,18)+TIME(14,47,17)</f>
        <v>45461.616168981483</v>
      </c>
      <c r="D516" s="8" t="s">
        <v>2002</v>
      </c>
      <c r="F516" t="e">
        <f>VLOOKUP(Table1[[#This Row],[Company Name]],Sheet1!B:B,1,FALSE)</f>
        <v>#N/A</v>
      </c>
    </row>
    <row r="517" spans="1:6" ht="17">
      <c r="A517" s="6" t="s">
        <v>415</v>
      </c>
      <c r="B517" s="6" t="s">
        <v>1459</v>
      </c>
      <c r="C517" s="7">
        <f>DATE(2024,6,11)+TIME(7,23,44)</f>
        <v>45454.308148148149</v>
      </c>
      <c r="D517" s="8" t="s">
        <v>2002</v>
      </c>
      <c r="F517" t="e">
        <f>VLOOKUP(Table1[[#This Row],[Company Name]],Sheet1!B:B,1,FALSE)</f>
        <v>#N/A</v>
      </c>
    </row>
    <row r="518" spans="1:6" ht="17">
      <c r="A518" s="6" t="s">
        <v>415</v>
      </c>
      <c r="B518" s="6" t="s">
        <v>1953</v>
      </c>
      <c r="C518" s="7">
        <f>DATE(2024,6,20)+TIME(19,21,18)</f>
        <v>45463.806458333333</v>
      </c>
      <c r="D518" s="8" t="s">
        <v>2002</v>
      </c>
      <c r="F518" t="e">
        <f>VLOOKUP(Table1[[#This Row],[Company Name]],Sheet1!B:B,1,FALSE)</f>
        <v>#N/A</v>
      </c>
    </row>
    <row r="519" spans="1:6" ht="17">
      <c r="A519" s="6" t="s">
        <v>415</v>
      </c>
      <c r="B519" s="6" t="s">
        <v>2160</v>
      </c>
      <c r="C519" s="7">
        <f>DATE(2024,8,14)+TIME(9,30,41)</f>
        <v>45518.396307870367</v>
      </c>
      <c r="D519" s="8" t="s">
        <v>2002</v>
      </c>
      <c r="F519" t="e">
        <f>VLOOKUP(Table1[[#This Row],[Company Name]],Sheet1!B:B,1,FALSE)</f>
        <v>#N/A</v>
      </c>
    </row>
    <row r="520" spans="1:6" ht="17">
      <c r="A520" s="6" t="s">
        <v>2161</v>
      </c>
      <c r="B520" s="6" t="s">
        <v>2162</v>
      </c>
      <c r="C520" s="7">
        <f>DATE(2024,6,18)+TIME(14,4,55)</f>
        <v>45461.586747685185</v>
      </c>
      <c r="D520" s="8" t="s">
        <v>2002</v>
      </c>
      <c r="F520" t="e">
        <f>VLOOKUP(Table1[[#This Row],[Company Name]],Sheet1!B:B,1,FALSE)</f>
        <v>#N/A</v>
      </c>
    </row>
    <row r="521" spans="1:6" ht="17">
      <c r="A521" s="6" t="s">
        <v>2161</v>
      </c>
      <c r="B521" s="6" t="s">
        <v>2163</v>
      </c>
      <c r="C521" s="7">
        <f>DATE(2024,8,1)+TIME(14,27,41)</f>
        <v>45505.60255787037</v>
      </c>
      <c r="D521" s="8" t="s">
        <v>2002</v>
      </c>
      <c r="F521" t="e">
        <f>VLOOKUP(Table1[[#This Row],[Company Name]],Sheet1!B:B,1,FALSE)</f>
        <v>#N/A</v>
      </c>
    </row>
    <row r="522" spans="1:6" ht="17">
      <c r="A522" s="6" t="s">
        <v>2161</v>
      </c>
      <c r="B522" s="6" t="s">
        <v>2164</v>
      </c>
      <c r="C522" s="7">
        <f>DATE(2024,6,18)+TIME(13,47,38)</f>
        <v>45461.574745370373</v>
      </c>
      <c r="D522" s="8" t="s">
        <v>2002</v>
      </c>
      <c r="F522" t="e">
        <f>VLOOKUP(Table1[[#This Row],[Company Name]],Sheet1!B:B,1,FALSE)</f>
        <v>#N/A</v>
      </c>
    </row>
    <row r="523" spans="1:6" ht="17">
      <c r="A523" s="6" t="s">
        <v>2165</v>
      </c>
      <c r="B523" s="6" t="s">
        <v>2166</v>
      </c>
      <c r="C523" s="7">
        <f>DATE(2024,9,20)+TIME(10,38,48)</f>
        <v>45555.443611111114</v>
      </c>
      <c r="D523" s="8" t="s">
        <v>2002</v>
      </c>
      <c r="F523" t="e">
        <f>VLOOKUP(Table1[[#This Row],[Company Name]],Sheet1!B:B,1,FALSE)</f>
        <v>#N/A</v>
      </c>
    </row>
    <row r="524" spans="1:6" ht="17">
      <c r="A524" s="3" t="s">
        <v>424</v>
      </c>
      <c r="B524" s="3" t="s">
        <v>425</v>
      </c>
      <c r="C524" s="4">
        <f>DATE(2024,9,24)+TIME(17,10,22)</f>
        <v>45559.715532407405</v>
      </c>
      <c r="F524" t="e">
        <f>VLOOKUP(Table1[[#This Row],[Company Name]],Sheet1!B:B,1,FALSE)</f>
        <v>#N/A</v>
      </c>
    </row>
    <row r="525" spans="1:6" ht="17">
      <c r="A525" s="3" t="s">
        <v>1462</v>
      </c>
      <c r="B525" s="3" t="s">
        <v>1463</v>
      </c>
      <c r="C525" s="4">
        <f>DATE(2024,9,23)+TIME(10,49,14)</f>
        <v>45558.450856481482</v>
      </c>
      <c r="F525" t="e">
        <f>VLOOKUP(Table1[[#This Row],[Company Name]],Sheet1!B:B,1,FALSE)</f>
        <v>#N/A</v>
      </c>
    </row>
    <row r="526" spans="1:6" ht="17">
      <c r="A526" s="3" t="s">
        <v>1464</v>
      </c>
      <c r="B526" s="3" t="s">
        <v>1465</v>
      </c>
      <c r="C526" s="4">
        <f>DATE(2024,8,30)+TIME(12,34,9)</f>
        <v>45534.523715277777</v>
      </c>
      <c r="F526" t="e">
        <f>VLOOKUP(Table1[[#This Row],[Company Name]],Sheet1!B:B,1,FALSE)</f>
        <v>#N/A</v>
      </c>
    </row>
    <row r="527" spans="1:6" ht="17">
      <c r="A527" s="3" t="s">
        <v>432</v>
      </c>
      <c r="B527" s="3" t="s">
        <v>433</v>
      </c>
      <c r="C527" s="4">
        <f>DATE(2024,7,11)+TIME(1,58,55)</f>
        <v>45484.08258101852</v>
      </c>
      <c r="F527" t="e">
        <f>VLOOKUP(Table1[[#This Row],[Company Name]],Sheet1!B:B,1,FALSE)</f>
        <v>#N/A</v>
      </c>
    </row>
    <row r="528" spans="1:6" ht="17">
      <c r="A528" s="3" t="s">
        <v>1466</v>
      </c>
      <c r="B528" s="3" t="s">
        <v>271</v>
      </c>
      <c r="C528" s="4">
        <f>DATE(2024,9,21)+TIME(8,1,44)</f>
        <v>45556.334537037037</v>
      </c>
      <c r="F528" t="e">
        <f>VLOOKUP(Table1[[#This Row],[Company Name]],Sheet1!B:B,1,FALSE)</f>
        <v>#N/A</v>
      </c>
    </row>
    <row r="529" spans="1:6" ht="17">
      <c r="A529" s="6" t="s">
        <v>439</v>
      </c>
      <c r="B529" s="6" t="s">
        <v>440</v>
      </c>
      <c r="C529" s="7">
        <f>DATE(2024,9,15)+TIME(5,21,33)</f>
        <v>45550.223298611112</v>
      </c>
      <c r="D529" s="8" t="s">
        <v>2002</v>
      </c>
      <c r="F529" t="e">
        <f>VLOOKUP(Table1[[#This Row],[Company Name]],Sheet1!B:B,1,FALSE)</f>
        <v>#N/A</v>
      </c>
    </row>
    <row r="530" spans="1:6" ht="17">
      <c r="A530" s="3" t="s">
        <v>1469</v>
      </c>
      <c r="B530" s="3" t="s">
        <v>1470</v>
      </c>
      <c r="C530" s="4">
        <f>DATE(2024,9,26)+TIME(7,13,0)</f>
        <v>45561.300694444442</v>
      </c>
      <c r="F530" t="e">
        <f>VLOOKUP(Table1[[#This Row],[Company Name]],Sheet1!B:B,1,FALSE)</f>
        <v>#N/A</v>
      </c>
    </row>
    <row r="531" spans="1:6" ht="17">
      <c r="A531" s="3" t="s">
        <v>447</v>
      </c>
      <c r="B531" s="3" t="s">
        <v>1471</v>
      </c>
      <c r="C531" s="4">
        <f>DATE(2024,6,14)+TIME(15,33,13)</f>
        <v>45457.64806712963</v>
      </c>
      <c r="F531" t="e">
        <f>VLOOKUP(Table1[[#This Row],[Company Name]],Sheet1!B:B,1,FALSE)</f>
        <v>#N/A</v>
      </c>
    </row>
    <row r="532" spans="1:6" ht="17">
      <c r="A532" s="3" t="s">
        <v>1472</v>
      </c>
      <c r="B532" s="3" t="s">
        <v>1473</v>
      </c>
      <c r="C532" s="4">
        <f>DATE(2024,8,12)+TIME(22,19,6)</f>
        <v>45516.929930555554</v>
      </c>
      <c r="F532" t="e">
        <f>VLOOKUP(Table1[[#This Row],[Company Name]],Sheet1!B:B,1,FALSE)</f>
        <v>#N/A</v>
      </c>
    </row>
    <row r="533" spans="1:6" ht="17">
      <c r="A533" s="3" t="s">
        <v>1472</v>
      </c>
      <c r="B533" s="3" t="s">
        <v>85</v>
      </c>
      <c r="C533" s="4">
        <f>DATE(2024,9,13)+TIME(7,6,21)</f>
        <v>45548.296076388891</v>
      </c>
      <c r="F533" t="e">
        <f>VLOOKUP(Table1[[#This Row],[Company Name]],Sheet1!B:B,1,FALSE)</f>
        <v>#N/A</v>
      </c>
    </row>
    <row r="534" spans="1:6" ht="17">
      <c r="A534" s="3" t="s">
        <v>1474</v>
      </c>
      <c r="B534" s="3" t="s">
        <v>1475</v>
      </c>
      <c r="C534" s="4">
        <f>DATE(2024,8,30)+TIME(11,33,28)</f>
        <v>45534.481574074074</v>
      </c>
      <c r="F534" t="e">
        <f>VLOOKUP(Table1[[#This Row],[Company Name]],Sheet1!B:B,1,FALSE)</f>
        <v>#N/A</v>
      </c>
    </row>
    <row r="535" spans="1:6" ht="17">
      <c r="A535" s="3" t="s">
        <v>1476</v>
      </c>
      <c r="B535" s="3" t="s">
        <v>1477</v>
      </c>
      <c r="C535" s="4">
        <f>DATE(2024,8,6)+TIME(8,10,59)</f>
        <v>45510.340960648151</v>
      </c>
      <c r="F535" t="e">
        <f>VLOOKUP(Table1[[#This Row],[Company Name]],Sheet1!B:B,1,FALSE)</f>
        <v>#N/A</v>
      </c>
    </row>
    <row r="536" spans="1:6" ht="17">
      <c r="A536" s="3" t="s">
        <v>1478</v>
      </c>
      <c r="B536" s="3" t="s">
        <v>296</v>
      </c>
      <c r="C536" s="4">
        <f>DATE(2024,8,6)+TIME(9,44,19)</f>
        <v>45510.405775462961</v>
      </c>
      <c r="F536" t="e">
        <f>VLOOKUP(Table1[[#This Row],[Company Name]],Sheet1!B:B,1,FALSE)</f>
        <v>#N/A</v>
      </c>
    </row>
    <row r="537" spans="1:6" ht="17">
      <c r="A537" s="1" t="s">
        <v>1479</v>
      </c>
      <c r="B537" s="1" t="s">
        <v>296</v>
      </c>
      <c r="C537" s="2">
        <f>DATE(2024,7,24)+TIME(11,29,11)</f>
        <v>45497.47859953704</v>
      </c>
      <c r="F537" t="e">
        <f>VLOOKUP(Table1[[#This Row],[Company Name]],Sheet1!B:B,1,FALSE)</f>
        <v>#N/A</v>
      </c>
    </row>
    <row r="538" spans="1:6" ht="17">
      <c r="A538" s="6" t="s">
        <v>1480</v>
      </c>
      <c r="B538" s="6" t="s">
        <v>943</v>
      </c>
      <c r="C538" s="7">
        <f>DATE(2024,8,12)+TIME(11,48,31)</f>
        <v>45516.492025462961</v>
      </c>
      <c r="D538" s="8" t="s">
        <v>2002</v>
      </c>
      <c r="F538" t="e">
        <f>VLOOKUP(Table1[[#This Row],[Company Name]],Sheet1!B:B,1,FALSE)</f>
        <v>#N/A</v>
      </c>
    </row>
    <row r="539" spans="1:6" ht="17">
      <c r="A539" s="6" t="s">
        <v>1480</v>
      </c>
      <c r="B539" s="6" t="s">
        <v>2167</v>
      </c>
      <c r="C539" s="7">
        <f>DATE(2024,8,12)+TIME(11,48,31)</f>
        <v>45516.492025462961</v>
      </c>
      <c r="D539" s="8" t="s">
        <v>2002</v>
      </c>
      <c r="F539" t="e">
        <f>VLOOKUP(Table1[[#This Row],[Company Name]],Sheet1!B:B,1,FALSE)</f>
        <v>#N/A</v>
      </c>
    </row>
    <row r="540" spans="1:6" ht="17">
      <c r="A540" s="6" t="s">
        <v>1480</v>
      </c>
      <c r="B540" s="6" t="s">
        <v>2168</v>
      </c>
      <c r="C540" s="7">
        <f>DATE(2024,8,12)+TIME(11,48,31)</f>
        <v>45516.492025462961</v>
      </c>
      <c r="D540" s="8" t="s">
        <v>2002</v>
      </c>
      <c r="F540" t="e">
        <f>VLOOKUP(Table1[[#This Row],[Company Name]],Sheet1!B:B,1,FALSE)</f>
        <v>#N/A</v>
      </c>
    </row>
    <row r="541" spans="1:6" ht="17">
      <c r="A541" s="6" t="s">
        <v>1480</v>
      </c>
      <c r="B541" s="6" t="s">
        <v>2169</v>
      </c>
      <c r="C541" s="7">
        <f>DATE(2024,8,12)+TIME(11,48,32)</f>
        <v>45516.492037037038</v>
      </c>
      <c r="D541" s="8" t="s">
        <v>2002</v>
      </c>
      <c r="F541" t="e">
        <f>VLOOKUP(Table1[[#This Row],[Company Name]],Sheet1!B:B,1,FALSE)</f>
        <v>#N/A</v>
      </c>
    </row>
    <row r="542" spans="1:6" ht="17">
      <c r="A542" s="3" t="s">
        <v>454</v>
      </c>
      <c r="B542" s="3" t="s">
        <v>1482</v>
      </c>
      <c r="C542" s="4">
        <f>DATE(2024,6,4)+TIME(14,22,59)</f>
        <v>45447.599293981482</v>
      </c>
      <c r="F542" t="e">
        <f>VLOOKUP(Table1[[#This Row],[Company Name]],Sheet1!B:B,1,FALSE)</f>
        <v>#N/A</v>
      </c>
    </row>
    <row r="543" spans="1:6" ht="17">
      <c r="A543" s="1" t="s">
        <v>454</v>
      </c>
      <c r="B543" s="1" t="s">
        <v>344</v>
      </c>
      <c r="C543" s="2">
        <f>DATE(2024,6,3)+TIME(14,46,50)</f>
        <v>45446.615856481483</v>
      </c>
      <c r="F543" t="e">
        <f>VLOOKUP(Table1[[#This Row],[Company Name]],Sheet1!B:B,1,FALSE)</f>
        <v>#N/A</v>
      </c>
    </row>
    <row r="544" spans="1:6" ht="17">
      <c r="A544" s="1" t="s">
        <v>454</v>
      </c>
      <c r="B544" s="1" t="s">
        <v>344</v>
      </c>
      <c r="C544" s="2">
        <f>DATE(2024,6,10)+TIME(16,6,21)</f>
        <v>45453.671076388891</v>
      </c>
      <c r="F544" t="e">
        <f>VLOOKUP(Table1[[#This Row],[Company Name]],Sheet1!B:B,1,FALSE)</f>
        <v>#N/A</v>
      </c>
    </row>
    <row r="545" spans="1:6" ht="17">
      <c r="A545" s="1" t="s">
        <v>1483</v>
      </c>
      <c r="B545" s="1" t="s">
        <v>1484</v>
      </c>
      <c r="C545" s="2">
        <f>DATE(2024,6,3)+TIME(19,17,45)</f>
        <v>45446.803993055553</v>
      </c>
      <c r="F545" t="e">
        <f>VLOOKUP(Table1[[#This Row],[Company Name]],Sheet1!B:B,1,FALSE)</f>
        <v>#N/A</v>
      </c>
    </row>
    <row r="546" spans="1:6" ht="17">
      <c r="A546" s="6" t="s">
        <v>1485</v>
      </c>
      <c r="B546" s="6" t="s">
        <v>1254</v>
      </c>
      <c r="C546" s="7">
        <f>DATE(2024,9,25)+TIME(1,3,7)</f>
        <v>45560.04383101852</v>
      </c>
      <c r="D546" s="8" t="s">
        <v>2002</v>
      </c>
      <c r="F546" t="e">
        <f>VLOOKUP(Table1[[#This Row],[Company Name]],Sheet1!B:B,1,FALSE)</f>
        <v>#N/A</v>
      </c>
    </row>
    <row r="547" spans="1:6" ht="17">
      <c r="A547" s="3" t="s">
        <v>460</v>
      </c>
      <c r="B547" s="3" t="s">
        <v>461</v>
      </c>
      <c r="C547" s="4">
        <f>DATE(2024,6,25)+TIME(14,44,27)</f>
        <v>45468.614201388889</v>
      </c>
      <c r="F547" t="e">
        <f>VLOOKUP(Table1[[#This Row],[Company Name]],Sheet1!B:B,1,FALSE)</f>
        <v>#N/A</v>
      </c>
    </row>
    <row r="548" spans="1:6" ht="17">
      <c r="A548" s="3" t="s">
        <v>1489</v>
      </c>
      <c r="B548" s="3" t="s">
        <v>1490</v>
      </c>
      <c r="C548" s="4">
        <f>DATE(2024,9,3)+TIME(14,33,6)</f>
        <v>45538.606319444443</v>
      </c>
      <c r="F548" t="e">
        <f>VLOOKUP(Table1[[#This Row],[Company Name]],Sheet1!B:B,1,FALSE)</f>
        <v>#N/A</v>
      </c>
    </row>
    <row r="549" spans="1:6" ht="17">
      <c r="A549" s="3" t="s">
        <v>1489</v>
      </c>
      <c r="B549" s="3" t="s">
        <v>2170</v>
      </c>
      <c r="C549" s="4">
        <f>DATE(2024,9,3)+TIME(14,33,5)</f>
        <v>45538.606307870374</v>
      </c>
      <c r="F549" t="e">
        <f>VLOOKUP(Table1[[#This Row],[Company Name]],Sheet1!B:B,1,FALSE)</f>
        <v>#N/A</v>
      </c>
    </row>
    <row r="550" spans="1:6" ht="17">
      <c r="A550" s="3" t="s">
        <v>1491</v>
      </c>
      <c r="B550" s="3" t="s">
        <v>1492</v>
      </c>
      <c r="C550" s="4">
        <f>DATE(2024,8,1)+TIME(8,50,17)</f>
        <v>45505.368252314816</v>
      </c>
      <c r="F550" t="e">
        <f>VLOOKUP(Table1[[#This Row],[Company Name]],Sheet1!B:B,1,FALSE)</f>
        <v>#N/A</v>
      </c>
    </row>
    <row r="551" spans="1:6" ht="17">
      <c r="A551" s="3" t="s">
        <v>1493</v>
      </c>
      <c r="B551" s="3" t="s">
        <v>1386</v>
      </c>
      <c r="C551" s="4">
        <f>DATE(2024,8,13)+TIME(15,38,58)</f>
        <v>45517.652060185188</v>
      </c>
      <c r="F551" t="e">
        <f>VLOOKUP(Table1[[#This Row],[Company Name]],Sheet1!B:B,1,FALSE)</f>
        <v>#N/A</v>
      </c>
    </row>
    <row r="552" spans="1:6" ht="17">
      <c r="A552" s="1" t="s">
        <v>469</v>
      </c>
      <c r="B552" s="1" t="s">
        <v>296</v>
      </c>
      <c r="C552" s="2">
        <f>DATE(2024,9,27)+TIME(6,35,6)</f>
        <v>45562.274375000001</v>
      </c>
      <c r="E552" s="15" t="s">
        <v>1135</v>
      </c>
      <c r="F552" t="s">
        <v>61</v>
      </c>
    </row>
    <row r="553" spans="1:6" ht="17">
      <c r="A553" s="1" t="s">
        <v>469</v>
      </c>
      <c r="B553" s="1" t="s">
        <v>470</v>
      </c>
      <c r="C553" s="2">
        <f>DATE(2024,9,19)+TIME(18,17,43)</f>
        <v>45554.762303240743</v>
      </c>
      <c r="E553" s="15" t="s">
        <v>1135</v>
      </c>
      <c r="F553" t="s">
        <v>61</v>
      </c>
    </row>
    <row r="554" spans="1:6" ht="17">
      <c r="A554" s="1" t="s">
        <v>1494</v>
      </c>
      <c r="B554" s="1" t="s">
        <v>1495</v>
      </c>
      <c r="C554" s="2">
        <f>DATE(2024,9,23)+TIME(17,59,56)</f>
        <v>45558.7499537037</v>
      </c>
      <c r="F554" t="e">
        <f>VLOOKUP(Table1[[#This Row],[Company Name]],Sheet1!B:B,1,FALSE)</f>
        <v>#N/A</v>
      </c>
    </row>
    <row r="555" spans="1:6" ht="17">
      <c r="A555" s="6" t="s">
        <v>1496</v>
      </c>
      <c r="B555" s="6" t="s">
        <v>1497</v>
      </c>
      <c r="C555" s="7">
        <f>DATE(2024,7,22)+TIME(13,55,15)</f>
        <v>45495.580034722225</v>
      </c>
      <c r="D555" s="8" t="s">
        <v>2002</v>
      </c>
      <c r="F555" t="e">
        <f>VLOOKUP(Table1[[#This Row],[Company Name]],Sheet1!B:B,1,FALSE)</f>
        <v>#N/A</v>
      </c>
    </row>
    <row r="556" spans="1:6" ht="17">
      <c r="A556" s="6" t="s">
        <v>1496</v>
      </c>
      <c r="B556" s="6" t="s">
        <v>2171</v>
      </c>
      <c r="C556" s="7">
        <f>DATE(2024,8,23)+TIME(10,16,45)</f>
        <v>45527.428298611114</v>
      </c>
      <c r="D556" s="8" t="s">
        <v>2002</v>
      </c>
      <c r="F556" t="e">
        <f>VLOOKUP(Table1[[#This Row],[Company Name]],Sheet1!B:B,1,FALSE)</f>
        <v>#N/A</v>
      </c>
    </row>
    <row r="557" spans="1:6" ht="17">
      <c r="A557" s="6" t="s">
        <v>1496</v>
      </c>
      <c r="B557" s="6" t="s">
        <v>2172</v>
      </c>
      <c r="C557" s="7">
        <f>DATE(2024,8,22)+TIME(12,15,42)</f>
        <v>45526.51090277778</v>
      </c>
      <c r="D557" s="8" t="s">
        <v>2002</v>
      </c>
      <c r="F557" t="e">
        <f>VLOOKUP(Table1[[#This Row],[Company Name]],Sheet1!B:B,1,FALSE)</f>
        <v>#N/A</v>
      </c>
    </row>
    <row r="558" spans="1:6" ht="17">
      <c r="A558" s="3" t="s">
        <v>478</v>
      </c>
      <c r="B558" s="3" t="s">
        <v>344</v>
      </c>
      <c r="C558" s="4">
        <f>DATE(2024,6,18)+TIME(13,38,37)</f>
        <v>45461.568483796298</v>
      </c>
      <c r="F558" t="e">
        <f>VLOOKUP(Table1[[#This Row],[Company Name]],Sheet1!B:B,1,FALSE)</f>
        <v>#N/A</v>
      </c>
    </row>
    <row r="559" spans="1:6" ht="17">
      <c r="A559" s="3" t="s">
        <v>1500</v>
      </c>
      <c r="B559" s="3" t="s">
        <v>1261</v>
      </c>
      <c r="C559" s="4">
        <f>DATE(2024,9,4)+TIME(12,49,20)</f>
        <v>45539.534259259257</v>
      </c>
      <c r="F559" t="e">
        <f>VLOOKUP(Table1[[#This Row],[Company Name]],Sheet1!B:B,1,FALSE)</f>
        <v>#N/A</v>
      </c>
    </row>
    <row r="560" spans="1:6" ht="34">
      <c r="A560" s="6" t="s">
        <v>1501</v>
      </c>
      <c r="B560" s="6" t="s">
        <v>1502</v>
      </c>
      <c r="C560" s="7">
        <f>DATE(2024,9,14)+TIME(2,55,6)</f>
        <v>45549.12159722222</v>
      </c>
      <c r="D560" s="8" t="s">
        <v>2002</v>
      </c>
      <c r="F560" t="e">
        <f>VLOOKUP(Table1[[#This Row],[Company Name]],Sheet1!B:B,1,FALSE)</f>
        <v>#N/A</v>
      </c>
    </row>
    <row r="561" spans="1:6" ht="17">
      <c r="A561" s="6" t="s">
        <v>1506</v>
      </c>
      <c r="B561" s="6" t="s">
        <v>1507</v>
      </c>
      <c r="C561" s="7">
        <f>DATE(2024,7,2)+TIME(10,26,19)</f>
        <v>45475.434942129628</v>
      </c>
      <c r="D561" s="8" t="s">
        <v>2002</v>
      </c>
      <c r="F561" t="e">
        <f>VLOOKUP(Table1[[#This Row],[Company Name]],Sheet1!B:B,1,FALSE)</f>
        <v>#N/A</v>
      </c>
    </row>
    <row r="562" spans="1:6" ht="17">
      <c r="A562" s="6" t="s">
        <v>1508</v>
      </c>
      <c r="B562" s="6" t="s">
        <v>1509</v>
      </c>
      <c r="C562" s="7">
        <f>DATE(2024,9,20)+TIME(12,38,15)</f>
        <v>45555.526562500003</v>
      </c>
      <c r="D562" s="8" t="s">
        <v>2002</v>
      </c>
      <c r="F562" t="e">
        <f>VLOOKUP(Table1[[#This Row],[Company Name]],Sheet1!B:B,1,FALSE)</f>
        <v>#N/A</v>
      </c>
    </row>
    <row r="563" spans="1:6" ht="17">
      <c r="A563" s="6" t="s">
        <v>1508</v>
      </c>
      <c r="B563" s="6" t="s">
        <v>2173</v>
      </c>
      <c r="C563" s="7">
        <f>DATE(2024,9,13)+TIME(12,19,42)</f>
        <v>45548.513680555552</v>
      </c>
      <c r="D563" s="8" t="s">
        <v>2002</v>
      </c>
      <c r="F563" t="e">
        <f>VLOOKUP(Table1[[#This Row],[Company Name]],Sheet1!B:B,1,FALSE)</f>
        <v>#N/A</v>
      </c>
    </row>
    <row r="564" spans="1:6" ht="17">
      <c r="A564" s="6" t="s">
        <v>1508</v>
      </c>
      <c r="B564" s="6" t="s">
        <v>1887</v>
      </c>
      <c r="C564" s="7">
        <f>DATE(2024,9,19)+TIME(7,50,1)</f>
        <v>45554.32640046296</v>
      </c>
      <c r="D564" s="8" t="s">
        <v>2002</v>
      </c>
      <c r="F564" t="e">
        <f>VLOOKUP(Table1[[#This Row],[Company Name]],Sheet1!B:B,1,FALSE)</f>
        <v>#N/A</v>
      </c>
    </row>
    <row r="565" spans="1:6" ht="17">
      <c r="A565" s="1" t="s">
        <v>489</v>
      </c>
      <c r="B565" s="1" t="s">
        <v>490</v>
      </c>
      <c r="C565" s="2">
        <f>DATE(2024,6,10)+TIME(7,26,3)</f>
        <v>45453.309756944444</v>
      </c>
      <c r="E565" s="15" t="s">
        <v>1510</v>
      </c>
      <c r="F565" t="s">
        <v>61</v>
      </c>
    </row>
    <row r="566" spans="1:6" ht="17">
      <c r="A566" s="1" t="s">
        <v>489</v>
      </c>
      <c r="B566" s="1" t="s">
        <v>2174</v>
      </c>
      <c r="C566" s="2">
        <f>DATE(2024,8,19)+TIME(5,21,7)</f>
        <v>45523.222997685189</v>
      </c>
      <c r="E566" s="15" t="s">
        <v>1510</v>
      </c>
      <c r="F566" t="s">
        <v>61</v>
      </c>
    </row>
    <row r="567" spans="1:6" ht="17">
      <c r="A567" s="1" t="s">
        <v>1511</v>
      </c>
      <c r="B567" s="1" t="s">
        <v>1512</v>
      </c>
      <c r="C567" s="2">
        <f>DATE(2024,6,25)+TIME(8,55,41)</f>
        <v>45468.372002314813</v>
      </c>
      <c r="F567" t="e">
        <f>VLOOKUP(Table1[[#This Row],[Company Name]],Sheet1!B:B,1,FALSE)</f>
        <v>#N/A</v>
      </c>
    </row>
    <row r="568" spans="1:6" ht="17">
      <c r="A568" s="3" t="s">
        <v>1513</v>
      </c>
      <c r="B568" s="3" t="s">
        <v>1514</v>
      </c>
      <c r="C568" s="4">
        <f>DATE(2024,7,18)+TIME(8,31,10)</f>
        <v>45491.35497685185</v>
      </c>
      <c r="F568" t="e">
        <f>VLOOKUP(Table1[[#This Row],[Company Name]],Sheet1!B:B,1,FALSE)</f>
        <v>#N/A</v>
      </c>
    </row>
    <row r="569" spans="1:6" ht="17">
      <c r="A569" s="1" t="s">
        <v>1515</v>
      </c>
      <c r="B569" s="1" t="s">
        <v>1516</v>
      </c>
      <c r="C569" s="2">
        <f>DATE(2024,7,29)+TIME(10,52,45)</f>
        <v>45502.453298611108</v>
      </c>
      <c r="F569" t="e">
        <f>VLOOKUP(Table1[[#This Row],[Company Name]],Sheet1!B:B,1,FALSE)</f>
        <v>#N/A</v>
      </c>
    </row>
    <row r="570" spans="1:6" ht="17">
      <c r="A570" s="6" t="s">
        <v>1520</v>
      </c>
      <c r="B570" s="6" t="s">
        <v>1521</v>
      </c>
      <c r="C570" s="7">
        <f>DATE(2024,7,30)+TIME(6,56,49)</f>
        <v>45503.289456018516</v>
      </c>
      <c r="D570" s="8" t="s">
        <v>2002</v>
      </c>
      <c r="F570" t="e">
        <f>VLOOKUP(Table1[[#This Row],[Company Name]],Sheet1!B:B,1,FALSE)</f>
        <v>#N/A</v>
      </c>
    </row>
    <row r="571" spans="1:6" ht="17">
      <c r="A571" s="6" t="s">
        <v>496</v>
      </c>
      <c r="B571" s="6" t="s">
        <v>497</v>
      </c>
      <c r="C571" s="7">
        <f>DATE(2024,9,26)+TIME(8,15,46)</f>
        <v>45561.344282407408</v>
      </c>
      <c r="D571" s="8" t="s">
        <v>2002</v>
      </c>
      <c r="F571" t="e">
        <f>VLOOKUP(Table1[[#This Row],[Company Name]],Sheet1!B:B,1,FALSE)</f>
        <v>#N/A</v>
      </c>
    </row>
    <row r="572" spans="1:6" ht="17">
      <c r="A572" s="6" t="s">
        <v>1980</v>
      </c>
      <c r="B572" s="6" t="s">
        <v>2175</v>
      </c>
      <c r="C572" s="7">
        <f>DATE(2024,9,26)+TIME(12,26,38)</f>
        <v>45561.518495370372</v>
      </c>
      <c r="D572" s="8" t="s">
        <v>2002</v>
      </c>
      <c r="F572" t="e">
        <f>VLOOKUP(Table1[[#This Row],[Company Name]],Sheet1!B:B,1,FALSE)</f>
        <v>#N/A</v>
      </c>
    </row>
    <row r="573" spans="1:6" ht="17">
      <c r="A573" s="6" t="s">
        <v>496</v>
      </c>
      <c r="B573" s="6" t="s">
        <v>2176</v>
      </c>
      <c r="C573" s="7">
        <f>DATE(2024,8,7)+TIME(10,13,33)</f>
        <v>45511.426076388889</v>
      </c>
      <c r="D573" s="8" t="s">
        <v>2002</v>
      </c>
      <c r="F573" t="e">
        <f>VLOOKUP(Table1[[#This Row],[Company Name]],Sheet1!B:B,1,FALSE)</f>
        <v>#N/A</v>
      </c>
    </row>
    <row r="574" spans="1:6" ht="17">
      <c r="A574" s="6" t="s">
        <v>1980</v>
      </c>
      <c r="B574" s="6"/>
      <c r="C574" s="7">
        <f>DATE(2024,9,3)+TIME(8,40,15)</f>
        <v>45538.361284722225</v>
      </c>
      <c r="D574" s="8" t="s">
        <v>2002</v>
      </c>
      <c r="F574" t="e">
        <f>VLOOKUP(Table1[[#This Row],[Company Name]],Sheet1!B:B,1,FALSE)</f>
        <v>#N/A</v>
      </c>
    </row>
    <row r="575" spans="1:6" ht="17">
      <c r="A575" s="6" t="s">
        <v>1980</v>
      </c>
      <c r="B575" s="6" t="s">
        <v>2177</v>
      </c>
      <c r="C575" s="7">
        <f>DATE(2024,9,3)+TIME(8,40,15)</f>
        <v>45538.361284722225</v>
      </c>
      <c r="D575" s="8" t="s">
        <v>2002</v>
      </c>
      <c r="F575" t="e">
        <f>VLOOKUP(Table1[[#This Row],[Company Name]],Sheet1!B:B,1,FALSE)</f>
        <v>#N/A</v>
      </c>
    </row>
    <row r="576" spans="1:6" ht="17">
      <c r="A576" s="6" t="s">
        <v>1980</v>
      </c>
      <c r="B576" s="6"/>
      <c r="C576" s="7">
        <f>DATE(2024,9,3)+TIME(8,40,16)</f>
        <v>45538.361296296294</v>
      </c>
      <c r="D576" s="8" t="s">
        <v>2002</v>
      </c>
      <c r="F576" t="e">
        <f>VLOOKUP(Table1[[#This Row],[Company Name]],Sheet1!B:B,1,FALSE)</f>
        <v>#N/A</v>
      </c>
    </row>
    <row r="577" spans="1:6" ht="17">
      <c r="A577" s="6" t="s">
        <v>1980</v>
      </c>
      <c r="B577" s="6"/>
      <c r="C577" s="7">
        <f>DATE(2024,9,3)+TIME(8,40,15)</f>
        <v>45538.361284722225</v>
      </c>
      <c r="D577" s="8" t="s">
        <v>2002</v>
      </c>
      <c r="F577" t="e">
        <f>VLOOKUP(Table1[[#This Row],[Company Name]],Sheet1!B:B,1,FALSE)</f>
        <v>#N/A</v>
      </c>
    </row>
    <row r="578" spans="1:6" ht="17">
      <c r="A578" s="6" t="s">
        <v>1980</v>
      </c>
      <c r="B578" s="6"/>
      <c r="C578" s="7">
        <f>DATE(2024,9,3)+TIME(8,40,14)</f>
        <v>45538.361273148148</v>
      </c>
      <c r="D578" s="8" t="s">
        <v>2002</v>
      </c>
      <c r="F578" t="e">
        <f>VLOOKUP(Table1[[#This Row],[Company Name]],Sheet1!B:B,1,FALSE)</f>
        <v>#N/A</v>
      </c>
    </row>
    <row r="579" spans="1:6" ht="17">
      <c r="A579" s="6" t="s">
        <v>1980</v>
      </c>
      <c r="B579" s="6" t="s">
        <v>2178</v>
      </c>
      <c r="C579" s="7">
        <f>DATE(2024,9,3)+TIME(8,40,14)</f>
        <v>45538.361273148148</v>
      </c>
      <c r="D579" s="8" t="s">
        <v>2002</v>
      </c>
      <c r="F579" t="e">
        <f>VLOOKUP(Table1[[#This Row],[Company Name]],Sheet1!B:B,1,FALSE)</f>
        <v>#N/A</v>
      </c>
    </row>
    <row r="580" spans="1:6" ht="17">
      <c r="A580" s="6" t="s">
        <v>1980</v>
      </c>
      <c r="B580" s="6" t="s">
        <v>1996</v>
      </c>
      <c r="C580" s="7">
        <f>DATE(2024,9,3)+TIME(8,40,14)</f>
        <v>45538.361273148148</v>
      </c>
      <c r="D580" s="8" t="s">
        <v>2002</v>
      </c>
      <c r="F580" t="e">
        <f>VLOOKUP(Table1[[#This Row],[Company Name]],Sheet1!B:B,1,FALSE)</f>
        <v>#N/A</v>
      </c>
    </row>
    <row r="581" spans="1:6" ht="17">
      <c r="A581" s="6" t="s">
        <v>1526</v>
      </c>
      <c r="B581" s="6" t="s">
        <v>1527</v>
      </c>
      <c r="C581" s="7">
        <f>DATE(2024,8,29)+TIME(15,30,38)</f>
        <v>45533.646273148152</v>
      </c>
      <c r="D581" s="8" t="s">
        <v>2002</v>
      </c>
      <c r="F581" t="e">
        <f>VLOOKUP(Table1[[#This Row],[Company Name]],Sheet1!B:B,1,FALSE)</f>
        <v>#N/A</v>
      </c>
    </row>
    <row r="582" spans="1:6" ht="34">
      <c r="A582" s="6" t="s">
        <v>1526</v>
      </c>
      <c r="B582" s="6" t="s">
        <v>2179</v>
      </c>
      <c r="C582" s="7">
        <f>DATE(2024,8,29)+TIME(16,1,57)</f>
        <v>45533.668020833335</v>
      </c>
      <c r="D582" s="8" t="s">
        <v>2002</v>
      </c>
      <c r="F582" t="e">
        <f>VLOOKUP(Table1[[#This Row],[Company Name]],Sheet1!B:B,1,FALSE)</f>
        <v>#N/A</v>
      </c>
    </row>
    <row r="583" spans="1:6" ht="17">
      <c r="A583" s="6" t="s">
        <v>1526</v>
      </c>
      <c r="B583" s="6" t="s">
        <v>2180</v>
      </c>
      <c r="C583" s="7">
        <f>DATE(2024,8,13)+TIME(8,3,30)</f>
        <v>45517.335763888892</v>
      </c>
      <c r="D583" s="8" t="s">
        <v>2002</v>
      </c>
      <c r="F583" t="e">
        <f>VLOOKUP(Table1[[#This Row],[Company Name]],Sheet1!B:B,1,FALSE)</f>
        <v>#N/A</v>
      </c>
    </row>
    <row r="584" spans="1:6" ht="17">
      <c r="A584" s="6" t="s">
        <v>1526</v>
      </c>
      <c r="B584" s="6" t="s">
        <v>2181</v>
      </c>
      <c r="C584" s="7">
        <f>DATE(2024,8,29)+TIME(15,22,7)</f>
        <v>45533.6403587963</v>
      </c>
      <c r="D584" s="8" t="s">
        <v>2002</v>
      </c>
      <c r="F584" t="e">
        <f>VLOOKUP(Table1[[#This Row],[Company Name]],Sheet1!B:B,1,FALSE)</f>
        <v>#N/A</v>
      </c>
    </row>
    <row r="585" spans="1:6" ht="17">
      <c r="A585" s="6" t="s">
        <v>504</v>
      </c>
      <c r="B585" s="6" t="s">
        <v>1529</v>
      </c>
      <c r="C585" s="7">
        <f>DATE(2024,9,16)+TIME(14,6,42)</f>
        <v>45551.58798611111</v>
      </c>
      <c r="D585" s="8" t="s">
        <v>2002</v>
      </c>
      <c r="F585" t="e">
        <f>VLOOKUP(Table1[[#This Row],[Company Name]],Sheet1!B:B,1,FALSE)</f>
        <v>#N/A</v>
      </c>
    </row>
    <row r="586" spans="1:6" ht="17">
      <c r="A586" s="6" t="s">
        <v>504</v>
      </c>
      <c r="B586" s="6" t="s">
        <v>1529</v>
      </c>
      <c r="C586" s="7">
        <f>DATE(2024,9,16)+TIME(14,6,42)</f>
        <v>45551.58798611111</v>
      </c>
      <c r="D586" s="8" t="s">
        <v>2002</v>
      </c>
      <c r="F586" t="e">
        <f>VLOOKUP(Table1[[#This Row],[Company Name]],Sheet1!B:B,1,FALSE)</f>
        <v>#N/A</v>
      </c>
    </row>
    <row r="587" spans="1:6" ht="17">
      <c r="A587" s="6" t="s">
        <v>504</v>
      </c>
      <c r="B587" s="6" t="s">
        <v>505</v>
      </c>
      <c r="C587" s="7">
        <f>DATE(2024,9,16)+TIME(6,30,47)</f>
        <v>45551.271377314813</v>
      </c>
      <c r="D587" s="8" t="s">
        <v>2002</v>
      </c>
      <c r="F587" t="e">
        <f>VLOOKUP(Table1[[#This Row],[Company Name]],Sheet1!B:B,1,FALSE)</f>
        <v>#N/A</v>
      </c>
    </row>
    <row r="588" spans="1:6" ht="17">
      <c r="A588" s="6" t="s">
        <v>504</v>
      </c>
      <c r="B588" s="6" t="s">
        <v>264</v>
      </c>
      <c r="C588" s="7">
        <f>DATE(2024,8,26)+TIME(19,58,7)</f>
        <v>45530.832025462965</v>
      </c>
      <c r="D588" s="8" t="s">
        <v>2002</v>
      </c>
      <c r="F588" t="e">
        <f>VLOOKUP(Table1[[#This Row],[Company Name]],Sheet1!B:B,1,FALSE)</f>
        <v>#N/A</v>
      </c>
    </row>
    <row r="589" spans="1:6" ht="17">
      <c r="A589" s="3" t="s">
        <v>1531</v>
      </c>
      <c r="B589" s="3" t="s">
        <v>1532</v>
      </c>
      <c r="C589" s="4">
        <f>DATE(2024,6,27)+TIME(13,22,59)</f>
        <v>45470.557627314818</v>
      </c>
      <c r="F589" t="e">
        <f>VLOOKUP(Table1[[#This Row],[Company Name]],Sheet1!B:B,1,FALSE)</f>
        <v>#N/A</v>
      </c>
    </row>
    <row r="590" spans="1:6" ht="17">
      <c r="A590" s="1" t="s">
        <v>1533</v>
      </c>
      <c r="B590" s="1" t="s">
        <v>1386</v>
      </c>
      <c r="C590" s="2">
        <f>DATE(2024,6,26)+TIME(11,16,41)</f>
        <v>45469.469918981478</v>
      </c>
      <c r="F590" t="e">
        <f>VLOOKUP(Table1[[#This Row],[Company Name]],Sheet1!B:B,1,FALSE)</f>
        <v>#N/A</v>
      </c>
    </row>
    <row r="591" spans="1:6" ht="17">
      <c r="A591" s="1" t="s">
        <v>1534</v>
      </c>
      <c r="B591" s="1" t="s">
        <v>344</v>
      </c>
      <c r="C591" s="2">
        <f>DATE(2024,8,22)+TIME(7,10,0)</f>
        <v>45526.298611111109</v>
      </c>
      <c r="E591" s="15" t="s">
        <v>1040</v>
      </c>
      <c r="F591" t="s">
        <v>61</v>
      </c>
    </row>
    <row r="592" spans="1:6" ht="17">
      <c r="A592" s="6" t="s">
        <v>510</v>
      </c>
      <c r="B592" s="6" t="s">
        <v>511</v>
      </c>
      <c r="C592" s="7">
        <f>DATE(2024,8,23)+TIME(6,33,39)</f>
        <v>45527.273368055554</v>
      </c>
      <c r="D592" s="8" t="s">
        <v>2002</v>
      </c>
      <c r="E592" s="15" t="s">
        <v>1535</v>
      </c>
      <c r="F592" t="s">
        <v>61</v>
      </c>
    </row>
    <row r="593" spans="1:6" ht="34">
      <c r="A593" s="6" t="s">
        <v>518</v>
      </c>
      <c r="B593" s="6" t="s">
        <v>1538</v>
      </c>
      <c r="C593" s="7">
        <f>DATE(2024,7,9)+TIME(10,50,59)</f>
        <v>45482.45207175926</v>
      </c>
      <c r="D593" s="8" t="s">
        <v>2002</v>
      </c>
      <c r="E593" s="15" t="s">
        <v>1040</v>
      </c>
      <c r="F593" t="s">
        <v>61</v>
      </c>
    </row>
    <row r="594" spans="1:6" ht="17">
      <c r="A594" s="6" t="s">
        <v>518</v>
      </c>
      <c r="B594" s="6" t="s">
        <v>2182</v>
      </c>
      <c r="C594" s="7">
        <f>DATE(2024,9,11)+TIME(9,10,3)</f>
        <v>45546.381979166668</v>
      </c>
      <c r="D594" s="8" t="s">
        <v>2002</v>
      </c>
      <c r="E594" s="15" t="s">
        <v>1040</v>
      </c>
      <c r="F594" t="s">
        <v>61</v>
      </c>
    </row>
    <row r="595" spans="1:6" ht="17">
      <c r="A595" s="6" t="s">
        <v>518</v>
      </c>
      <c r="B595" s="6" t="s">
        <v>2183</v>
      </c>
      <c r="C595" s="7">
        <f>DATE(2024,9,3)+TIME(7,38,29)</f>
        <v>45538.318391203706</v>
      </c>
      <c r="D595" s="8" t="s">
        <v>2002</v>
      </c>
      <c r="E595" s="15" t="s">
        <v>1040</v>
      </c>
      <c r="F595" t="s">
        <v>61</v>
      </c>
    </row>
    <row r="596" spans="1:6" ht="17">
      <c r="A596" s="6" t="s">
        <v>518</v>
      </c>
      <c r="B596" s="6" t="s">
        <v>296</v>
      </c>
      <c r="C596" s="7">
        <f>DATE(2024,9,17)+TIME(7,27,38)</f>
        <v>45552.310856481483</v>
      </c>
      <c r="D596" s="8" t="s">
        <v>2002</v>
      </c>
      <c r="E596" s="15" t="s">
        <v>1040</v>
      </c>
      <c r="F596" t="s">
        <v>61</v>
      </c>
    </row>
    <row r="597" spans="1:6" ht="17">
      <c r="A597" s="6" t="s">
        <v>518</v>
      </c>
      <c r="B597" s="6" t="s">
        <v>296</v>
      </c>
      <c r="C597" s="7">
        <f>DATE(2024,8,8)+TIME(9,4,17)</f>
        <v>45512.377974537034</v>
      </c>
      <c r="D597" s="8" t="s">
        <v>2002</v>
      </c>
      <c r="E597" s="15" t="s">
        <v>1040</v>
      </c>
      <c r="F597" t="s">
        <v>61</v>
      </c>
    </row>
    <row r="598" spans="1:6" ht="34">
      <c r="A598" s="6" t="s">
        <v>518</v>
      </c>
      <c r="B598" s="6" t="s">
        <v>2184</v>
      </c>
      <c r="C598" s="7">
        <f>DATE(2024,9,18)+TIME(14,46,55)</f>
        <v>45553.615914351853</v>
      </c>
      <c r="D598" s="8" t="s">
        <v>2002</v>
      </c>
      <c r="E598" s="15" t="s">
        <v>1040</v>
      </c>
      <c r="F598" t="s">
        <v>61</v>
      </c>
    </row>
    <row r="599" spans="1:6" ht="17">
      <c r="A599" s="6" t="s">
        <v>518</v>
      </c>
      <c r="B599" s="6" t="s">
        <v>2185</v>
      </c>
      <c r="C599" s="7">
        <f>DATE(2024,9,18)+TIME(9,48,33)</f>
        <v>45553.408715277779</v>
      </c>
      <c r="D599" s="8" t="s">
        <v>2002</v>
      </c>
      <c r="E599" s="15" t="s">
        <v>1040</v>
      </c>
      <c r="F599" t="s">
        <v>61</v>
      </c>
    </row>
    <row r="600" spans="1:6" ht="34">
      <c r="A600" s="6" t="s">
        <v>518</v>
      </c>
      <c r="B600" s="6" t="s">
        <v>2186</v>
      </c>
      <c r="C600" s="7">
        <f>DATE(2024,9,19)+TIME(5,40,42)</f>
        <v>45554.236597222225</v>
      </c>
      <c r="D600" s="8" t="s">
        <v>2002</v>
      </c>
      <c r="E600" s="15" t="s">
        <v>1040</v>
      </c>
      <c r="F600" t="s">
        <v>61</v>
      </c>
    </row>
    <row r="601" spans="1:6" ht="17">
      <c r="A601" s="3" t="s">
        <v>1539</v>
      </c>
      <c r="B601" s="3" t="s">
        <v>1540</v>
      </c>
      <c r="C601" s="4">
        <f>DATE(2024,9,6)+TIME(12,8,15)</f>
        <v>45541.505729166667</v>
      </c>
      <c r="F601" t="e">
        <f>VLOOKUP(Table1[[#This Row],[Company Name]],Sheet1!B:B,1,FALSE)</f>
        <v>#N/A</v>
      </c>
    </row>
    <row r="602" spans="1:6" ht="34">
      <c r="A602" s="1" t="s">
        <v>1539</v>
      </c>
      <c r="B602" s="1" t="s">
        <v>2187</v>
      </c>
      <c r="C602" s="2">
        <f>DATE(2024,7,8)+TIME(14,7,46)</f>
        <v>45481.588726851849</v>
      </c>
      <c r="F602" t="e">
        <f>VLOOKUP(Table1[[#This Row],[Company Name]],Sheet1!B:B,1,FALSE)</f>
        <v>#N/A</v>
      </c>
    </row>
    <row r="603" spans="1:6" ht="17">
      <c r="A603" s="1" t="s">
        <v>1539</v>
      </c>
      <c r="B603" s="1" t="s">
        <v>1838</v>
      </c>
      <c r="C603" s="2">
        <f>DATE(2024,6,26)+TIME(12,42,32)</f>
        <v>45469.529537037037</v>
      </c>
      <c r="F603" t="e">
        <f>VLOOKUP(Table1[[#This Row],[Company Name]],Sheet1!B:B,1,FALSE)</f>
        <v>#N/A</v>
      </c>
    </row>
    <row r="604" spans="1:6" ht="17">
      <c r="A604" s="1" t="s">
        <v>1539</v>
      </c>
      <c r="B604" s="1" t="s">
        <v>296</v>
      </c>
      <c r="C604" s="2">
        <f>DATE(2024,6,28)+TIME(10,30,23)</f>
        <v>45471.4377662037</v>
      </c>
      <c r="F604" t="e">
        <f>VLOOKUP(Table1[[#This Row],[Company Name]],Sheet1!B:B,1,FALSE)</f>
        <v>#N/A</v>
      </c>
    </row>
    <row r="605" spans="1:6" ht="17">
      <c r="A605" s="1" t="s">
        <v>1539</v>
      </c>
      <c r="B605" s="1" t="s">
        <v>2188</v>
      </c>
      <c r="C605" s="2">
        <f>DATE(2024,6,26)+TIME(10,8,3)</f>
        <v>45469.422256944446</v>
      </c>
      <c r="F605" t="e">
        <f>VLOOKUP(Table1[[#This Row],[Company Name]],Sheet1!B:B,1,FALSE)</f>
        <v>#N/A</v>
      </c>
    </row>
    <row r="606" spans="1:6" ht="17">
      <c r="A606" s="3" t="s">
        <v>1539</v>
      </c>
      <c r="B606" s="3" t="s">
        <v>2189</v>
      </c>
      <c r="C606" s="4">
        <f>DATE(2024,6,28)+TIME(10,30,25)</f>
        <v>45471.437789351854</v>
      </c>
      <c r="F606" t="e">
        <f>VLOOKUP(Table1[[#This Row],[Company Name]],Sheet1!B:B,1,FALSE)</f>
        <v>#N/A</v>
      </c>
    </row>
    <row r="607" spans="1:6" ht="17">
      <c r="A607" s="3" t="s">
        <v>1539</v>
      </c>
      <c r="B607" s="3" t="s">
        <v>2122</v>
      </c>
      <c r="C607" s="4">
        <f>DATE(2024,6,26)+TIME(13,16,42)</f>
        <v>45469.553263888891</v>
      </c>
      <c r="F607" t="e">
        <f>VLOOKUP(Table1[[#This Row],[Company Name]],Sheet1!B:B,1,FALSE)</f>
        <v>#N/A</v>
      </c>
    </row>
    <row r="608" spans="1:6" ht="17">
      <c r="A608" s="1" t="s">
        <v>1539</v>
      </c>
      <c r="B608" s="1" t="s">
        <v>2189</v>
      </c>
      <c r="C608" s="2">
        <f>DATE(2024,6,28)+TIME(10,35,38)</f>
        <v>45471.441412037035</v>
      </c>
      <c r="F608" t="e">
        <f>VLOOKUP(Table1[[#This Row],[Company Name]],Sheet1!B:B,1,FALSE)</f>
        <v>#N/A</v>
      </c>
    </row>
    <row r="609" spans="1:6" ht="17">
      <c r="A609" s="1" t="s">
        <v>1539</v>
      </c>
      <c r="B609" s="1" t="s">
        <v>2190</v>
      </c>
      <c r="C609" s="2">
        <f>DATE(2024,6,28)+TIME(10,30,25)</f>
        <v>45471.437789351854</v>
      </c>
      <c r="F609" t="e">
        <f>VLOOKUP(Table1[[#This Row],[Company Name]],Sheet1!B:B,1,FALSE)</f>
        <v>#N/A</v>
      </c>
    </row>
    <row r="610" spans="1:6" ht="17">
      <c r="A610" s="1" t="s">
        <v>1539</v>
      </c>
      <c r="B610" s="1" t="s">
        <v>2191</v>
      </c>
      <c r="C610" s="2">
        <f>DATE(2024,6,26)+TIME(9,24,23)</f>
        <v>45469.391932870371</v>
      </c>
      <c r="F610" t="e">
        <f>VLOOKUP(Table1[[#This Row],[Company Name]],Sheet1!B:B,1,FALSE)</f>
        <v>#N/A</v>
      </c>
    </row>
    <row r="611" spans="1:6" ht="17">
      <c r="A611" s="3" t="s">
        <v>1542</v>
      </c>
      <c r="B611" s="3" t="s">
        <v>1543</v>
      </c>
      <c r="C611" s="4">
        <f>DATE(2024,9,13)+TIME(8,15,59)</f>
        <v>45548.34443287037</v>
      </c>
      <c r="F611" t="e">
        <f>VLOOKUP(Table1[[#This Row],[Company Name]],Sheet1!B:B,1,FALSE)</f>
        <v>#N/A</v>
      </c>
    </row>
    <row r="612" spans="1:6" ht="17">
      <c r="A612" s="1" t="s">
        <v>1544</v>
      </c>
      <c r="B612" s="1" t="s">
        <v>1545</v>
      </c>
      <c r="C612" s="2">
        <f>DATE(2024,9,3)+TIME(13,4,12)</f>
        <v>45538.544583333336</v>
      </c>
      <c r="F612" t="e">
        <f>VLOOKUP(Table1[[#This Row],[Company Name]],Sheet1!B:B,1,FALSE)</f>
        <v>#N/A</v>
      </c>
    </row>
    <row r="613" spans="1:6" ht="17">
      <c r="A613" s="1" t="s">
        <v>1544</v>
      </c>
      <c r="B613" s="1" t="s">
        <v>1548</v>
      </c>
      <c r="C613" s="2">
        <f>DATE(2024,8,30)+TIME(8,8,41)</f>
        <v>45534.339363425926</v>
      </c>
      <c r="F613" t="e">
        <f>VLOOKUP(Table1[[#This Row],[Company Name]],Sheet1!B:B,1,FALSE)</f>
        <v>#N/A</v>
      </c>
    </row>
    <row r="614" spans="1:6" ht="17">
      <c r="A614" s="1" t="s">
        <v>1546</v>
      </c>
      <c r="B614" s="1" t="s">
        <v>264</v>
      </c>
      <c r="C614" s="2">
        <f>DATE(2024,9,5)+TIME(6,46,27)</f>
        <v>45540.282256944447</v>
      </c>
      <c r="F614" t="e">
        <f>VLOOKUP(Table1[[#This Row],[Company Name]],Sheet1!B:B,1,FALSE)</f>
        <v>#N/A</v>
      </c>
    </row>
    <row r="615" spans="1:6" ht="17">
      <c r="A615" s="3" t="s">
        <v>1546</v>
      </c>
      <c r="B615" s="3" t="s">
        <v>2192</v>
      </c>
      <c r="C615" s="4">
        <f>DATE(2024,9,5)+TIME(7,46,8)</f>
        <v>45540.323703703703</v>
      </c>
      <c r="F615" t="e">
        <f>VLOOKUP(Table1[[#This Row],[Company Name]],Sheet1!B:B,1,FALSE)</f>
        <v>#N/A</v>
      </c>
    </row>
    <row r="616" spans="1:6" ht="17">
      <c r="A616" s="3" t="s">
        <v>1546</v>
      </c>
      <c r="B616" s="3" t="s">
        <v>2128</v>
      </c>
      <c r="C616" s="4">
        <f>DATE(2024,8,30)+TIME(8,15,12)</f>
        <v>45534.343888888892</v>
      </c>
      <c r="F616" t="e">
        <f>VLOOKUP(Table1[[#This Row],[Company Name]],Sheet1!B:B,1,FALSE)</f>
        <v>#N/A</v>
      </c>
    </row>
    <row r="617" spans="1:6" ht="17">
      <c r="A617" s="3" t="s">
        <v>1546</v>
      </c>
      <c r="B617" s="3" t="s">
        <v>2193</v>
      </c>
      <c r="C617" s="4">
        <f>DATE(2024,8,29)+TIME(9,10,21)</f>
        <v>45533.382187499999</v>
      </c>
      <c r="F617" t="e">
        <f>VLOOKUP(Table1[[#This Row],[Company Name]],Sheet1!B:B,1,FALSE)</f>
        <v>#N/A</v>
      </c>
    </row>
    <row r="618" spans="1:6" ht="17">
      <c r="A618" s="1" t="s">
        <v>1547</v>
      </c>
      <c r="B618" s="1" t="s">
        <v>1548</v>
      </c>
      <c r="C618" s="2">
        <f>DATE(2024,8,30)+TIME(7,59,11)</f>
        <v>45534.332766203705</v>
      </c>
      <c r="F618" t="e">
        <f>VLOOKUP(Table1[[#This Row],[Company Name]],Sheet1!B:B,1,FALSE)</f>
        <v>#N/A</v>
      </c>
    </row>
    <row r="619" spans="1:6" ht="17">
      <c r="A619" s="1" t="s">
        <v>1549</v>
      </c>
      <c r="B619" s="1" t="s">
        <v>567</v>
      </c>
      <c r="C619" s="2">
        <f>DATE(2024,8,7)+TIME(13,57,52)</f>
        <v>45511.58185185185</v>
      </c>
      <c r="E619" s="15" t="s">
        <v>1040</v>
      </c>
      <c r="F619" t="s">
        <v>61</v>
      </c>
    </row>
    <row r="620" spans="1:6" ht="17">
      <c r="A620" s="3" t="s">
        <v>1550</v>
      </c>
      <c r="B620" s="3" t="s">
        <v>1551</v>
      </c>
      <c r="C620" s="4">
        <f>DATE(2024,7,2)+TIME(11,20,21)</f>
        <v>45475.47246527778</v>
      </c>
      <c r="F620" t="e">
        <f>VLOOKUP(Table1[[#This Row],[Company Name]],Sheet1!B:B,1,FALSE)</f>
        <v>#N/A</v>
      </c>
    </row>
    <row r="621" spans="1:6" ht="17">
      <c r="A621" s="3" t="s">
        <v>1552</v>
      </c>
      <c r="B621" s="3" t="s">
        <v>1553</v>
      </c>
      <c r="C621" s="4">
        <f>DATE(2024,8,6)+TIME(15,29,26)</f>
        <v>45510.645439814813</v>
      </c>
      <c r="F621" t="e">
        <f>VLOOKUP(Table1[[#This Row],[Company Name]],Sheet1!B:B,1,FALSE)</f>
        <v>#N/A</v>
      </c>
    </row>
    <row r="622" spans="1:6" ht="17">
      <c r="A622" s="1" t="s">
        <v>2194</v>
      </c>
      <c r="B622" s="1" t="s">
        <v>2195</v>
      </c>
      <c r="C622" s="2">
        <f>DATE(2024,8,26)+TIME(15,31,55)</f>
        <v>45530.647164351853</v>
      </c>
      <c r="F622" t="e">
        <f>VLOOKUP(Table1[[#This Row],[Company Name]],Sheet1!B:B,1,FALSE)</f>
        <v>#N/A</v>
      </c>
    </row>
    <row r="623" spans="1:6" ht="17">
      <c r="A623" s="1" t="s">
        <v>1554</v>
      </c>
      <c r="B623" s="1" t="s">
        <v>1555</v>
      </c>
      <c r="C623" s="2">
        <f>DATE(2024,6,21)+TIME(11,8,33)</f>
        <v>45464.464270833334</v>
      </c>
      <c r="E623" s="15" t="s">
        <v>1040</v>
      </c>
      <c r="F623" t="s">
        <v>61</v>
      </c>
    </row>
    <row r="624" spans="1:6" ht="17">
      <c r="A624" s="1" t="s">
        <v>1554</v>
      </c>
      <c r="B624" s="1" t="s">
        <v>2196</v>
      </c>
      <c r="C624" s="2">
        <f>DATE(2024,7,11)+TIME(6,27,12)</f>
        <v>45484.268888888888</v>
      </c>
      <c r="E624" s="15" t="s">
        <v>1040</v>
      </c>
      <c r="F624" t="s">
        <v>61</v>
      </c>
    </row>
    <row r="625" spans="1:6" ht="17">
      <c r="A625" s="1" t="s">
        <v>1554</v>
      </c>
      <c r="B625" s="1" t="s">
        <v>1044</v>
      </c>
      <c r="C625" s="2">
        <f>DATE(2024,7,15)+TIME(6,52,14)</f>
        <v>45488.286273148151</v>
      </c>
      <c r="E625" s="15" t="s">
        <v>1040</v>
      </c>
      <c r="F625" t="s">
        <v>61</v>
      </c>
    </row>
    <row r="626" spans="1:6" ht="17">
      <c r="A626" s="1" t="s">
        <v>1556</v>
      </c>
      <c r="B626" s="1" t="s">
        <v>1054</v>
      </c>
      <c r="C626" s="2">
        <f>DATE(2024,6,21)+TIME(9,23,2)</f>
        <v>45464.39099537037</v>
      </c>
      <c r="F626" t="e">
        <f>VLOOKUP(Table1[[#This Row],[Company Name]],Sheet1!B:B,1,FALSE)</f>
        <v>#N/A</v>
      </c>
    </row>
    <row r="627" spans="1:6" ht="17">
      <c r="A627" s="1" t="s">
        <v>1556</v>
      </c>
      <c r="B627" s="1" t="s">
        <v>2197</v>
      </c>
      <c r="C627" s="2">
        <f>DATE(2024,7,12)+TIME(9,45,18)</f>
        <v>45485.406458333331</v>
      </c>
      <c r="F627" t="e">
        <f>VLOOKUP(Table1[[#This Row],[Company Name]],Sheet1!B:B,1,FALSE)</f>
        <v>#N/A</v>
      </c>
    </row>
    <row r="628" spans="1:6" ht="17">
      <c r="A628" s="3" t="s">
        <v>1557</v>
      </c>
      <c r="B628" s="3" t="s">
        <v>305</v>
      </c>
      <c r="C628" s="4">
        <f>DATE(2024,9,5)+TIME(16,5,37)</f>
        <v>45540.670567129629</v>
      </c>
      <c r="F628" t="e">
        <f>VLOOKUP(Table1[[#This Row],[Company Name]],Sheet1!B:B,1,FALSE)</f>
        <v>#N/A</v>
      </c>
    </row>
    <row r="629" spans="1:6" ht="17">
      <c r="A629" s="3" t="s">
        <v>1557</v>
      </c>
      <c r="B629" s="3" t="s">
        <v>2198</v>
      </c>
      <c r="C629" s="4">
        <f>DATE(2024,8,9)+TIME(9,39,49)</f>
        <v>45513.402650462966</v>
      </c>
      <c r="F629" t="e">
        <f>VLOOKUP(Table1[[#This Row],[Company Name]],Sheet1!B:B,1,FALSE)</f>
        <v>#N/A</v>
      </c>
    </row>
    <row r="630" spans="1:6" ht="17">
      <c r="A630" s="3" t="s">
        <v>1557</v>
      </c>
      <c r="B630" s="3" t="s">
        <v>85</v>
      </c>
      <c r="C630" s="4">
        <f>DATE(2024,7,23)+TIME(12,47,5)</f>
        <v>45496.532696759263</v>
      </c>
      <c r="F630" t="e">
        <f>VLOOKUP(Table1[[#This Row],[Company Name]],Sheet1!B:B,1,FALSE)</f>
        <v>#N/A</v>
      </c>
    </row>
    <row r="631" spans="1:6" ht="17">
      <c r="A631" s="3" t="s">
        <v>1558</v>
      </c>
      <c r="B631" s="3" t="s">
        <v>1559</v>
      </c>
      <c r="C631" s="4">
        <f>DATE(2024,8,12)+TIME(11,34,32)</f>
        <v>45516.482314814813</v>
      </c>
      <c r="F631" t="e">
        <f>VLOOKUP(Table1[[#This Row],[Company Name]],Sheet1!B:B,1,FALSE)</f>
        <v>#N/A</v>
      </c>
    </row>
    <row r="632" spans="1:6" ht="34">
      <c r="A632" s="3" t="s">
        <v>1560</v>
      </c>
      <c r="B632" s="3" t="s">
        <v>1561</v>
      </c>
      <c r="C632" s="4">
        <f>DATE(2024,7,8)+TIME(18,6,58)</f>
        <v>45481.754837962966</v>
      </c>
      <c r="F632" t="e">
        <f>VLOOKUP(Table1[[#This Row],[Company Name]],Sheet1!B:B,1,FALSE)</f>
        <v>#N/A</v>
      </c>
    </row>
    <row r="633" spans="1:6" ht="17">
      <c r="A633" s="3" t="s">
        <v>1562</v>
      </c>
      <c r="B633" s="3" t="s">
        <v>85</v>
      </c>
      <c r="C633" s="4">
        <f>DATE(2024,5,31)+TIME(13,22,41)</f>
        <v>45443.55741898148</v>
      </c>
      <c r="E633" s="15" t="s">
        <v>1040</v>
      </c>
      <c r="F633" t="s">
        <v>61</v>
      </c>
    </row>
    <row r="634" spans="1:6" ht="17">
      <c r="A634" s="3" t="s">
        <v>1562</v>
      </c>
      <c r="B634" s="3" t="s">
        <v>2199</v>
      </c>
      <c r="C634" s="4">
        <f>DATE(2024,5,31)+TIME(14,36,25)</f>
        <v>45443.608622685184</v>
      </c>
      <c r="E634" s="15" t="s">
        <v>1040</v>
      </c>
      <c r="F634" t="s">
        <v>61</v>
      </c>
    </row>
    <row r="635" spans="1:6" ht="17">
      <c r="A635" s="1" t="s">
        <v>1563</v>
      </c>
      <c r="B635" s="1" t="s">
        <v>1564</v>
      </c>
      <c r="C635" s="2">
        <f>DATE(2024,9,3)+TIME(17,2,0)</f>
        <v>45538.709722222222</v>
      </c>
      <c r="F635" t="e">
        <f>VLOOKUP(Table1[[#This Row],[Company Name]],Sheet1!B:B,1,FALSE)</f>
        <v>#N/A</v>
      </c>
    </row>
    <row r="636" spans="1:6" ht="17">
      <c r="A636" s="1" t="s">
        <v>1563</v>
      </c>
      <c r="B636" s="1" t="s">
        <v>2200</v>
      </c>
      <c r="C636" s="2">
        <f>DATE(2024,8,29)+TIME(11,58,25)</f>
        <v>45533.498900462961</v>
      </c>
      <c r="F636" t="e">
        <f>VLOOKUP(Table1[[#This Row],[Company Name]],Sheet1!B:B,1,FALSE)</f>
        <v>#N/A</v>
      </c>
    </row>
    <row r="637" spans="1:6" ht="17">
      <c r="A637" s="3" t="s">
        <v>1565</v>
      </c>
      <c r="B637" s="3" t="s">
        <v>1566</v>
      </c>
      <c r="C637" s="4">
        <f>DATE(2024,9,24)+TIME(21,53,36)</f>
        <v>45559.912222222221</v>
      </c>
      <c r="F637" t="e">
        <f>VLOOKUP(Table1[[#This Row],[Company Name]],Sheet1!B:B,1,FALSE)</f>
        <v>#N/A</v>
      </c>
    </row>
    <row r="638" spans="1:6" ht="17">
      <c r="A638" s="3" t="s">
        <v>1567</v>
      </c>
      <c r="B638" s="3" t="s">
        <v>85</v>
      </c>
      <c r="C638" s="4">
        <f>DATE(2024,8,2)+TIME(7,37,32)</f>
        <v>45506.317731481482</v>
      </c>
      <c r="F638" t="e">
        <f>VLOOKUP(Table1[[#This Row],[Company Name]],Sheet1!B:B,1,FALSE)</f>
        <v>#N/A</v>
      </c>
    </row>
    <row r="639" spans="1:6" ht="17">
      <c r="A639" s="3" t="s">
        <v>1567</v>
      </c>
      <c r="B639" s="3" t="s">
        <v>2201</v>
      </c>
      <c r="C639" s="4">
        <f>DATE(2024,8,2)+TIME(7,51,14)</f>
        <v>45506.327245370368</v>
      </c>
      <c r="F639" t="e">
        <f>VLOOKUP(Table1[[#This Row],[Company Name]],Sheet1!B:B,1,FALSE)</f>
        <v>#N/A</v>
      </c>
    </row>
    <row r="640" spans="1:6" ht="17">
      <c r="A640" s="3" t="s">
        <v>1568</v>
      </c>
      <c r="B640" s="3" t="s">
        <v>1569</v>
      </c>
      <c r="C640" s="4">
        <f>DATE(2024,7,24)+TIME(15,58,27)</f>
        <v>45497.665590277778</v>
      </c>
      <c r="F640" t="e">
        <f>VLOOKUP(Table1[[#This Row],[Company Name]],Sheet1!B:B,1,FALSE)</f>
        <v>#N/A</v>
      </c>
    </row>
    <row r="641" spans="1:6" ht="17">
      <c r="A641" s="3" t="s">
        <v>1570</v>
      </c>
      <c r="B641" s="3" t="s">
        <v>85</v>
      </c>
      <c r="C641" s="4">
        <f>DATE(2024,6,17)+TIME(14,28,11)</f>
        <v>45460.602905092594</v>
      </c>
      <c r="F641" t="e">
        <f>VLOOKUP(Table1[[#This Row],[Company Name]],Sheet1!B:B,1,FALSE)</f>
        <v>#N/A</v>
      </c>
    </row>
    <row r="642" spans="1:6" ht="17">
      <c r="A642" s="1" t="s">
        <v>1571</v>
      </c>
      <c r="B642" s="1" t="s">
        <v>1572</v>
      </c>
      <c r="C642" s="2">
        <f>DATE(2024,6,17)+TIME(10,58,35)</f>
        <v>45460.457349537035</v>
      </c>
      <c r="F642" t="e">
        <f>VLOOKUP(Table1[[#This Row],[Company Name]],Sheet1!B:B,1,FALSE)</f>
        <v>#N/A</v>
      </c>
    </row>
    <row r="643" spans="1:6" ht="17">
      <c r="A643" s="3" t="s">
        <v>1573</v>
      </c>
      <c r="B643" s="3" t="s">
        <v>1254</v>
      </c>
      <c r="C643" s="4">
        <f>DATE(2024,8,23)+TIME(11,25,11)</f>
        <v>45527.475821759261</v>
      </c>
      <c r="F643" t="e">
        <f>VLOOKUP(Table1[[#This Row],[Company Name]],Sheet1!B:B,1,FALSE)</f>
        <v>#N/A</v>
      </c>
    </row>
    <row r="644" spans="1:6" ht="17">
      <c r="A644" s="3" t="s">
        <v>1573</v>
      </c>
      <c r="B644" s="3" t="s">
        <v>2202</v>
      </c>
      <c r="C644" s="4">
        <f>DATE(2024,8,23)+TIME(12,2,17)</f>
        <v>45527.501585648148</v>
      </c>
      <c r="F644" t="e">
        <f>VLOOKUP(Table1[[#This Row],[Company Name]],Sheet1!B:B,1,FALSE)</f>
        <v>#N/A</v>
      </c>
    </row>
    <row r="645" spans="1:6" ht="17">
      <c r="A645" s="1" t="s">
        <v>1574</v>
      </c>
      <c r="B645" s="1" t="s">
        <v>1056</v>
      </c>
      <c r="C645" s="2">
        <f>DATE(2024,8,7)+TIME(14,38,2)</f>
        <v>45511.60974537037</v>
      </c>
      <c r="E645" s="15" t="s">
        <v>1040</v>
      </c>
      <c r="F645" t="s">
        <v>61</v>
      </c>
    </row>
    <row r="646" spans="1:6" ht="17">
      <c r="A646" s="3" t="s">
        <v>1574</v>
      </c>
      <c r="B646" s="3" t="s">
        <v>2203</v>
      </c>
      <c r="C646" s="4">
        <f>DATE(2024,6,14)+TIME(8,41,44)</f>
        <v>45457.362314814818</v>
      </c>
      <c r="E646" s="15" t="s">
        <v>1040</v>
      </c>
      <c r="F646" t="s">
        <v>61</v>
      </c>
    </row>
    <row r="647" spans="1:6" ht="17">
      <c r="A647" s="3" t="s">
        <v>1574</v>
      </c>
      <c r="B647" s="3" t="s">
        <v>2204</v>
      </c>
      <c r="C647" s="4">
        <f>DATE(2024,9,20)+TIME(21,20,24)</f>
        <v>45555.889166666668</v>
      </c>
      <c r="E647" s="15" t="s">
        <v>1040</v>
      </c>
      <c r="F647" t="s">
        <v>61</v>
      </c>
    </row>
    <row r="648" spans="1:6" ht="34">
      <c r="A648" s="1" t="s">
        <v>1575</v>
      </c>
      <c r="B648" s="1" t="s">
        <v>1576</v>
      </c>
      <c r="C648" s="2">
        <f>DATE(2024,9,20)+TIME(15,4,28)</f>
        <v>45555.628101851849</v>
      </c>
      <c r="F648" t="e">
        <f>VLOOKUP(Table1[[#This Row],[Company Name]],Sheet1!B:B,1,FALSE)</f>
        <v>#N/A</v>
      </c>
    </row>
    <row r="649" spans="1:6" ht="17">
      <c r="A649" s="3" t="s">
        <v>1575</v>
      </c>
      <c r="B649" s="3" t="s">
        <v>2205</v>
      </c>
      <c r="C649" s="4">
        <f>DATE(2024,9,20)+TIME(15,28,40)</f>
        <v>45555.644907407404</v>
      </c>
      <c r="F649" t="e">
        <f>VLOOKUP(Table1[[#This Row],[Company Name]],Sheet1!B:B,1,FALSE)</f>
        <v>#N/A</v>
      </c>
    </row>
    <row r="650" spans="1:6" ht="17">
      <c r="A650" s="3" t="s">
        <v>1577</v>
      </c>
      <c r="B650" s="3" t="s">
        <v>85</v>
      </c>
      <c r="C650" s="4">
        <f>DATE(2024,6,11)+TIME(15,4,6)</f>
        <v>45454.627847222226</v>
      </c>
      <c r="F650" t="e">
        <f>VLOOKUP(Table1[[#This Row],[Company Name]],Sheet1!B:B,1,FALSE)</f>
        <v>#N/A</v>
      </c>
    </row>
    <row r="651" spans="1:6" ht="17">
      <c r="A651" s="3" t="s">
        <v>1578</v>
      </c>
      <c r="B651" s="3" t="s">
        <v>675</v>
      </c>
      <c r="C651" s="4">
        <f>DATE(2024,9,18)+TIME(10,44,34)</f>
        <v>45553.447615740741</v>
      </c>
      <c r="F651" t="e">
        <f>VLOOKUP(Table1[[#This Row],[Company Name]],Sheet1!B:B,1,FALSE)</f>
        <v>#N/A</v>
      </c>
    </row>
    <row r="652" spans="1:6" ht="17">
      <c r="A652" s="3" t="s">
        <v>1579</v>
      </c>
      <c r="B652" s="3" t="s">
        <v>52</v>
      </c>
      <c r="C652" s="4">
        <f>DATE(2024,7,31)+TIME(10,2,48)</f>
        <v>45504.418611111112</v>
      </c>
      <c r="F652" t="e">
        <f>VLOOKUP(Table1[[#This Row],[Company Name]],Sheet1!B:B,1,FALSE)</f>
        <v>#N/A</v>
      </c>
    </row>
    <row r="653" spans="1:6" ht="17">
      <c r="A653" s="3" t="s">
        <v>1579</v>
      </c>
      <c r="B653" s="3" t="s">
        <v>52</v>
      </c>
      <c r="C653" s="4">
        <f>DATE(2024,7,31)+TIME(10,2,48)</f>
        <v>45504.418611111112</v>
      </c>
      <c r="F653" t="e">
        <f>VLOOKUP(Table1[[#This Row],[Company Name]],Sheet1!B:B,1,FALSE)</f>
        <v>#N/A</v>
      </c>
    </row>
    <row r="654" spans="1:6" ht="17">
      <c r="A654" s="3" t="s">
        <v>1579</v>
      </c>
      <c r="B654" s="3" t="s">
        <v>2206</v>
      </c>
      <c r="C654" s="4">
        <f>DATE(2024,7,11)+TIME(5,43,46)</f>
        <v>45484.238726851851</v>
      </c>
      <c r="F654" t="e">
        <f>VLOOKUP(Table1[[#This Row],[Company Name]],Sheet1!B:B,1,FALSE)</f>
        <v>#N/A</v>
      </c>
    </row>
    <row r="655" spans="1:6" ht="17">
      <c r="A655" s="1" t="s">
        <v>1580</v>
      </c>
      <c r="B655" s="1" t="s">
        <v>1107</v>
      </c>
      <c r="C655" s="2">
        <f>DATE(2024,7,1)+TIME(11,42,54)</f>
        <v>45474.488125000003</v>
      </c>
      <c r="F655" t="e">
        <f>VLOOKUP(Table1[[#This Row],[Company Name]],Sheet1!B:B,1,FALSE)</f>
        <v>#N/A</v>
      </c>
    </row>
    <row r="656" spans="1:6" ht="17">
      <c r="A656" s="3" t="s">
        <v>1581</v>
      </c>
      <c r="B656" s="3" t="s">
        <v>1582</v>
      </c>
      <c r="C656" s="4">
        <f>DATE(2024,6,17)+TIME(12,10,5)</f>
        <v>45460.507002314815</v>
      </c>
      <c r="F656" t="e">
        <f>VLOOKUP(Table1[[#This Row],[Company Name]],Sheet1!B:B,1,FALSE)</f>
        <v>#N/A</v>
      </c>
    </row>
    <row r="657" spans="1:6" ht="17">
      <c r="A657" s="3" t="s">
        <v>1581</v>
      </c>
      <c r="B657" s="3" t="s">
        <v>2207</v>
      </c>
      <c r="C657" s="4">
        <f>DATE(2024,6,17)+TIME(12,10,5)</f>
        <v>45460.507002314815</v>
      </c>
      <c r="F657" t="e">
        <f>VLOOKUP(Table1[[#This Row],[Company Name]],Sheet1!B:B,1,FALSE)</f>
        <v>#N/A</v>
      </c>
    </row>
    <row r="658" spans="1:6" ht="17">
      <c r="A658" s="3" t="s">
        <v>1581</v>
      </c>
      <c r="B658" s="3" t="s">
        <v>2208</v>
      </c>
      <c r="C658" s="4">
        <f>DATE(2024,8,19)+TIME(10,56,48)</f>
        <v>45523.456111111111</v>
      </c>
      <c r="F658" t="e">
        <f>VLOOKUP(Table1[[#This Row],[Company Name]],Sheet1!B:B,1,FALSE)</f>
        <v>#N/A</v>
      </c>
    </row>
    <row r="659" spans="1:6" ht="17">
      <c r="A659" s="1" t="s">
        <v>1581</v>
      </c>
      <c r="B659" s="1" t="s">
        <v>2209</v>
      </c>
      <c r="C659" s="2">
        <f>DATE(2024,6,17)+TIME(12,10,5)</f>
        <v>45460.507002314815</v>
      </c>
      <c r="F659" t="e">
        <f>VLOOKUP(Table1[[#This Row],[Company Name]],Sheet1!B:B,1,FALSE)</f>
        <v>#N/A</v>
      </c>
    </row>
    <row r="660" spans="1:6" ht="17">
      <c r="A660" s="3" t="s">
        <v>1581</v>
      </c>
      <c r="B660" s="3" t="s">
        <v>2210</v>
      </c>
      <c r="C660" s="4">
        <f>DATE(2024,8,19)+TIME(10,56,47)</f>
        <v>45523.456099537034</v>
      </c>
      <c r="F660" t="e">
        <f>VLOOKUP(Table1[[#This Row],[Company Name]],Sheet1!B:B,1,FALSE)</f>
        <v>#N/A</v>
      </c>
    </row>
    <row r="661" spans="1:6" ht="17">
      <c r="A661" s="3" t="s">
        <v>1583</v>
      </c>
      <c r="B661" s="3" t="s">
        <v>1584</v>
      </c>
      <c r="C661" s="4">
        <f>DATE(2024,8,19)+TIME(11,28,38)</f>
        <v>45523.478217592594</v>
      </c>
      <c r="F661" t="e">
        <f>VLOOKUP(Table1[[#This Row],[Company Name]],Sheet1!B:B,1,FALSE)</f>
        <v>#N/A</v>
      </c>
    </row>
    <row r="662" spans="1:6" ht="17">
      <c r="A662" s="1" t="s">
        <v>530</v>
      </c>
      <c r="B662" s="1" t="s">
        <v>296</v>
      </c>
      <c r="C662" s="2">
        <f>DATE(2024,7,1)+TIME(9,30,38)</f>
        <v>45474.396273148152</v>
      </c>
      <c r="E662" s="15" t="s">
        <v>1585</v>
      </c>
      <c r="F662" t="s">
        <v>61</v>
      </c>
    </row>
    <row r="663" spans="1:6" ht="17">
      <c r="A663" s="1" t="s">
        <v>530</v>
      </c>
      <c r="B663" s="1" t="s">
        <v>2211</v>
      </c>
      <c r="C663" s="2">
        <f>DATE(2024,7,8)+TIME(11,18,57)</f>
        <v>45481.471493055556</v>
      </c>
      <c r="E663" s="15" t="s">
        <v>1585</v>
      </c>
      <c r="F663" t="s">
        <v>61</v>
      </c>
    </row>
    <row r="664" spans="1:6" ht="17">
      <c r="A664" s="1" t="s">
        <v>1586</v>
      </c>
      <c r="B664" s="1" t="s">
        <v>132</v>
      </c>
      <c r="C664" s="2">
        <f>DATE(2024,8,26)+TIME(17,43,24)</f>
        <v>45530.73847222222</v>
      </c>
      <c r="F664" t="e">
        <f>VLOOKUP(Table1[[#This Row],[Company Name]],Sheet1!B:B,1,FALSE)</f>
        <v>#N/A</v>
      </c>
    </row>
    <row r="665" spans="1:6" ht="17">
      <c r="A665" s="1" t="s">
        <v>1586</v>
      </c>
      <c r="B665" s="1" t="s">
        <v>567</v>
      </c>
      <c r="C665" s="2">
        <f>DATE(2024,8,21)+TIME(12,58,57)</f>
        <v>45525.540937500002</v>
      </c>
      <c r="F665" t="e">
        <f>VLOOKUP(Table1[[#This Row],[Company Name]],Sheet1!B:B,1,FALSE)</f>
        <v>#N/A</v>
      </c>
    </row>
    <row r="666" spans="1:6" ht="17">
      <c r="A666" s="1" t="s">
        <v>1586</v>
      </c>
      <c r="B666" s="1" t="s">
        <v>2212</v>
      </c>
      <c r="C666" s="2">
        <f>DATE(2024,8,21)+TIME(11,51,2)</f>
        <v>45525.493773148148</v>
      </c>
      <c r="F666" t="e">
        <f>VLOOKUP(Table1[[#This Row],[Company Name]],Sheet1!B:B,1,FALSE)</f>
        <v>#N/A</v>
      </c>
    </row>
    <row r="667" spans="1:6" ht="17">
      <c r="A667" s="3" t="s">
        <v>542</v>
      </c>
      <c r="B667" s="3" t="s">
        <v>543</v>
      </c>
      <c r="C667" s="4">
        <f>DATE(2024,5,31)+TIME(10,52,5)</f>
        <v>45443.452835648146</v>
      </c>
      <c r="E667" s="15" t="s">
        <v>1135</v>
      </c>
      <c r="F667" t="s">
        <v>61</v>
      </c>
    </row>
    <row r="668" spans="1:6" ht="17">
      <c r="A668" s="3" t="s">
        <v>542</v>
      </c>
      <c r="B668" s="3" t="s">
        <v>2213</v>
      </c>
      <c r="C668" s="4">
        <f>DATE(2024,7,24)+TIME(9,26,30)</f>
        <v>45497.39340277778</v>
      </c>
      <c r="E668" s="15" t="s">
        <v>1135</v>
      </c>
      <c r="F668" t="s">
        <v>61</v>
      </c>
    </row>
    <row r="669" spans="1:6" ht="17">
      <c r="A669" s="3" t="s">
        <v>542</v>
      </c>
      <c r="B669" s="3" t="s">
        <v>216</v>
      </c>
      <c r="C669" s="4">
        <f>DATE(2024,5,31)+TIME(10,31,16)</f>
        <v>45443.438379629632</v>
      </c>
      <c r="E669" s="15" t="s">
        <v>1135</v>
      </c>
      <c r="F669" t="s">
        <v>61</v>
      </c>
    </row>
    <row r="670" spans="1:6" ht="17">
      <c r="A670" s="3" t="s">
        <v>542</v>
      </c>
      <c r="B670" s="3" t="s">
        <v>2214</v>
      </c>
      <c r="C670" s="4">
        <f>DATE(2024,7,8)+TIME(8,22,59)</f>
        <v>45481.349293981482</v>
      </c>
      <c r="E670" s="15" t="s">
        <v>1135</v>
      </c>
      <c r="F670" t="s">
        <v>61</v>
      </c>
    </row>
    <row r="671" spans="1:6" ht="17">
      <c r="A671" s="1" t="s">
        <v>1587</v>
      </c>
      <c r="B671" s="1" t="s">
        <v>1588</v>
      </c>
      <c r="C671" s="2">
        <f>DATE(2024,6,11)+TIME(14,32,51)</f>
        <v>45454.606145833335</v>
      </c>
      <c r="F671" t="e">
        <f>VLOOKUP(Table1[[#This Row],[Company Name]],Sheet1!B:B,1,FALSE)</f>
        <v>#N/A</v>
      </c>
    </row>
    <row r="672" spans="1:6" ht="17">
      <c r="A672" s="1" t="s">
        <v>559</v>
      </c>
      <c r="B672" s="1" t="s">
        <v>1589</v>
      </c>
      <c r="C672" s="2">
        <f>DATE(2024,7,31)+TIME(11,56,20)</f>
        <v>45504.497453703705</v>
      </c>
      <c r="F672" t="e">
        <f>VLOOKUP(Table1[[#This Row],[Company Name]],Sheet1!B:B,1,FALSE)</f>
        <v>#N/A</v>
      </c>
    </row>
    <row r="673" spans="1:6" ht="17">
      <c r="A673" s="3" t="s">
        <v>559</v>
      </c>
      <c r="B673" s="3" t="s">
        <v>2215</v>
      </c>
      <c r="C673" s="4">
        <f>DATE(2024,7,31)+TIME(11,56,20)</f>
        <v>45504.497453703705</v>
      </c>
      <c r="F673" t="e">
        <f>VLOOKUP(Table1[[#This Row],[Company Name]],Sheet1!B:B,1,FALSE)</f>
        <v>#N/A</v>
      </c>
    </row>
    <row r="674" spans="1:6" ht="17">
      <c r="A674" s="1" t="s">
        <v>559</v>
      </c>
      <c r="B674" s="1" t="s">
        <v>2216</v>
      </c>
      <c r="C674" s="2">
        <f>DATE(2024,6,3)+TIME(8,8,11)</f>
        <v>45446.339016203703</v>
      </c>
      <c r="F674" t="e">
        <f>VLOOKUP(Table1[[#This Row],[Company Name]],Sheet1!B:B,1,FALSE)</f>
        <v>#N/A</v>
      </c>
    </row>
    <row r="675" spans="1:6" ht="17">
      <c r="A675" s="1" t="s">
        <v>559</v>
      </c>
      <c r="B675" s="1" t="s">
        <v>576</v>
      </c>
      <c r="C675" s="2">
        <f>DATE(2024,7,31)+TIME(11,56,20)</f>
        <v>45504.497453703705</v>
      </c>
      <c r="F675" t="e">
        <f>VLOOKUP(Table1[[#This Row],[Company Name]],Sheet1!B:B,1,FALSE)</f>
        <v>#N/A</v>
      </c>
    </row>
    <row r="676" spans="1:6" ht="17">
      <c r="A676" s="3" t="s">
        <v>559</v>
      </c>
      <c r="B676" s="3" t="s">
        <v>567</v>
      </c>
      <c r="C676" s="4">
        <f>DATE(2024,7,31)+TIME(11,56,21)</f>
        <v>45504.497465277775</v>
      </c>
      <c r="F676" t="e">
        <f>VLOOKUP(Table1[[#This Row],[Company Name]],Sheet1!B:B,1,FALSE)</f>
        <v>#N/A</v>
      </c>
    </row>
    <row r="677" spans="1:6" ht="17">
      <c r="A677" s="3" t="s">
        <v>559</v>
      </c>
      <c r="B677" s="3" t="s">
        <v>567</v>
      </c>
      <c r="C677" s="4">
        <f>DATE(2024,7,31)+TIME(11,56,21)</f>
        <v>45504.497465277775</v>
      </c>
      <c r="F677" t="e">
        <f>VLOOKUP(Table1[[#This Row],[Company Name]],Sheet1!B:B,1,FALSE)</f>
        <v>#N/A</v>
      </c>
    </row>
    <row r="678" spans="1:6" ht="17">
      <c r="A678" s="1" t="s">
        <v>559</v>
      </c>
      <c r="B678" s="1" t="s">
        <v>560</v>
      </c>
      <c r="C678" s="2">
        <f>DATE(2024,7,31)+TIME(11,56,21)</f>
        <v>45504.497465277775</v>
      </c>
      <c r="F678" t="e">
        <f>VLOOKUP(Table1[[#This Row],[Company Name]],Sheet1!B:B,1,FALSE)</f>
        <v>#N/A</v>
      </c>
    </row>
    <row r="679" spans="1:6" ht="17">
      <c r="A679" s="3" t="s">
        <v>1590</v>
      </c>
      <c r="B679" s="3" t="s">
        <v>1591</v>
      </c>
      <c r="C679" s="4">
        <f>DATE(2024,7,19)+TIME(13,8,27)</f>
        <v>45492.547534722224</v>
      </c>
      <c r="F679" t="e">
        <f>VLOOKUP(Table1[[#This Row],[Company Name]],Sheet1!B:B,1,FALSE)</f>
        <v>#N/A</v>
      </c>
    </row>
    <row r="680" spans="1:6" ht="17">
      <c r="A680" s="1" t="s">
        <v>1590</v>
      </c>
      <c r="B680" s="1" t="s">
        <v>2202</v>
      </c>
      <c r="C680" s="2">
        <f>DATE(2024,9,10)+TIME(13,41,5)</f>
        <v>45545.570196759261</v>
      </c>
      <c r="F680" t="e">
        <f>VLOOKUP(Table1[[#This Row],[Company Name]],Sheet1!B:B,1,FALSE)</f>
        <v>#N/A</v>
      </c>
    </row>
    <row r="681" spans="1:6" ht="17">
      <c r="A681" s="3" t="s">
        <v>1590</v>
      </c>
      <c r="B681" s="3" t="s">
        <v>2217</v>
      </c>
      <c r="C681" s="4">
        <f>DATE(2024,9,10)+TIME(13,41,4)</f>
        <v>45545.570185185185</v>
      </c>
      <c r="F681" t="e">
        <f>VLOOKUP(Table1[[#This Row],[Company Name]],Sheet1!B:B,1,FALSE)</f>
        <v>#N/A</v>
      </c>
    </row>
    <row r="682" spans="1:6" ht="17">
      <c r="A682" s="3" t="s">
        <v>580</v>
      </c>
      <c r="B682" s="3" t="s">
        <v>1592</v>
      </c>
      <c r="C682" s="4">
        <f>DATE(2024,7,1)+TIME(10,53,52)</f>
        <v>45474.454074074078</v>
      </c>
      <c r="F682" t="e">
        <f>VLOOKUP(Table1[[#This Row],[Company Name]],Sheet1!B:B,1,FALSE)</f>
        <v>#N/A</v>
      </c>
    </row>
    <row r="683" spans="1:6" ht="17">
      <c r="A683" s="3" t="s">
        <v>580</v>
      </c>
      <c r="B683" s="3" t="s">
        <v>2218</v>
      </c>
      <c r="C683" s="4">
        <f>DATE(2024,9,3)+TIME(7,57,52)</f>
        <v>45538.33185185185</v>
      </c>
      <c r="F683" t="e">
        <f>VLOOKUP(Table1[[#This Row],[Company Name]],Sheet1!B:B,1,FALSE)</f>
        <v>#N/A</v>
      </c>
    </row>
    <row r="684" spans="1:6" ht="17">
      <c r="A684" s="3" t="s">
        <v>580</v>
      </c>
      <c r="B684" s="3" t="s">
        <v>2219</v>
      </c>
      <c r="C684" s="4">
        <f>DATE(2024,9,3)+TIME(18,46,4)</f>
        <v>45538.781990740739</v>
      </c>
      <c r="F684" t="e">
        <f>VLOOKUP(Table1[[#This Row],[Company Name]],Sheet1!B:B,1,FALSE)</f>
        <v>#N/A</v>
      </c>
    </row>
    <row r="685" spans="1:6" ht="17">
      <c r="A685" s="1" t="s">
        <v>580</v>
      </c>
      <c r="B685" s="1" t="s">
        <v>2220</v>
      </c>
      <c r="C685" s="2">
        <f>DATE(2024,8,28)+TIME(8,50,29)</f>
        <v>45532.368391203701</v>
      </c>
      <c r="F685" t="e">
        <f>VLOOKUP(Table1[[#This Row],[Company Name]],Sheet1!B:B,1,FALSE)</f>
        <v>#N/A</v>
      </c>
    </row>
    <row r="686" spans="1:6" ht="17">
      <c r="A686" s="3" t="s">
        <v>580</v>
      </c>
      <c r="B686" s="3" t="s">
        <v>2202</v>
      </c>
      <c r="C686" s="4">
        <f>DATE(2024,7,10)+TIME(6,50,2)</f>
        <v>45483.284745370373</v>
      </c>
      <c r="F686" t="e">
        <f>VLOOKUP(Table1[[#This Row],[Company Name]],Sheet1!B:B,1,FALSE)</f>
        <v>#N/A</v>
      </c>
    </row>
    <row r="687" spans="1:6" ht="17">
      <c r="A687" s="1" t="s">
        <v>580</v>
      </c>
      <c r="B687" s="1" t="s">
        <v>2221</v>
      </c>
      <c r="C687" s="2">
        <f>DATE(2024,7,18)+TIME(16,9,46)</f>
        <v>45491.673449074071</v>
      </c>
      <c r="F687" t="e">
        <f>VLOOKUP(Table1[[#This Row],[Company Name]],Sheet1!B:B,1,FALSE)</f>
        <v>#N/A</v>
      </c>
    </row>
    <row r="688" spans="1:6" ht="17">
      <c r="A688" s="3" t="s">
        <v>580</v>
      </c>
      <c r="B688" s="3" t="s">
        <v>2222</v>
      </c>
      <c r="C688" s="4">
        <f>DATE(2024,7,18)+TIME(16,9,48)</f>
        <v>45491.673472222225</v>
      </c>
      <c r="F688" t="e">
        <f>VLOOKUP(Table1[[#This Row],[Company Name]],Sheet1!B:B,1,FALSE)</f>
        <v>#N/A</v>
      </c>
    </row>
    <row r="689" spans="1:6" ht="34">
      <c r="A689" s="1" t="s">
        <v>580</v>
      </c>
      <c r="B689" s="1" t="s">
        <v>2223</v>
      </c>
      <c r="C689" s="2">
        <f>DATE(2024,7,12)+TIME(14,53,34)</f>
        <v>45485.620532407411</v>
      </c>
      <c r="F689" t="e">
        <f>VLOOKUP(Table1[[#This Row],[Company Name]],Sheet1!B:B,1,FALSE)</f>
        <v>#N/A</v>
      </c>
    </row>
    <row r="690" spans="1:6" ht="17">
      <c r="A690" s="1" t="s">
        <v>580</v>
      </c>
      <c r="B690" s="1" t="s">
        <v>2224</v>
      </c>
      <c r="C690" s="2">
        <f>DATE(2024,7,18)+TIME(16,9,48)</f>
        <v>45491.673472222225</v>
      </c>
      <c r="F690" t="e">
        <f>VLOOKUP(Table1[[#This Row],[Company Name]],Sheet1!B:B,1,FALSE)</f>
        <v>#N/A</v>
      </c>
    </row>
    <row r="691" spans="1:6" ht="17">
      <c r="A691" s="1" t="s">
        <v>580</v>
      </c>
      <c r="B691" s="1" t="s">
        <v>85</v>
      </c>
      <c r="C691" s="2">
        <f>DATE(2024,7,11)+TIME(8,57,21)</f>
        <v>45484.373159722221</v>
      </c>
      <c r="F691" t="e">
        <f>VLOOKUP(Table1[[#This Row],[Company Name]],Sheet1!B:B,1,FALSE)</f>
        <v>#N/A</v>
      </c>
    </row>
    <row r="692" spans="1:6" ht="17">
      <c r="A692" s="1" t="s">
        <v>580</v>
      </c>
      <c r="B692" s="1" t="s">
        <v>2225</v>
      </c>
      <c r="C692" s="2">
        <f>DATE(2024,8,13)+TIME(14,55,28)</f>
        <v>45517.621851851851</v>
      </c>
      <c r="F692" t="e">
        <f>VLOOKUP(Table1[[#This Row],[Company Name]],Sheet1!B:B,1,FALSE)</f>
        <v>#N/A</v>
      </c>
    </row>
    <row r="693" spans="1:6" ht="17">
      <c r="A693" s="3" t="s">
        <v>580</v>
      </c>
      <c r="B693" s="3" t="s">
        <v>344</v>
      </c>
      <c r="C693" s="4">
        <f>DATE(2024,7,1)+TIME(7,19,38)</f>
        <v>45474.305300925924</v>
      </c>
      <c r="F693" t="e">
        <f>VLOOKUP(Table1[[#This Row],[Company Name]],Sheet1!B:B,1,FALSE)</f>
        <v>#N/A</v>
      </c>
    </row>
    <row r="694" spans="1:6" ht="17">
      <c r="A694" s="3" t="s">
        <v>580</v>
      </c>
      <c r="B694" s="3" t="s">
        <v>2226</v>
      </c>
      <c r="C694" s="4">
        <f>DATE(2024,8,8)+TIME(13,22,2)</f>
        <v>45512.556967592594</v>
      </c>
      <c r="F694" t="e">
        <f>VLOOKUP(Table1[[#This Row],[Company Name]],Sheet1!B:B,1,FALSE)</f>
        <v>#N/A</v>
      </c>
    </row>
    <row r="695" spans="1:6" ht="17">
      <c r="A695" s="1" t="s">
        <v>580</v>
      </c>
      <c r="B695" s="1" t="s">
        <v>1254</v>
      </c>
      <c r="C695" s="2">
        <f>DATE(2024,9,4)+TIME(8,1,24)</f>
        <v>45539.334305555552</v>
      </c>
      <c r="F695" t="e">
        <f>VLOOKUP(Table1[[#This Row],[Company Name]],Sheet1!B:B,1,FALSE)</f>
        <v>#N/A</v>
      </c>
    </row>
    <row r="696" spans="1:6" ht="17">
      <c r="A696" s="3" t="s">
        <v>580</v>
      </c>
      <c r="B696" s="3" t="s">
        <v>2227</v>
      </c>
      <c r="C696" s="4">
        <f>DATE(2024,7,18)+TIME(16,9,47)</f>
        <v>45491.673460648148</v>
      </c>
      <c r="F696" t="e">
        <f>VLOOKUP(Table1[[#This Row],[Company Name]],Sheet1!B:B,1,FALSE)</f>
        <v>#N/A</v>
      </c>
    </row>
    <row r="697" spans="1:6" ht="17">
      <c r="A697" s="1" t="s">
        <v>580</v>
      </c>
      <c r="B697" s="1" t="s">
        <v>1365</v>
      </c>
      <c r="C697" s="2">
        <f>DATE(2024,7,3)+TIME(13,45,31)</f>
        <v>45476.573275462964</v>
      </c>
      <c r="F697" t="e">
        <f>VLOOKUP(Table1[[#This Row],[Company Name]],Sheet1!B:B,1,FALSE)</f>
        <v>#N/A</v>
      </c>
    </row>
    <row r="698" spans="1:6" ht="17">
      <c r="A698" s="3" t="s">
        <v>580</v>
      </c>
      <c r="B698" s="3" t="s">
        <v>1373</v>
      </c>
      <c r="C698" s="4">
        <f>DATE(2024,7,19)+TIME(13,6,47)</f>
        <v>45492.546377314815</v>
      </c>
      <c r="F698" t="e">
        <f>VLOOKUP(Table1[[#This Row],[Company Name]],Sheet1!B:B,1,FALSE)</f>
        <v>#N/A</v>
      </c>
    </row>
    <row r="699" spans="1:6" ht="17">
      <c r="A699" s="3" t="s">
        <v>580</v>
      </c>
      <c r="B699" s="3" t="s">
        <v>1254</v>
      </c>
      <c r="C699" s="4">
        <f>DATE(2024,9,24)+TIME(13,47,35)</f>
        <v>45559.57471064815</v>
      </c>
      <c r="F699" t="e">
        <f>VLOOKUP(Table1[[#This Row],[Company Name]],Sheet1!B:B,1,FALSE)</f>
        <v>#N/A</v>
      </c>
    </row>
    <row r="700" spans="1:6" ht="17">
      <c r="A700" s="3" t="s">
        <v>580</v>
      </c>
      <c r="B700" s="3" t="s">
        <v>2224</v>
      </c>
      <c r="C700" s="4">
        <f>DATE(2024,7,18)+TIME(16,9,48)</f>
        <v>45491.673472222225</v>
      </c>
      <c r="F700" t="e">
        <f>VLOOKUP(Table1[[#This Row],[Company Name]],Sheet1!B:B,1,FALSE)</f>
        <v>#N/A</v>
      </c>
    </row>
    <row r="701" spans="1:6" ht="17">
      <c r="A701" s="1" t="s">
        <v>580</v>
      </c>
      <c r="B701" s="1" t="s">
        <v>2228</v>
      </c>
      <c r="C701" s="2">
        <f>DATE(2024,7,1)+TIME(7,19,38)</f>
        <v>45474.305300925924</v>
      </c>
      <c r="F701" t="e">
        <f>VLOOKUP(Table1[[#This Row],[Company Name]],Sheet1!B:B,1,FALSE)</f>
        <v>#N/A</v>
      </c>
    </row>
    <row r="702" spans="1:6" ht="17">
      <c r="A702" s="3" t="s">
        <v>580</v>
      </c>
      <c r="B702" s="3" t="s">
        <v>113</v>
      </c>
      <c r="C702" s="4">
        <f>DATE(2024,8,26)+TIME(9,31,41)</f>
        <v>45530.397002314814</v>
      </c>
      <c r="F702" t="e">
        <f>VLOOKUP(Table1[[#This Row],[Company Name]],Sheet1!B:B,1,FALSE)</f>
        <v>#N/A</v>
      </c>
    </row>
    <row r="703" spans="1:6" ht="17">
      <c r="A703" s="3" t="s">
        <v>580</v>
      </c>
      <c r="B703" s="3" t="s">
        <v>1285</v>
      </c>
      <c r="C703" s="4">
        <f>DATE(2024,9,17)+TIME(13,9,5)</f>
        <v>45552.547974537039</v>
      </c>
      <c r="F703" t="e">
        <f>VLOOKUP(Table1[[#This Row],[Company Name]],Sheet1!B:B,1,FALSE)</f>
        <v>#N/A</v>
      </c>
    </row>
    <row r="704" spans="1:6" ht="34">
      <c r="A704" s="1" t="s">
        <v>580</v>
      </c>
      <c r="B704" s="1" t="s">
        <v>2229</v>
      </c>
      <c r="C704" s="2">
        <f>DATE(2024,8,7)+TIME(9,6,26)</f>
        <v>45511.379467592589</v>
      </c>
      <c r="F704" t="e">
        <f>VLOOKUP(Table1[[#This Row],[Company Name]],Sheet1!B:B,1,FALSE)</f>
        <v>#N/A</v>
      </c>
    </row>
    <row r="705" spans="1:6" ht="17">
      <c r="A705" s="1" t="s">
        <v>580</v>
      </c>
      <c r="B705" s="1" t="s">
        <v>2225</v>
      </c>
      <c r="C705" s="2">
        <f>DATE(2024,7,10)+TIME(6,50,3)</f>
        <v>45483.284756944442</v>
      </c>
      <c r="F705" t="e">
        <f>VLOOKUP(Table1[[#This Row],[Company Name]],Sheet1!B:B,1,FALSE)</f>
        <v>#N/A</v>
      </c>
    </row>
    <row r="706" spans="1:6" ht="17">
      <c r="A706" s="1" t="s">
        <v>580</v>
      </c>
      <c r="B706" s="1" t="s">
        <v>113</v>
      </c>
      <c r="C706" s="2">
        <f>DATE(2024,8,26)+TIME(9,40,41)</f>
        <v>45530.403252314813</v>
      </c>
      <c r="F706" t="e">
        <f>VLOOKUP(Table1[[#This Row],[Company Name]],Sheet1!B:B,1,FALSE)</f>
        <v>#N/A</v>
      </c>
    </row>
    <row r="707" spans="1:6" ht="17">
      <c r="A707" s="1" t="s">
        <v>580</v>
      </c>
      <c r="B707" s="1" t="s">
        <v>344</v>
      </c>
      <c r="C707" s="2">
        <f>DATE(2024,7,1)+TIME(10,53,52)</f>
        <v>45474.454074074078</v>
      </c>
      <c r="F707" t="e">
        <f>VLOOKUP(Table1[[#This Row],[Company Name]],Sheet1!B:B,1,FALSE)</f>
        <v>#N/A</v>
      </c>
    </row>
    <row r="708" spans="1:6" ht="17">
      <c r="A708" s="3" t="s">
        <v>580</v>
      </c>
      <c r="B708" s="3" t="s">
        <v>2230</v>
      </c>
      <c r="C708" s="4">
        <f>DATE(2024,7,18)+TIME(16,9,47)</f>
        <v>45491.673460648148</v>
      </c>
      <c r="F708" t="e">
        <f>VLOOKUP(Table1[[#This Row],[Company Name]],Sheet1!B:B,1,FALSE)</f>
        <v>#N/A</v>
      </c>
    </row>
    <row r="709" spans="1:6" ht="34">
      <c r="A709" s="1" t="s">
        <v>580</v>
      </c>
      <c r="B709" s="1" t="s">
        <v>2231</v>
      </c>
      <c r="C709" s="2">
        <f>DATE(2024,7,3)+TIME(12,40,26)</f>
        <v>45476.528078703705</v>
      </c>
      <c r="F709" t="e">
        <f>VLOOKUP(Table1[[#This Row],[Company Name]],Sheet1!B:B,1,FALSE)</f>
        <v>#N/A</v>
      </c>
    </row>
    <row r="710" spans="1:6" ht="17">
      <c r="A710" s="3" t="s">
        <v>580</v>
      </c>
      <c r="B710" s="3" t="s">
        <v>2232</v>
      </c>
      <c r="C710" s="4">
        <f>DATE(2024,7,3)+TIME(12,52,42)</f>
        <v>45476.536597222221</v>
      </c>
      <c r="F710" t="e">
        <f>VLOOKUP(Table1[[#This Row],[Company Name]],Sheet1!B:B,1,FALSE)</f>
        <v>#N/A</v>
      </c>
    </row>
    <row r="711" spans="1:6" ht="17">
      <c r="A711" s="3" t="s">
        <v>580</v>
      </c>
      <c r="B711" s="3" t="s">
        <v>1191</v>
      </c>
      <c r="C711" s="4">
        <f>DATE(2024,7,18)+TIME(16,9,48)</f>
        <v>45491.673472222225</v>
      </c>
      <c r="F711" t="e">
        <f>VLOOKUP(Table1[[#This Row],[Company Name]],Sheet1!B:B,1,FALSE)</f>
        <v>#N/A</v>
      </c>
    </row>
    <row r="712" spans="1:6" ht="17">
      <c r="A712" s="1" t="s">
        <v>580</v>
      </c>
      <c r="B712" s="1" t="s">
        <v>587</v>
      </c>
      <c r="C712" s="2">
        <f>DATE(2024,7,1)+TIME(10,53,51)</f>
        <v>45474.454062500001</v>
      </c>
      <c r="F712" t="e">
        <f>VLOOKUP(Table1[[#This Row],[Company Name]],Sheet1!B:B,1,FALSE)</f>
        <v>#N/A</v>
      </c>
    </row>
    <row r="713" spans="1:6" ht="17">
      <c r="A713" s="3" t="s">
        <v>580</v>
      </c>
      <c r="B713" s="3" t="s">
        <v>2233</v>
      </c>
      <c r="C713" s="4">
        <f>DATE(2024,7,18)+TIME(16,9,46)</f>
        <v>45491.673449074071</v>
      </c>
      <c r="F713" t="e">
        <f>VLOOKUP(Table1[[#This Row],[Company Name]],Sheet1!B:B,1,FALSE)</f>
        <v>#N/A</v>
      </c>
    </row>
    <row r="714" spans="1:6" ht="17">
      <c r="A714" s="1" t="s">
        <v>580</v>
      </c>
      <c r="B714" s="1" t="s">
        <v>2118</v>
      </c>
      <c r="C714" s="2">
        <f>DATE(2024,8,9)+TIME(10,35,30)</f>
        <v>45513.441319444442</v>
      </c>
      <c r="F714" t="e">
        <f>VLOOKUP(Table1[[#This Row],[Company Name]],Sheet1!B:B,1,FALSE)</f>
        <v>#N/A</v>
      </c>
    </row>
    <row r="715" spans="1:6" ht="34">
      <c r="A715" s="1" t="s">
        <v>580</v>
      </c>
      <c r="B715" s="1" t="s">
        <v>2234</v>
      </c>
      <c r="C715" s="2">
        <f>DATE(2024,6,5)+TIME(13,10,9)</f>
        <v>45448.548715277779</v>
      </c>
      <c r="F715" t="e">
        <f>VLOOKUP(Table1[[#This Row],[Company Name]],Sheet1!B:B,1,FALSE)</f>
        <v>#N/A</v>
      </c>
    </row>
    <row r="716" spans="1:6" ht="17">
      <c r="A716" s="3" t="s">
        <v>580</v>
      </c>
      <c r="B716" s="3" t="s">
        <v>2225</v>
      </c>
      <c r="C716" s="4">
        <f>DATE(2024,7,11)+TIME(14,12,14)</f>
        <v>45484.591828703706</v>
      </c>
      <c r="F716" t="e">
        <f>VLOOKUP(Table1[[#This Row],[Company Name]],Sheet1!B:B,1,FALSE)</f>
        <v>#N/A</v>
      </c>
    </row>
    <row r="717" spans="1:6" ht="34">
      <c r="A717" s="1" t="s">
        <v>580</v>
      </c>
      <c r="B717" s="1" t="s">
        <v>2235</v>
      </c>
      <c r="C717" s="2">
        <f>DATE(2024,9,3)+TIME(8,11,9)</f>
        <v>45538.34107638889</v>
      </c>
      <c r="F717" t="e">
        <f>VLOOKUP(Table1[[#This Row],[Company Name]],Sheet1!B:B,1,FALSE)</f>
        <v>#N/A</v>
      </c>
    </row>
    <row r="718" spans="1:6" ht="17">
      <c r="A718" s="1" t="s">
        <v>580</v>
      </c>
      <c r="B718" s="1" t="s">
        <v>2236</v>
      </c>
      <c r="C718" s="2">
        <f>DATE(2024,9,20)+TIME(7,40,38)</f>
        <v>45555.319884259261</v>
      </c>
      <c r="F718" t="e">
        <f>VLOOKUP(Table1[[#This Row],[Company Name]],Sheet1!B:B,1,FALSE)</f>
        <v>#N/A</v>
      </c>
    </row>
    <row r="719" spans="1:6" ht="17">
      <c r="A719" s="1" t="s">
        <v>580</v>
      </c>
      <c r="B719" s="1" t="s">
        <v>113</v>
      </c>
      <c r="C719" s="2">
        <f>DATE(2024,8,26)+TIME(9,36,46)</f>
        <v>45530.40053240741</v>
      </c>
      <c r="F719" t="e">
        <f>VLOOKUP(Table1[[#This Row],[Company Name]],Sheet1!B:B,1,FALSE)</f>
        <v>#N/A</v>
      </c>
    </row>
    <row r="720" spans="1:6" ht="34">
      <c r="A720" s="1" t="s">
        <v>580</v>
      </c>
      <c r="B720" s="1" t="s">
        <v>2237</v>
      </c>
      <c r="C720" s="2">
        <f>DATE(2024,9,24)+TIME(13,27,10)</f>
        <v>45559.560532407406</v>
      </c>
      <c r="F720" t="e">
        <f>VLOOKUP(Table1[[#This Row],[Company Name]],Sheet1!B:B,1,FALSE)</f>
        <v>#N/A</v>
      </c>
    </row>
    <row r="721" spans="1:6" ht="17">
      <c r="A721" s="3" t="s">
        <v>580</v>
      </c>
      <c r="B721" s="3" t="s">
        <v>344</v>
      </c>
      <c r="C721" s="4">
        <f>DATE(2024,6,5)+TIME(13,10,9)</f>
        <v>45448.548715277779</v>
      </c>
      <c r="F721" t="e">
        <f>VLOOKUP(Table1[[#This Row],[Company Name]],Sheet1!B:B,1,FALSE)</f>
        <v>#N/A</v>
      </c>
    </row>
    <row r="722" spans="1:6" ht="17">
      <c r="A722" s="3" t="s">
        <v>580</v>
      </c>
      <c r="B722" s="3" t="s">
        <v>2224</v>
      </c>
      <c r="C722" s="4">
        <f>DATE(2024,7,18)+TIME(16,9,47)</f>
        <v>45491.673460648148</v>
      </c>
      <c r="F722" t="e">
        <f>VLOOKUP(Table1[[#This Row],[Company Name]],Sheet1!B:B,1,FALSE)</f>
        <v>#N/A</v>
      </c>
    </row>
    <row r="723" spans="1:6" ht="17">
      <c r="A723" s="3" t="s">
        <v>580</v>
      </c>
      <c r="B723" s="3" t="s">
        <v>2238</v>
      </c>
      <c r="C723" s="4">
        <f>DATE(2024,7,1)+TIME(7,19,38)</f>
        <v>45474.305300925924</v>
      </c>
      <c r="F723" t="e">
        <f>VLOOKUP(Table1[[#This Row],[Company Name]],Sheet1!B:B,1,FALSE)</f>
        <v>#N/A</v>
      </c>
    </row>
    <row r="724" spans="1:6" ht="17">
      <c r="A724" s="1" t="s">
        <v>580</v>
      </c>
      <c r="B724" s="1" t="s">
        <v>1261</v>
      </c>
      <c r="C724" s="2">
        <f>DATE(2024,7,18)+TIME(16,9,47)</f>
        <v>45491.673460648148</v>
      </c>
      <c r="F724" t="e">
        <f>VLOOKUP(Table1[[#This Row],[Company Name]],Sheet1!B:B,1,FALSE)</f>
        <v>#N/A</v>
      </c>
    </row>
    <row r="725" spans="1:6" ht="17">
      <c r="A725" s="1" t="s">
        <v>580</v>
      </c>
      <c r="B725" s="1" t="s">
        <v>2227</v>
      </c>
      <c r="C725" s="2">
        <f>DATE(2024,7,18)+TIME(16,9,48)</f>
        <v>45491.673472222225</v>
      </c>
      <c r="F725" t="e">
        <f>VLOOKUP(Table1[[#This Row],[Company Name]],Sheet1!B:B,1,FALSE)</f>
        <v>#N/A</v>
      </c>
    </row>
    <row r="726" spans="1:6" ht="17">
      <c r="A726" s="3" t="s">
        <v>580</v>
      </c>
      <c r="B726" s="3" t="s">
        <v>2239</v>
      </c>
      <c r="C726" s="4">
        <f>DATE(2024,8,7)+TIME(8,49,21)</f>
        <v>45511.367604166669</v>
      </c>
      <c r="F726" t="e">
        <f>VLOOKUP(Table1[[#This Row],[Company Name]],Sheet1!B:B,1,FALSE)</f>
        <v>#N/A</v>
      </c>
    </row>
    <row r="727" spans="1:6" ht="17">
      <c r="A727" s="1" t="s">
        <v>1593</v>
      </c>
      <c r="B727" s="1" t="s">
        <v>344</v>
      </c>
      <c r="C727" s="2">
        <f>DATE(2024,6,10)+TIME(10,40,16)</f>
        <v>45453.44462962963</v>
      </c>
      <c r="F727" t="e">
        <f>VLOOKUP(Table1[[#This Row],[Company Name]],Sheet1!B:B,1,FALSE)</f>
        <v>#N/A</v>
      </c>
    </row>
    <row r="728" spans="1:6" ht="17">
      <c r="A728" s="1" t="s">
        <v>597</v>
      </c>
      <c r="B728" s="1" t="s">
        <v>121</v>
      </c>
      <c r="C728" s="2">
        <f>DATE(2024,6,6)+TIME(14,30,56)</f>
        <v>45449.604814814818</v>
      </c>
      <c r="F728" t="e">
        <f>VLOOKUP(Table1[[#This Row],[Company Name]],Sheet1!B:B,1,FALSE)</f>
        <v>#N/A</v>
      </c>
    </row>
    <row r="729" spans="1:6" ht="17">
      <c r="A729" s="1" t="s">
        <v>597</v>
      </c>
      <c r="B729" s="1" t="s">
        <v>598</v>
      </c>
      <c r="C729" s="2">
        <f>DATE(2024,6,6)+TIME(14,31,37)</f>
        <v>45449.60528935185</v>
      </c>
      <c r="F729" t="e">
        <f>VLOOKUP(Table1[[#This Row],[Company Name]],Sheet1!B:B,1,FALSE)</f>
        <v>#N/A</v>
      </c>
    </row>
    <row r="730" spans="1:6" ht="17">
      <c r="A730" s="6" t="s">
        <v>1594</v>
      </c>
      <c r="B730" s="6" t="s">
        <v>1595</v>
      </c>
      <c r="C730" s="7">
        <f>DATE(2024,6,20)+TIME(3,45,52)</f>
        <v>45463.156851851854</v>
      </c>
      <c r="D730" s="8" t="s">
        <v>2002</v>
      </c>
      <c r="F730" t="e">
        <f>VLOOKUP(Table1[[#This Row],[Company Name]],Sheet1!B:B,1,FALSE)</f>
        <v>#N/A</v>
      </c>
    </row>
    <row r="731" spans="1:6" ht="17">
      <c r="A731" s="6" t="s">
        <v>1597</v>
      </c>
      <c r="B731" s="6" t="s">
        <v>1598</v>
      </c>
      <c r="C731" s="7">
        <f>DATE(2024,9,18)+TIME(7,38,47)</f>
        <v>45553.318599537037</v>
      </c>
      <c r="D731" s="8" t="s">
        <v>2002</v>
      </c>
      <c r="F731" t="e">
        <f>VLOOKUP(Table1[[#This Row],[Company Name]],Sheet1!B:B,1,FALSE)</f>
        <v>#N/A</v>
      </c>
    </row>
    <row r="732" spans="1:6" ht="17">
      <c r="A732" s="6" t="s">
        <v>1597</v>
      </c>
      <c r="B732" s="6" t="s">
        <v>1261</v>
      </c>
      <c r="C732" s="7">
        <f>DATE(2024,9,18)+TIME(7,38,47)</f>
        <v>45553.318599537037</v>
      </c>
      <c r="D732" s="8" t="s">
        <v>2002</v>
      </c>
      <c r="F732" t="e">
        <f>VLOOKUP(Table1[[#This Row],[Company Name]],Sheet1!B:B,1,FALSE)</f>
        <v>#N/A</v>
      </c>
    </row>
    <row r="733" spans="1:6" ht="17">
      <c r="A733" s="6" t="s">
        <v>2240</v>
      </c>
      <c r="B733" s="6" t="s">
        <v>1600</v>
      </c>
      <c r="C733" s="7">
        <f>DATE(2024,8,29)+TIME(12,39,18)</f>
        <v>45533.527291666665</v>
      </c>
      <c r="D733" s="8" t="s">
        <v>2002</v>
      </c>
      <c r="F733" t="e">
        <f>VLOOKUP(Table1[[#This Row],[Company Name]],Sheet1!B:B,1,FALSE)</f>
        <v>#N/A</v>
      </c>
    </row>
    <row r="734" spans="1:6" ht="17">
      <c r="A734" s="6" t="s">
        <v>604</v>
      </c>
      <c r="B734" s="6" t="s">
        <v>1603</v>
      </c>
      <c r="C734" s="7">
        <f>DATE(2024,8,15)+TIME(10,29,41)</f>
        <v>45519.437280092592</v>
      </c>
      <c r="D734" s="8" t="s">
        <v>2002</v>
      </c>
      <c r="E734" s="15" t="s">
        <v>1585</v>
      </c>
      <c r="F734" t="s">
        <v>61</v>
      </c>
    </row>
    <row r="735" spans="1:6" ht="17">
      <c r="A735" s="6" t="s">
        <v>604</v>
      </c>
      <c r="B735" s="6" t="s">
        <v>2241</v>
      </c>
      <c r="C735" s="7">
        <f>DATE(2024,9,12)+TIME(14,59,43)</f>
        <v>45547.624803240738</v>
      </c>
      <c r="D735" s="8" t="s">
        <v>2002</v>
      </c>
      <c r="E735" s="15" t="s">
        <v>1585</v>
      </c>
      <c r="F735" t="s">
        <v>61</v>
      </c>
    </row>
    <row r="736" spans="1:6" ht="17">
      <c r="A736" s="6" t="s">
        <v>604</v>
      </c>
      <c r="B736" s="6" t="s">
        <v>296</v>
      </c>
      <c r="C736" s="7">
        <f>DATE(2024,9,6)+TIME(13,35,50)</f>
        <v>45541.566550925927</v>
      </c>
      <c r="D736" s="8" t="s">
        <v>2002</v>
      </c>
      <c r="E736" s="15" t="s">
        <v>1585</v>
      </c>
      <c r="F736" t="s">
        <v>61</v>
      </c>
    </row>
    <row r="737" spans="1:6" ht="17">
      <c r="A737" s="6" t="s">
        <v>604</v>
      </c>
      <c r="B737" s="6" t="s">
        <v>2242</v>
      </c>
      <c r="C737" s="7">
        <f>DATE(2024,7,3)+TIME(8,3,15)</f>
        <v>45476.335590277777</v>
      </c>
      <c r="D737" s="8" t="s">
        <v>2002</v>
      </c>
      <c r="E737" s="15" t="s">
        <v>1585</v>
      </c>
      <c r="F737" t="s">
        <v>61</v>
      </c>
    </row>
    <row r="738" spans="1:6" ht="17">
      <c r="A738" s="6" t="s">
        <v>604</v>
      </c>
      <c r="B738" s="6" t="s">
        <v>610</v>
      </c>
      <c r="C738" s="7">
        <f>DATE(2024,8,30)+TIME(18,0,4)</f>
        <v>45534.7500462963</v>
      </c>
      <c r="D738" s="8" t="s">
        <v>2002</v>
      </c>
      <c r="E738" s="15" t="s">
        <v>1585</v>
      </c>
      <c r="F738" t="s">
        <v>61</v>
      </c>
    </row>
    <row r="739" spans="1:6" ht="34">
      <c r="A739" s="6" t="s">
        <v>604</v>
      </c>
      <c r="B739" s="6" t="s">
        <v>2243</v>
      </c>
      <c r="C739" s="7">
        <f>DATE(2024,7,10)+TIME(10,33,3)</f>
        <v>45483.439618055556</v>
      </c>
      <c r="D739" s="8" t="s">
        <v>2002</v>
      </c>
      <c r="E739" s="15" t="s">
        <v>1585</v>
      </c>
      <c r="F739" t="s">
        <v>61</v>
      </c>
    </row>
    <row r="740" spans="1:6" ht="17">
      <c r="A740" s="6" t="s">
        <v>604</v>
      </c>
      <c r="B740" s="6" t="s">
        <v>296</v>
      </c>
      <c r="C740" s="7">
        <f>DATE(2024,8,28)+TIME(13,43,2)</f>
        <v>45532.571550925924</v>
      </c>
      <c r="D740" s="8" t="s">
        <v>2002</v>
      </c>
      <c r="E740" s="15" t="s">
        <v>1585</v>
      </c>
      <c r="F740" t="s">
        <v>61</v>
      </c>
    </row>
    <row r="741" spans="1:6" ht="34">
      <c r="A741" s="6" t="s">
        <v>604</v>
      </c>
      <c r="B741" s="6" t="s">
        <v>2244</v>
      </c>
      <c r="C741" s="7">
        <f>DATE(2024,7,17)+TIME(7,4,34)</f>
        <v>45490.29483796296</v>
      </c>
      <c r="D741" s="8" t="s">
        <v>2002</v>
      </c>
      <c r="E741" s="15" t="s">
        <v>1585</v>
      </c>
      <c r="F741" t="s">
        <v>61</v>
      </c>
    </row>
    <row r="742" spans="1:6" ht="17">
      <c r="A742" s="6" t="s">
        <v>1606</v>
      </c>
      <c r="B742" s="6" t="s">
        <v>1607</v>
      </c>
      <c r="C742" s="7">
        <f>DATE(2024,9,3)+TIME(3,30,31)</f>
        <v>45538.146192129629</v>
      </c>
      <c r="D742" s="8" t="s">
        <v>2002</v>
      </c>
      <c r="E742" s="15" t="s">
        <v>1608</v>
      </c>
      <c r="F742" t="s">
        <v>61</v>
      </c>
    </row>
    <row r="743" spans="1:6" ht="17">
      <c r="A743" s="6" t="s">
        <v>1606</v>
      </c>
      <c r="B743" s="6" t="s">
        <v>2245</v>
      </c>
      <c r="C743" s="7">
        <f>DATE(2024,9,10)+TIME(4,58,31)</f>
        <v>45545.207303240742</v>
      </c>
      <c r="D743" s="8" t="s">
        <v>2002</v>
      </c>
      <c r="E743" s="15" t="s">
        <v>1608</v>
      </c>
      <c r="F743" t="s">
        <v>61</v>
      </c>
    </row>
    <row r="744" spans="1:6" ht="17">
      <c r="A744" s="6" t="s">
        <v>1606</v>
      </c>
      <c r="B744" s="6" t="s">
        <v>2246</v>
      </c>
      <c r="C744" s="7">
        <f>DATE(2024,9,3)+TIME(3,30,30)</f>
        <v>45538.146180555559</v>
      </c>
      <c r="D744" s="8" t="s">
        <v>2002</v>
      </c>
      <c r="E744" s="15" t="s">
        <v>1608</v>
      </c>
      <c r="F744" t="s">
        <v>61</v>
      </c>
    </row>
    <row r="745" spans="1:6" ht="17">
      <c r="A745" s="6" t="s">
        <v>1606</v>
      </c>
      <c r="B745" s="6" t="s">
        <v>2202</v>
      </c>
      <c r="C745" s="7">
        <f>DATE(2024,9,10)+TIME(4,58,30)</f>
        <v>45545.207291666666</v>
      </c>
      <c r="D745" s="8" t="s">
        <v>2002</v>
      </c>
      <c r="E745" s="15" t="s">
        <v>1608</v>
      </c>
      <c r="F745" t="s">
        <v>61</v>
      </c>
    </row>
    <row r="746" spans="1:6" ht="17">
      <c r="A746" s="6" t="s">
        <v>1606</v>
      </c>
      <c r="B746" s="6" t="s">
        <v>2202</v>
      </c>
      <c r="C746" s="7">
        <f>DATE(2024,9,10)+TIME(4,58,31)</f>
        <v>45545.207303240742</v>
      </c>
      <c r="D746" s="8" t="s">
        <v>2002</v>
      </c>
      <c r="E746" s="15" t="s">
        <v>1608</v>
      </c>
      <c r="F746" t="s">
        <v>61</v>
      </c>
    </row>
    <row r="747" spans="1:6" ht="17">
      <c r="A747" s="6" t="s">
        <v>1606</v>
      </c>
      <c r="B747" s="6" t="s">
        <v>2247</v>
      </c>
      <c r="C747" s="7">
        <f>DATE(2024,9,4)+TIME(15,53,3)</f>
        <v>45539.661840277775</v>
      </c>
      <c r="D747" s="8" t="s">
        <v>2002</v>
      </c>
      <c r="E747" s="15" t="s">
        <v>1608</v>
      </c>
      <c r="F747" t="s">
        <v>61</v>
      </c>
    </row>
    <row r="748" spans="1:6" ht="17">
      <c r="A748" s="6" t="s">
        <v>1606</v>
      </c>
      <c r="B748" s="6" t="s">
        <v>943</v>
      </c>
      <c r="C748" s="7">
        <f>DATE(2024,9,10)+TIME(4,58,30)</f>
        <v>45545.207291666666</v>
      </c>
      <c r="D748" s="8" t="s">
        <v>2002</v>
      </c>
      <c r="E748" s="15" t="s">
        <v>1608</v>
      </c>
      <c r="F748" t="s">
        <v>61</v>
      </c>
    </row>
    <row r="749" spans="1:6" ht="17">
      <c r="A749" s="6" t="s">
        <v>1606</v>
      </c>
      <c r="B749" s="6" t="s">
        <v>943</v>
      </c>
      <c r="C749" s="7">
        <f>DATE(2024,9,10)+TIME(4,58,31)</f>
        <v>45545.207303240742</v>
      </c>
      <c r="D749" s="8" t="s">
        <v>2002</v>
      </c>
      <c r="E749" s="15" t="s">
        <v>1608</v>
      </c>
      <c r="F749" t="s">
        <v>61</v>
      </c>
    </row>
    <row r="750" spans="1:6" ht="17">
      <c r="A750" s="6" t="s">
        <v>1606</v>
      </c>
      <c r="B750" s="6" t="s">
        <v>2248</v>
      </c>
      <c r="C750" s="7">
        <f>DATE(2024,9,10)+TIME(4,58,30)</f>
        <v>45545.207291666666</v>
      </c>
      <c r="D750" s="8" t="s">
        <v>2002</v>
      </c>
      <c r="E750" s="15" t="s">
        <v>1608</v>
      </c>
      <c r="F750" t="s">
        <v>61</v>
      </c>
    </row>
    <row r="751" spans="1:6" ht="34">
      <c r="A751" s="6" t="s">
        <v>1992</v>
      </c>
      <c r="B751" s="6" t="s">
        <v>2249</v>
      </c>
      <c r="C751" s="7">
        <f>DATE(2024,8,1)+TIME(11,28,10)</f>
        <v>45505.477893518517</v>
      </c>
      <c r="D751" s="8" t="s">
        <v>2002</v>
      </c>
      <c r="E751" s="15" t="s">
        <v>1608</v>
      </c>
      <c r="F751" t="s">
        <v>61</v>
      </c>
    </row>
    <row r="752" spans="1:6" ht="17">
      <c r="A752" s="6" t="s">
        <v>1606</v>
      </c>
      <c r="B752" s="6" t="s">
        <v>2248</v>
      </c>
      <c r="C752" s="7">
        <f>DATE(2024,9,10)+TIME(4,58,29)</f>
        <v>45545.207280092596</v>
      </c>
      <c r="D752" s="8" t="s">
        <v>2002</v>
      </c>
      <c r="E752" s="15" t="s">
        <v>1608</v>
      </c>
      <c r="F752" t="s">
        <v>61</v>
      </c>
    </row>
    <row r="753" spans="1:6" ht="17">
      <c r="A753" s="6" t="s">
        <v>1606</v>
      </c>
      <c r="B753" s="6" t="s">
        <v>2248</v>
      </c>
      <c r="C753" s="7">
        <f>DATE(2024,9,10)+TIME(4,58,31)</f>
        <v>45545.207303240742</v>
      </c>
      <c r="D753" s="8" t="s">
        <v>2002</v>
      </c>
      <c r="E753" s="15" t="s">
        <v>1608</v>
      </c>
      <c r="F753" t="s">
        <v>61</v>
      </c>
    </row>
    <row r="754" spans="1:6" ht="17">
      <c r="A754" s="6" t="s">
        <v>1609</v>
      </c>
      <c r="B754" s="6" t="s">
        <v>1330</v>
      </c>
      <c r="C754" s="7">
        <f>DATE(2024,9,24)+TIME(4,40,39)</f>
        <v>45559.194895833331</v>
      </c>
      <c r="D754" s="8" t="s">
        <v>2002</v>
      </c>
      <c r="E754" s="15" t="s">
        <v>1608</v>
      </c>
      <c r="F754" t="s">
        <v>61</v>
      </c>
    </row>
    <row r="755" spans="1:6" ht="34">
      <c r="A755" s="6" t="s">
        <v>1610</v>
      </c>
      <c r="B755" s="6" t="s">
        <v>1611</v>
      </c>
      <c r="C755" s="7">
        <f>DATE(2024,8,27)+TIME(7,0,29)</f>
        <v>45531.292002314818</v>
      </c>
      <c r="D755" s="8" t="s">
        <v>2002</v>
      </c>
      <c r="F755" t="e">
        <f>VLOOKUP(Table1[[#This Row],[Company Name]],Sheet1!B:B,1,FALSE)</f>
        <v>#N/A</v>
      </c>
    </row>
    <row r="756" spans="1:6" ht="51">
      <c r="A756" s="6" t="s">
        <v>1612</v>
      </c>
      <c r="B756" s="6" t="s">
        <v>1613</v>
      </c>
      <c r="C756" s="7">
        <f>DATE(2024,8,27)+TIME(7,0,29)</f>
        <v>45531.292002314818</v>
      </c>
      <c r="D756" s="8" t="s">
        <v>2002</v>
      </c>
      <c r="F756" t="e">
        <f>VLOOKUP(Table1[[#This Row],[Company Name]],Sheet1!B:B,1,FALSE)</f>
        <v>#N/A</v>
      </c>
    </row>
    <row r="757" spans="1:6" ht="17">
      <c r="A757" s="6" t="s">
        <v>1614</v>
      </c>
      <c r="B757" s="6" t="s">
        <v>1615</v>
      </c>
      <c r="C757" s="7">
        <f>DATE(2024,9,18)+TIME(7,47,2)</f>
        <v>45553.324328703704</v>
      </c>
      <c r="D757" s="8" t="s">
        <v>2002</v>
      </c>
      <c r="F757" t="e">
        <f>VLOOKUP(Table1[[#This Row],[Company Name]],Sheet1!B:B,1,FALSE)</f>
        <v>#N/A</v>
      </c>
    </row>
    <row r="758" spans="1:6" ht="17">
      <c r="A758" s="6" t="s">
        <v>617</v>
      </c>
      <c r="B758" s="6" t="s">
        <v>618</v>
      </c>
      <c r="C758" s="7">
        <f>DATE(2024,9,17)+TIME(19,31,4)</f>
        <v>45552.813240740739</v>
      </c>
      <c r="D758" s="8" t="s">
        <v>2002</v>
      </c>
      <c r="F758" t="e">
        <f>VLOOKUP(Table1[[#This Row],[Company Name]],Sheet1!B:B,1,FALSE)</f>
        <v>#N/A</v>
      </c>
    </row>
    <row r="759" spans="1:6" ht="17">
      <c r="A759" s="3" t="s">
        <v>1616</v>
      </c>
      <c r="B759" s="3" t="s">
        <v>675</v>
      </c>
      <c r="C759" s="4">
        <f>DATE(2024,9,19)+TIME(9,35,52)</f>
        <v>45554.399907407409</v>
      </c>
      <c r="F759" t="e">
        <f>VLOOKUP(Table1[[#This Row],[Company Name]],Sheet1!B:B,1,FALSE)</f>
        <v>#N/A</v>
      </c>
    </row>
    <row r="760" spans="1:6" ht="17">
      <c r="A760" s="1" t="s">
        <v>1617</v>
      </c>
      <c r="B760" s="1" t="s">
        <v>1618</v>
      </c>
      <c r="C760" s="2">
        <f>DATE(2024,8,29)+TIME(6,56,10)</f>
        <v>45533.289004629631</v>
      </c>
      <c r="F760" t="e">
        <f>VLOOKUP(Table1[[#This Row],[Company Name]],Sheet1!B:B,1,FALSE)</f>
        <v>#N/A</v>
      </c>
    </row>
    <row r="761" spans="1:6" ht="17">
      <c r="A761" s="3" t="s">
        <v>1619</v>
      </c>
      <c r="B761" s="3" t="s">
        <v>1620</v>
      </c>
      <c r="C761" s="4">
        <f>DATE(2024,9,26)+TIME(9,51,33)</f>
        <v>45561.410798611112</v>
      </c>
      <c r="E761" s="15" t="s">
        <v>1094</v>
      </c>
      <c r="F761" t="s">
        <v>61</v>
      </c>
    </row>
    <row r="762" spans="1:6" ht="17">
      <c r="A762" s="1" t="s">
        <v>1619</v>
      </c>
      <c r="B762" s="1" t="s">
        <v>1173</v>
      </c>
      <c r="C762" s="2">
        <f>DATE(2024,9,23)+TIME(11,46,2)</f>
        <v>45558.490300925929</v>
      </c>
      <c r="E762" s="15" t="s">
        <v>1094</v>
      </c>
      <c r="F762" t="s">
        <v>61</v>
      </c>
    </row>
    <row r="763" spans="1:6" ht="34">
      <c r="A763" s="1" t="s">
        <v>1621</v>
      </c>
      <c r="B763" s="1" t="s">
        <v>1622</v>
      </c>
      <c r="C763" s="2">
        <f>DATE(2024,9,23)+TIME(11,44,43)</f>
        <v>45558.489386574074</v>
      </c>
      <c r="F763" t="e">
        <f>VLOOKUP(Table1[[#This Row],[Company Name]],Sheet1!B:B,1,FALSE)</f>
        <v>#N/A</v>
      </c>
    </row>
    <row r="764" spans="1:6" ht="34">
      <c r="A764" s="1" t="s">
        <v>1623</v>
      </c>
      <c r="B764" s="1" t="s">
        <v>1624</v>
      </c>
      <c r="C764" s="2">
        <f>DATE(2024,6,5)+TIME(12,9,15)</f>
        <v>45448.506423611114</v>
      </c>
      <c r="E764" s="15" t="s">
        <v>1040</v>
      </c>
      <c r="F764" t="s">
        <v>61</v>
      </c>
    </row>
    <row r="765" spans="1:6" ht="17">
      <c r="A765" s="3" t="s">
        <v>1625</v>
      </c>
      <c r="B765" s="3" t="s">
        <v>296</v>
      </c>
      <c r="C765" s="4">
        <f>DATE(2024,8,22)+TIME(21,20,50)</f>
        <v>45526.889467592591</v>
      </c>
      <c r="F765" t="e">
        <f>VLOOKUP(Table1[[#This Row],[Company Name]],Sheet1!B:B,1,FALSE)</f>
        <v>#N/A</v>
      </c>
    </row>
    <row r="766" spans="1:6" ht="17">
      <c r="A766" s="3" t="s">
        <v>1626</v>
      </c>
      <c r="B766" s="3" t="s">
        <v>1627</v>
      </c>
      <c r="C766" s="4">
        <f>DATE(2024,9,10)+TIME(12,48,15)</f>
        <v>45545.533506944441</v>
      </c>
      <c r="F766" t="e">
        <f>VLOOKUP(Table1[[#This Row],[Company Name]],Sheet1!B:B,1,FALSE)</f>
        <v>#N/A</v>
      </c>
    </row>
    <row r="767" spans="1:6" ht="17">
      <c r="A767" s="3" t="s">
        <v>1628</v>
      </c>
      <c r="B767" s="3" t="s">
        <v>1629</v>
      </c>
      <c r="C767" s="4">
        <f>DATE(2024,7,2)+TIME(6,24,39)</f>
        <v>45475.267118055555</v>
      </c>
      <c r="F767" t="e">
        <f>VLOOKUP(Table1[[#This Row],[Company Name]],Sheet1!B:B,1,FALSE)</f>
        <v>#N/A</v>
      </c>
    </row>
    <row r="768" spans="1:6" ht="17">
      <c r="A768" s="1" t="s">
        <v>1630</v>
      </c>
      <c r="B768" s="1" t="s">
        <v>1254</v>
      </c>
      <c r="C768" s="2">
        <f>DATE(2024,8,14)+TIME(13,4,1)</f>
        <v>45518.544456018521</v>
      </c>
      <c r="F768" t="e">
        <f>VLOOKUP(Table1[[#This Row],[Company Name]],Sheet1!B:B,1,FALSE)</f>
        <v>#N/A</v>
      </c>
    </row>
    <row r="769" spans="1:6" ht="17">
      <c r="A769" s="1" t="s">
        <v>1630</v>
      </c>
      <c r="B769" s="1" t="s">
        <v>1254</v>
      </c>
      <c r="C769" s="2">
        <f>DATE(2024,8,14)+TIME(12,28,14)</f>
        <v>45518.519606481481</v>
      </c>
      <c r="F769" t="e">
        <f>VLOOKUP(Table1[[#This Row],[Company Name]],Sheet1!B:B,1,FALSE)</f>
        <v>#N/A</v>
      </c>
    </row>
    <row r="770" spans="1:6" ht="17">
      <c r="A770" s="3" t="s">
        <v>1631</v>
      </c>
      <c r="B770" s="3" t="s">
        <v>1632</v>
      </c>
      <c r="C770" s="4">
        <f>DATE(2024,8,12)+TIME(10,45,40)</f>
        <v>45516.448379629626</v>
      </c>
      <c r="F770" t="e">
        <f>VLOOKUP(Table1[[#This Row],[Company Name]],Sheet1!B:B,1,FALSE)</f>
        <v>#N/A</v>
      </c>
    </row>
    <row r="771" spans="1:6" ht="17">
      <c r="A771" s="1" t="s">
        <v>1633</v>
      </c>
      <c r="B771" s="1" t="s">
        <v>1214</v>
      </c>
      <c r="C771" s="2">
        <f>DATE(2024,7,3)+TIME(5,47,11)</f>
        <v>45476.241099537037</v>
      </c>
      <c r="F771" t="e">
        <f>VLOOKUP(Table1[[#This Row],[Company Name]],Sheet1!B:B,1,FALSE)</f>
        <v>#N/A</v>
      </c>
    </row>
    <row r="772" spans="1:6" ht="17">
      <c r="A772" s="6" t="s">
        <v>1634</v>
      </c>
      <c r="B772" s="6" t="s">
        <v>1635</v>
      </c>
      <c r="C772" s="7">
        <f>DATE(2024,8,15)+TIME(10,47,47)</f>
        <v>45519.449849537035</v>
      </c>
      <c r="D772" s="8" t="s">
        <v>2002</v>
      </c>
      <c r="F772" t="e">
        <f>VLOOKUP(Table1[[#This Row],[Company Name]],Sheet1!B:B,1,FALSE)</f>
        <v>#N/A</v>
      </c>
    </row>
    <row r="773" spans="1:6" ht="17">
      <c r="A773" s="3" t="s">
        <v>1638</v>
      </c>
      <c r="B773" s="3" t="s">
        <v>85</v>
      </c>
      <c r="C773" s="4">
        <f>DATE(2024,9,18)+TIME(11,52,51)</f>
        <v>45553.495034722226</v>
      </c>
      <c r="F773" t="e">
        <f>VLOOKUP(Table1[[#This Row],[Company Name]],Sheet1!B:B,1,FALSE)</f>
        <v>#N/A</v>
      </c>
    </row>
    <row r="774" spans="1:6" ht="17">
      <c r="A774" s="1" t="s">
        <v>638</v>
      </c>
      <c r="B774" s="1" t="s">
        <v>85</v>
      </c>
      <c r="C774" s="2">
        <f>DATE(2024,8,4)+TIME(16,38,10)</f>
        <v>45508.693171296298</v>
      </c>
      <c r="F774" t="e">
        <f>VLOOKUP(Table1[[#This Row],[Company Name]],Sheet1!B:B,1,FALSE)</f>
        <v>#N/A</v>
      </c>
    </row>
    <row r="775" spans="1:6" ht="17">
      <c r="A775" s="1" t="s">
        <v>638</v>
      </c>
      <c r="B775" s="1" t="s">
        <v>296</v>
      </c>
      <c r="C775" s="2">
        <f>DATE(2024,9,17)+TIME(15,50,19)</f>
        <v>45552.659942129627</v>
      </c>
      <c r="F775" t="e">
        <f>VLOOKUP(Table1[[#This Row],[Company Name]],Sheet1!B:B,1,FALSE)</f>
        <v>#N/A</v>
      </c>
    </row>
    <row r="776" spans="1:6" ht="17">
      <c r="A776" s="3" t="s">
        <v>638</v>
      </c>
      <c r="B776" s="3" t="s">
        <v>2250</v>
      </c>
      <c r="C776" s="4">
        <f>DATE(2024,9,25)+TIME(11,27,3)</f>
        <v>45560.477118055554</v>
      </c>
      <c r="F776" t="e">
        <f>VLOOKUP(Table1[[#This Row],[Company Name]],Sheet1!B:B,1,FALSE)</f>
        <v>#N/A</v>
      </c>
    </row>
    <row r="777" spans="1:6" ht="17">
      <c r="A777" s="1" t="s">
        <v>638</v>
      </c>
      <c r="B777" s="1" t="s">
        <v>1251</v>
      </c>
      <c r="C777" s="2">
        <f>DATE(2024,8,21)+TIME(15,20,19)</f>
        <v>45525.639108796298</v>
      </c>
      <c r="F777" t="e">
        <f>VLOOKUP(Table1[[#This Row],[Company Name]],Sheet1!B:B,1,FALSE)</f>
        <v>#N/A</v>
      </c>
    </row>
    <row r="778" spans="1:6" ht="17">
      <c r="A778" s="1" t="s">
        <v>1639</v>
      </c>
      <c r="B778" s="1" t="s">
        <v>1640</v>
      </c>
      <c r="C778" s="2">
        <f>DATE(2024,6,3)+TIME(14,59,55)</f>
        <v>45446.624942129631</v>
      </c>
      <c r="E778" s="15" t="s">
        <v>1641</v>
      </c>
      <c r="F778" t="s">
        <v>61</v>
      </c>
    </row>
    <row r="779" spans="1:6" ht="17">
      <c r="A779" s="1" t="s">
        <v>2251</v>
      </c>
      <c r="B779" s="1" t="s">
        <v>2252</v>
      </c>
      <c r="C779" s="2">
        <f>DATE(2024,8,19)+TIME(15,47,13)</f>
        <v>45523.657789351855</v>
      </c>
      <c r="E779" s="15" t="s">
        <v>1641</v>
      </c>
      <c r="F779" t="s">
        <v>61</v>
      </c>
    </row>
    <row r="780" spans="1:6" ht="17">
      <c r="A780" s="3" t="s">
        <v>2251</v>
      </c>
      <c r="B780" s="3" t="s">
        <v>296</v>
      </c>
      <c r="C780" s="4">
        <f>DATE(2024,8,16)+TIME(14,51,33)</f>
        <v>45520.619131944448</v>
      </c>
      <c r="E780" s="15" t="s">
        <v>1641</v>
      </c>
      <c r="F780" t="s">
        <v>61</v>
      </c>
    </row>
    <row r="781" spans="1:6" ht="17">
      <c r="A781" s="3" t="s">
        <v>2251</v>
      </c>
      <c r="B781" s="3" t="s">
        <v>2253</v>
      </c>
      <c r="C781" s="4">
        <f>DATE(2024,8,19)+TIME(20,46,25)</f>
        <v>45523.865567129629</v>
      </c>
      <c r="E781" s="15" t="s">
        <v>1641</v>
      </c>
      <c r="F781" t="s">
        <v>61</v>
      </c>
    </row>
    <row r="782" spans="1:6" ht="17">
      <c r="A782" s="3" t="s">
        <v>1642</v>
      </c>
      <c r="B782" s="3" t="s">
        <v>1643</v>
      </c>
      <c r="C782" s="4">
        <f>DATE(2024,6,11)+TIME(7,35,25)</f>
        <v>45454.316261574073</v>
      </c>
      <c r="F782" t="e">
        <f>VLOOKUP(Table1[[#This Row],[Company Name]],Sheet1!B:B,1,FALSE)</f>
        <v>#N/A</v>
      </c>
    </row>
    <row r="783" spans="1:6" ht="17">
      <c r="A783" s="3" t="s">
        <v>1644</v>
      </c>
      <c r="B783" s="3" t="s">
        <v>1645</v>
      </c>
      <c r="C783" s="4">
        <f>DATE(2024,9,2)+TIME(8,40,26)</f>
        <v>45537.36141203704</v>
      </c>
      <c r="F783" t="e">
        <f>VLOOKUP(Table1[[#This Row],[Company Name]],Sheet1!B:B,1,FALSE)</f>
        <v>#N/A</v>
      </c>
    </row>
    <row r="784" spans="1:6" ht="34">
      <c r="A784" s="3" t="s">
        <v>1646</v>
      </c>
      <c r="B784" s="3" t="s">
        <v>1647</v>
      </c>
      <c r="C784" s="4">
        <f>DATE(2024,9,9)+TIME(15,28,56)</f>
        <v>45544.645092592589</v>
      </c>
      <c r="F784" t="e">
        <f>VLOOKUP(Table1[[#This Row],[Company Name]],Sheet1!B:B,1,FALSE)</f>
        <v>#N/A</v>
      </c>
    </row>
    <row r="785" spans="1:6" ht="17">
      <c r="A785" s="3" t="s">
        <v>1646</v>
      </c>
      <c r="B785" s="3" t="s">
        <v>2254</v>
      </c>
      <c r="C785" s="4">
        <f>DATE(2024,9,9)+TIME(15,28,55)</f>
        <v>45544.64508101852</v>
      </c>
      <c r="F785" t="e">
        <f>VLOOKUP(Table1[[#This Row],[Company Name]],Sheet1!B:B,1,FALSE)</f>
        <v>#N/A</v>
      </c>
    </row>
    <row r="786" spans="1:6" ht="17">
      <c r="A786" s="1" t="s">
        <v>1646</v>
      </c>
      <c r="B786" s="1" t="s">
        <v>2255</v>
      </c>
      <c r="C786" s="2">
        <f>DATE(2024,9,9)+TIME(15,28,55)</f>
        <v>45544.64508101852</v>
      </c>
      <c r="F786" t="e">
        <f>VLOOKUP(Table1[[#This Row],[Company Name]],Sheet1!B:B,1,FALSE)</f>
        <v>#N/A</v>
      </c>
    </row>
    <row r="787" spans="1:6" ht="17">
      <c r="A787" s="6" t="s">
        <v>1648</v>
      </c>
      <c r="B787" s="6" t="s">
        <v>1649</v>
      </c>
      <c r="C787" s="7">
        <f>DATE(2024,8,1)+TIME(11,48,58)</f>
        <v>45505.492337962962</v>
      </c>
      <c r="D787" s="8" t="s">
        <v>2002</v>
      </c>
      <c r="F787" t="e">
        <f>VLOOKUP(Table1[[#This Row],[Company Name]],Sheet1!B:B,1,FALSE)</f>
        <v>#N/A</v>
      </c>
    </row>
    <row r="788" spans="1:6" ht="17">
      <c r="A788" s="6" t="s">
        <v>1648</v>
      </c>
      <c r="B788" s="6" t="s">
        <v>2256</v>
      </c>
      <c r="C788" s="7">
        <f>DATE(2024,7,30)+TIME(14,0,51)</f>
        <v>45503.583923611113</v>
      </c>
      <c r="D788" s="8" t="s">
        <v>2002</v>
      </c>
      <c r="F788" t="e">
        <f>VLOOKUP(Table1[[#This Row],[Company Name]],Sheet1!B:B,1,FALSE)</f>
        <v>#N/A</v>
      </c>
    </row>
    <row r="789" spans="1:6" ht="17">
      <c r="A789" s="6" t="s">
        <v>1648</v>
      </c>
      <c r="B789" s="6" t="s">
        <v>2257</v>
      </c>
      <c r="C789" s="7">
        <f>DATE(2024,8,13)+TIME(15,28,29)</f>
        <v>45517.644780092596</v>
      </c>
      <c r="D789" s="8" t="s">
        <v>2002</v>
      </c>
      <c r="F789" t="e">
        <f>VLOOKUP(Table1[[#This Row],[Company Name]],Sheet1!B:B,1,FALSE)</f>
        <v>#N/A</v>
      </c>
    </row>
    <row r="790" spans="1:6" ht="17">
      <c r="A790" s="6" t="s">
        <v>1648</v>
      </c>
      <c r="B790" s="6" t="s">
        <v>2258</v>
      </c>
      <c r="C790" s="7">
        <f>DATE(2024,7,30)+TIME(13,52,55)</f>
        <v>45503.578414351854</v>
      </c>
      <c r="D790" s="8" t="s">
        <v>2002</v>
      </c>
      <c r="F790" t="e">
        <f>VLOOKUP(Table1[[#This Row],[Company Name]],Sheet1!B:B,1,FALSE)</f>
        <v>#N/A</v>
      </c>
    </row>
    <row r="791" spans="1:6" ht="17">
      <c r="A791" s="6" t="s">
        <v>1650</v>
      </c>
      <c r="B791" s="6" t="s">
        <v>1651</v>
      </c>
      <c r="C791" s="7">
        <f>DATE(2024,8,21)+TIME(12,53,27)</f>
        <v>45525.537118055552</v>
      </c>
      <c r="D791" s="8" t="s">
        <v>2002</v>
      </c>
      <c r="F791" t="e">
        <f>VLOOKUP(Table1[[#This Row],[Company Name]],Sheet1!B:B,1,FALSE)</f>
        <v>#N/A</v>
      </c>
    </row>
    <row r="792" spans="1:6" ht="17">
      <c r="A792" s="6" t="s">
        <v>1650</v>
      </c>
      <c r="B792" s="6" t="s">
        <v>2259</v>
      </c>
      <c r="C792" s="7">
        <f>DATE(2024,8,21)+TIME(12,53,27)</f>
        <v>45525.537118055552</v>
      </c>
      <c r="D792" s="8" t="s">
        <v>2002</v>
      </c>
      <c r="F792" t="e">
        <f>VLOOKUP(Table1[[#This Row],[Company Name]],Sheet1!B:B,1,FALSE)</f>
        <v>#N/A</v>
      </c>
    </row>
    <row r="793" spans="1:6" ht="17">
      <c r="A793" s="6" t="s">
        <v>1650</v>
      </c>
      <c r="B793" s="6" t="s">
        <v>2260</v>
      </c>
      <c r="C793" s="7">
        <f>DATE(2024,8,21)+TIME(12,32,13)</f>
        <v>45525.522372685184</v>
      </c>
      <c r="D793" s="8" t="s">
        <v>2002</v>
      </c>
      <c r="F793" t="e">
        <f>VLOOKUP(Table1[[#This Row],[Company Name]],Sheet1!B:B,1,FALSE)</f>
        <v>#N/A</v>
      </c>
    </row>
    <row r="794" spans="1:6" ht="17">
      <c r="A794" s="6" t="s">
        <v>1650</v>
      </c>
      <c r="B794" s="6" t="s">
        <v>2261</v>
      </c>
      <c r="C794" s="7">
        <f>DATE(2024,8,21)+TIME(12,36,52)</f>
        <v>45525.525601851848</v>
      </c>
      <c r="D794" s="8" t="s">
        <v>2002</v>
      </c>
      <c r="F794" t="e">
        <f>VLOOKUP(Table1[[#This Row],[Company Name]],Sheet1!B:B,1,FALSE)</f>
        <v>#N/A</v>
      </c>
    </row>
    <row r="795" spans="1:6" ht="17">
      <c r="A795" s="6" t="s">
        <v>1650</v>
      </c>
      <c r="B795" s="6" t="s">
        <v>2262</v>
      </c>
      <c r="C795" s="7">
        <f>DATE(2024,8,21)+TIME(12,43,42)</f>
        <v>45525.530347222222</v>
      </c>
      <c r="D795" s="8" t="s">
        <v>2002</v>
      </c>
      <c r="F795" t="e">
        <f>VLOOKUP(Table1[[#This Row],[Company Name]],Sheet1!B:B,1,FALSE)</f>
        <v>#N/A</v>
      </c>
    </row>
    <row r="796" spans="1:6" ht="17">
      <c r="A796" s="6" t="s">
        <v>1650</v>
      </c>
      <c r="B796" s="6" t="s">
        <v>2263</v>
      </c>
      <c r="C796" s="7">
        <f>DATE(2024,8,21)+TIME(12,53,27)</f>
        <v>45525.537118055552</v>
      </c>
      <c r="D796" s="8" t="s">
        <v>2002</v>
      </c>
      <c r="F796" t="e">
        <f>VLOOKUP(Table1[[#This Row],[Company Name]],Sheet1!B:B,1,FALSE)</f>
        <v>#N/A</v>
      </c>
    </row>
    <row r="797" spans="1:6" ht="17">
      <c r="A797" s="1" t="s">
        <v>1652</v>
      </c>
      <c r="B797" s="1" t="s">
        <v>1653</v>
      </c>
      <c r="C797" s="2">
        <f>DATE(2024,9,18)+TIME(17,14,54)</f>
        <v>45553.718680555554</v>
      </c>
      <c r="F797" t="e">
        <f>VLOOKUP(Table1[[#This Row],[Company Name]],Sheet1!B:B,1,FALSE)</f>
        <v>#N/A</v>
      </c>
    </row>
    <row r="798" spans="1:6" ht="17">
      <c r="A798" s="1" t="s">
        <v>654</v>
      </c>
      <c r="B798" s="1" t="s">
        <v>85</v>
      </c>
      <c r="C798" s="2">
        <f>DATE(2024,9,25)+TIME(9,52,31)</f>
        <v>45560.411469907405</v>
      </c>
      <c r="F798" t="e">
        <f>VLOOKUP(Table1[[#This Row],[Company Name]],Sheet1!B:B,1,FALSE)</f>
        <v>#N/A</v>
      </c>
    </row>
    <row r="799" spans="1:6" ht="17">
      <c r="A799" s="3" t="s">
        <v>1654</v>
      </c>
      <c r="B799" s="3" t="s">
        <v>1655</v>
      </c>
      <c r="C799" s="4">
        <f>DATE(2024,8,30)+TIME(9,19,32)</f>
        <v>45534.388564814813</v>
      </c>
      <c r="F799" t="e">
        <f>VLOOKUP(Table1[[#This Row],[Company Name]],Sheet1!B:B,1,FALSE)</f>
        <v>#N/A</v>
      </c>
    </row>
    <row r="800" spans="1:6" ht="17">
      <c r="A800" s="1" t="s">
        <v>1654</v>
      </c>
      <c r="B800" s="1" t="s">
        <v>2264</v>
      </c>
      <c r="C800" s="2">
        <f>DATE(2024,8,28)+TIME(7,30,33)</f>
        <v>45532.312881944446</v>
      </c>
      <c r="F800" t="e">
        <f>VLOOKUP(Table1[[#This Row],[Company Name]],Sheet1!B:B,1,FALSE)</f>
        <v>#N/A</v>
      </c>
    </row>
    <row r="801" spans="1:6" ht="17">
      <c r="A801" s="1" t="s">
        <v>1654</v>
      </c>
      <c r="B801" s="1" t="s">
        <v>2265</v>
      </c>
      <c r="C801" s="2">
        <f>DATE(2024,7,22)+TIME(8,28,10)</f>
        <v>45495.352893518517</v>
      </c>
      <c r="F801" t="e">
        <f>VLOOKUP(Table1[[#This Row],[Company Name]],Sheet1!B:B,1,FALSE)</f>
        <v>#N/A</v>
      </c>
    </row>
    <row r="802" spans="1:6" ht="17">
      <c r="A802" s="3" t="s">
        <v>1654</v>
      </c>
      <c r="B802" s="3" t="s">
        <v>296</v>
      </c>
      <c r="C802" s="4">
        <f>DATE(2024,8,7)+TIME(17,54,9)</f>
        <v>45511.745937500003</v>
      </c>
      <c r="F802" t="e">
        <f>VLOOKUP(Table1[[#This Row],[Company Name]],Sheet1!B:B,1,FALSE)</f>
        <v>#N/A</v>
      </c>
    </row>
    <row r="803" spans="1:6" ht="17">
      <c r="A803" s="3" t="s">
        <v>1654</v>
      </c>
      <c r="B803" s="3" t="s">
        <v>296</v>
      </c>
      <c r="C803" s="4">
        <f>DATE(2024,7,1)+TIME(16,48,13)</f>
        <v>45474.700150462966</v>
      </c>
      <c r="F803" t="e">
        <f>VLOOKUP(Table1[[#This Row],[Company Name]],Sheet1!B:B,1,FALSE)</f>
        <v>#N/A</v>
      </c>
    </row>
    <row r="804" spans="1:6" ht="17">
      <c r="A804" s="1" t="s">
        <v>1654</v>
      </c>
      <c r="B804" s="1" t="s">
        <v>2266</v>
      </c>
      <c r="C804" s="2">
        <f>DATE(2024,7,11)+TIME(12,15,27)</f>
        <v>45484.510729166665</v>
      </c>
      <c r="F804" t="e">
        <f>VLOOKUP(Table1[[#This Row],[Company Name]],Sheet1!B:B,1,FALSE)</f>
        <v>#N/A</v>
      </c>
    </row>
    <row r="805" spans="1:6" ht="17">
      <c r="A805" s="3" t="s">
        <v>1654</v>
      </c>
      <c r="B805" s="3" t="s">
        <v>296</v>
      </c>
      <c r="C805" s="4">
        <f>DATE(2024,7,15)+TIME(7,52,3)</f>
        <v>45488.3278125</v>
      </c>
      <c r="F805" t="e">
        <f>VLOOKUP(Table1[[#This Row],[Company Name]],Sheet1!B:B,1,FALSE)</f>
        <v>#N/A</v>
      </c>
    </row>
    <row r="806" spans="1:6" ht="17">
      <c r="A806" s="1" t="s">
        <v>1654</v>
      </c>
      <c r="B806" s="1" t="s">
        <v>666</v>
      </c>
      <c r="C806" s="2">
        <f>DATE(2024,7,23)+TIME(9,57,5)</f>
        <v>45496.414641203701</v>
      </c>
      <c r="F806" t="e">
        <f>VLOOKUP(Table1[[#This Row],[Company Name]],Sheet1!B:B,1,FALSE)</f>
        <v>#N/A</v>
      </c>
    </row>
    <row r="807" spans="1:6" ht="17">
      <c r="A807" s="1" t="s">
        <v>1654</v>
      </c>
      <c r="B807" s="1" t="s">
        <v>666</v>
      </c>
      <c r="C807" s="2">
        <f>DATE(2024,8,21)+TIME(8,35,2)</f>
        <v>45525.357662037037</v>
      </c>
      <c r="F807" t="e">
        <f>VLOOKUP(Table1[[#This Row],[Company Name]],Sheet1!B:B,1,FALSE)</f>
        <v>#N/A</v>
      </c>
    </row>
    <row r="808" spans="1:6" ht="17">
      <c r="A808" s="3" t="s">
        <v>1656</v>
      </c>
      <c r="B808" s="3" t="s">
        <v>1657</v>
      </c>
      <c r="C808" s="4">
        <f>DATE(2024,8,26)+TIME(13,42,28)</f>
        <v>45530.571157407408</v>
      </c>
      <c r="F808" t="e">
        <f>VLOOKUP(Table1[[#This Row],[Company Name]],Sheet1!B:B,1,FALSE)</f>
        <v>#N/A</v>
      </c>
    </row>
    <row r="809" spans="1:6" ht="34">
      <c r="A809" s="3" t="s">
        <v>1656</v>
      </c>
      <c r="B809" s="3" t="s">
        <v>2267</v>
      </c>
      <c r="C809" s="4">
        <f>DATE(2024,9,6)+TIME(4,33,34)</f>
        <v>45541.189976851849</v>
      </c>
      <c r="F809" t="e">
        <f>VLOOKUP(Table1[[#This Row],[Company Name]],Sheet1!B:B,1,FALSE)</f>
        <v>#N/A</v>
      </c>
    </row>
    <row r="810" spans="1:6" ht="17">
      <c r="A810" s="3" t="s">
        <v>1658</v>
      </c>
      <c r="B810" s="3" t="s">
        <v>1659</v>
      </c>
      <c r="C810" s="4">
        <f>DATE(2024,9,24)+TIME(8,5,8)</f>
        <v>45559.336898148147</v>
      </c>
      <c r="F810" t="e">
        <f>VLOOKUP(Table1[[#This Row],[Company Name]],Sheet1!B:B,1,FALSE)</f>
        <v>#N/A</v>
      </c>
    </row>
    <row r="811" spans="1:6" ht="17">
      <c r="A811" s="1" t="s">
        <v>1660</v>
      </c>
      <c r="B811" s="1" t="s">
        <v>1661</v>
      </c>
      <c r="C811" s="2">
        <f>DATE(2024,9,19)+TIME(9,38,23)</f>
        <v>45554.401655092595</v>
      </c>
      <c r="F811" t="e">
        <f>VLOOKUP(Table1[[#This Row],[Company Name]],Sheet1!B:B,1,FALSE)</f>
        <v>#N/A</v>
      </c>
    </row>
    <row r="812" spans="1:6" ht="17">
      <c r="A812" s="6" t="s">
        <v>1662</v>
      </c>
      <c r="B812" s="6" t="s">
        <v>271</v>
      </c>
      <c r="C812" s="7">
        <f>DATE(2024,8,25)+TIME(22,20,4)</f>
        <v>45529.930601851855</v>
      </c>
      <c r="D812" s="8" t="s">
        <v>2002</v>
      </c>
      <c r="F812" t="e">
        <f>VLOOKUP(Table1[[#This Row],[Company Name]],Sheet1!B:B,1,FALSE)</f>
        <v>#N/A</v>
      </c>
    </row>
    <row r="813" spans="1:6" ht="17">
      <c r="A813" s="6" t="s">
        <v>1664</v>
      </c>
      <c r="B813" s="6" t="s">
        <v>1665</v>
      </c>
      <c r="C813" s="7">
        <f>DATE(2024,9,24)+TIME(13,12,51)</f>
        <v>45559.55059027778</v>
      </c>
      <c r="D813" s="8" t="s">
        <v>2002</v>
      </c>
      <c r="F813" t="e">
        <f>VLOOKUP(Table1[[#This Row],[Company Name]],Sheet1!B:B,1,FALSE)</f>
        <v>#N/A</v>
      </c>
    </row>
    <row r="814" spans="1:6" ht="17">
      <c r="A814" s="1" t="s">
        <v>674</v>
      </c>
      <c r="B814" s="1" t="s">
        <v>675</v>
      </c>
      <c r="C814" s="2">
        <f>DATE(2024,8,16)+TIME(16,9,6)</f>
        <v>45520.672986111109</v>
      </c>
      <c r="F814" t="e">
        <f>VLOOKUP(Table1[[#This Row],[Company Name]],Sheet1!B:B,1,FALSE)</f>
        <v>#N/A</v>
      </c>
    </row>
    <row r="815" spans="1:6" ht="17">
      <c r="A815" s="3" t="s">
        <v>1666</v>
      </c>
      <c r="B815" s="3" t="s">
        <v>85</v>
      </c>
      <c r="C815" s="4">
        <f>DATE(2024,6,7)+TIME(6,43,25)</f>
        <v>45450.280150462961</v>
      </c>
      <c r="E815" s="15" t="s">
        <v>1040</v>
      </c>
      <c r="F815" t="s">
        <v>61</v>
      </c>
    </row>
    <row r="816" spans="1:6" ht="17">
      <c r="A816" s="3" t="s">
        <v>1666</v>
      </c>
      <c r="B816" s="3" t="s">
        <v>1386</v>
      </c>
      <c r="C816" s="4">
        <f>DATE(2024,7,26)+TIME(12,47,47)</f>
        <v>45499.533182870371</v>
      </c>
      <c r="E816" s="15" t="s">
        <v>1040</v>
      </c>
      <c r="F816" t="s">
        <v>61</v>
      </c>
    </row>
    <row r="817" spans="1:6" ht="17">
      <c r="A817" s="3" t="s">
        <v>1667</v>
      </c>
      <c r="B817" s="3" t="s">
        <v>344</v>
      </c>
      <c r="C817" s="4">
        <f>DATE(2024,8,30)+TIME(14,11,9)</f>
        <v>45534.59107638889</v>
      </c>
      <c r="F817" t="e">
        <f>VLOOKUP(Table1[[#This Row],[Company Name]],Sheet1!B:B,1,FALSE)</f>
        <v>#N/A</v>
      </c>
    </row>
    <row r="818" spans="1:6" ht="17">
      <c r="A818" s="1" t="s">
        <v>1668</v>
      </c>
      <c r="B818" s="1" t="s">
        <v>1669</v>
      </c>
      <c r="C818" s="2">
        <f>DATE(2024,6,3)+TIME(7,57,58)</f>
        <v>45446.331921296296</v>
      </c>
      <c r="F818" t="e">
        <f>VLOOKUP(Table1[[#This Row],[Company Name]],Sheet1!B:B,1,FALSE)</f>
        <v>#N/A</v>
      </c>
    </row>
    <row r="819" spans="1:6" ht="17">
      <c r="A819" s="3" t="s">
        <v>683</v>
      </c>
      <c r="B819" s="3" t="s">
        <v>684</v>
      </c>
      <c r="C819" s="4">
        <f>DATE(2024,6,3)+TIME(13,28,45)</f>
        <v>45446.561631944445</v>
      </c>
      <c r="F819" t="e">
        <f>VLOOKUP(Table1[[#This Row],[Company Name]],Sheet1!B:B,1,FALSE)</f>
        <v>#N/A</v>
      </c>
    </row>
    <row r="820" spans="1:6" ht="17">
      <c r="A820" s="3" t="s">
        <v>683</v>
      </c>
      <c r="B820" s="3" t="s">
        <v>2268</v>
      </c>
      <c r="C820" s="4">
        <f>DATE(2024,6,6)+TIME(6,47,30)</f>
        <v>45449.282986111109</v>
      </c>
      <c r="F820" t="e">
        <f>VLOOKUP(Table1[[#This Row],[Company Name]],Sheet1!B:B,1,FALSE)</f>
        <v>#N/A</v>
      </c>
    </row>
    <row r="821" spans="1:6" ht="17">
      <c r="A821" s="1" t="s">
        <v>1670</v>
      </c>
      <c r="B821" s="1" t="s">
        <v>1671</v>
      </c>
      <c r="C821" s="2">
        <f>DATE(2024,9,11)+TIME(12,2,18)</f>
        <v>45546.501597222225</v>
      </c>
      <c r="F821" t="e">
        <f>VLOOKUP(Table1[[#This Row],[Company Name]],Sheet1!B:B,1,FALSE)</f>
        <v>#N/A</v>
      </c>
    </row>
    <row r="822" spans="1:6" ht="17">
      <c r="A822" s="3" t="s">
        <v>692</v>
      </c>
      <c r="B822" s="3" t="s">
        <v>712</v>
      </c>
      <c r="C822" s="4">
        <f>DATE(2024,7,15)+TIME(14,44,6)</f>
        <v>45488.613958333335</v>
      </c>
      <c r="F822" t="e">
        <f>VLOOKUP(Table1[[#This Row],[Company Name]],Sheet1!B:B,1,FALSE)</f>
        <v>#N/A</v>
      </c>
    </row>
    <row r="823" spans="1:6" ht="17">
      <c r="A823" s="3" t="s">
        <v>692</v>
      </c>
      <c r="B823" s="3" t="s">
        <v>712</v>
      </c>
      <c r="C823" s="4">
        <f>DATE(2024,7,15)+TIME(9,28,59)</f>
        <v>45488.395127314812</v>
      </c>
      <c r="F823" t="e">
        <f>VLOOKUP(Table1[[#This Row],[Company Name]],Sheet1!B:B,1,FALSE)</f>
        <v>#N/A</v>
      </c>
    </row>
    <row r="824" spans="1:6" ht="17">
      <c r="A824" s="3" t="s">
        <v>692</v>
      </c>
      <c r="B824" s="3" t="s">
        <v>344</v>
      </c>
      <c r="C824" s="4">
        <f>DATE(2024,8,6)+TIME(12,38,44)</f>
        <v>45510.526898148149</v>
      </c>
      <c r="F824" t="e">
        <f>VLOOKUP(Table1[[#This Row],[Company Name]],Sheet1!B:B,1,FALSE)</f>
        <v>#N/A</v>
      </c>
    </row>
    <row r="825" spans="1:6" ht="17">
      <c r="A825" s="1" t="s">
        <v>692</v>
      </c>
      <c r="B825" s="1" t="s">
        <v>344</v>
      </c>
      <c r="C825" s="2">
        <f>DATE(2024,8,6)+TIME(14,10,3)</f>
        <v>45510.590312499997</v>
      </c>
      <c r="F825" t="e">
        <f>VLOOKUP(Table1[[#This Row],[Company Name]],Sheet1!B:B,1,FALSE)</f>
        <v>#N/A</v>
      </c>
    </row>
    <row r="826" spans="1:6" ht="17">
      <c r="A826" s="1" t="s">
        <v>692</v>
      </c>
      <c r="B826" s="1" t="s">
        <v>693</v>
      </c>
      <c r="C826" s="2">
        <f>DATE(2024,7,15)+TIME(15,39,5)</f>
        <v>45488.652141203704</v>
      </c>
      <c r="F826" t="e">
        <f>VLOOKUP(Table1[[#This Row],[Company Name]],Sheet1!B:B,1,FALSE)</f>
        <v>#N/A</v>
      </c>
    </row>
    <row r="827" spans="1:6" ht="17">
      <c r="A827" s="3" t="s">
        <v>692</v>
      </c>
      <c r="B827" s="3" t="s">
        <v>85</v>
      </c>
      <c r="C827" s="4">
        <f>DATE(2024,8,6)+TIME(13,14,18)</f>
        <v>45510.55159722222</v>
      </c>
      <c r="F827" t="e">
        <f>VLOOKUP(Table1[[#This Row],[Company Name]],Sheet1!B:B,1,FALSE)</f>
        <v>#N/A</v>
      </c>
    </row>
    <row r="828" spans="1:6" ht="17">
      <c r="A828" s="1" t="s">
        <v>705</v>
      </c>
      <c r="B828" s="1" t="s">
        <v>344</v>
      </c>
      <c r="C828" s="2">
        <f>DATE(2024,8,6)+TIME(15,22,14)</f>
        <v>45510.640439814815</v>
      </c>
      <c r="E828" s="15" t="s">
        <v>1672</v>
      </c>
      <c r="F828" t="s">
        <v>61</v>
      </c>
    </row>
    <row r="829" spans="1:6" ht="17">
      <c r="A829" s="3" t="s">
        <v>705</v>
      </c>
      <c r="B829" s="3" t="s">
        <v>85</v>
      </c>
      <c r="C829" s="4">
        <f>DATE(2024,9,9)+TIME(10,44,21)</f>
        <v>45544.447465277779</v>
      </c>
      <c r="E829" s="15" t="s">
        <v>1672</v>
      </c>
      <c r="F829" t="s">
        <v>61</v>
      </c>
    </row>
    <row r="830" spans="1:6" ht="17">
      <c r="A830" s="1" t="s">
        <v>705</v>
      </c>
      <c r="B830" s="1" t="s">
        <v>712</v>
      </c>
      <c r="C830" s="2">
        <f>DATE(2024,7,31)+TIME(7,26,5)</f>
        <v>45504.30978009259</v>
      </c>
      <c r="E830" s="15" t="s">
        <v>1672</v>
      </c>
      <c r="F830" t="s">
        <v>61</v>
      </c>
    </row>
    <row r="831" spans="1:6" ht="17">
      <c r="A831" s="1" t="s">
        <v>1673</v>
      </c>
      <c r="B831" s="1" t="s">
        <v>1251</v>
      </c>
      <c r="C831" s="2">
        <f>DATE(2024,9,26)+TIME(11,26,44)</f>
        <v>45561.476898148147</v>
      </c>
      <c r="F831" t="e">
        <f>VLOOKUP(Table1[[#This Row],[Company Name]],Sheet1!B:B,1,FALSE)</f>
        <v>#N/A</v>
      </c>
    </row>
    <row r="832" spans="1:6" ht="17">
      <c r="A832" s="1" t="s">
        <v>942</v>
      </c>
      <c r="B832" s="1" t="s">
        <v>943</v>
      </c>
      <c r="C832" s="2">
        <f>DATE(2024,9,20)+TIME(8,25,35)</f>
        <v>45555.351099537038</v>
      </c>
      <c r="F832" t="e">
        <f>VLOOKUP(Table1[[#This Row],[Company Name]],Sheet1!B:B,1,FALSE)</f>
        <v>#N/A</v>
      </c>
    </row>
    <row r="833" spans="1:6" ht="17">
      <c r="A833" s="3" t="s">
        <v>717</v>
      </c>
      <c r="B833" s="3" t="s">
        <v>718</v>
      </c>
      <c r="C833" s="4">
        <f>DATE(2024,8,16)+TIME(8,28,56)</f>
        <v>45520.353425925925</v>
      </c>
      <c r="F833" t="e">
        <f>VLOOKUP(Table1[[#This Row],[Company Name]],Sheet1!B:B,1,FALSE)</f>
        <v>#N/A</v>
      </c>
    </row>
    <row r="834" spans="1:6" ht="17">
      <c r="A834" s="1" t="s">
        <v>1674</v>
      </c>
      <c r="B834" s="1" t="s">
        <v>1386</v>
      </c>
      <c r="C834" s="2">
        <f>DATE(2024,6,28)+TIME(12,15,44)</f>
        <v>45471.510925925926</v>
      </c>
      <c r="F834" t="e">
        <f>VLOOKUP(Table1[[#This Row],[Company Name]],Sheet1!B:B,1,FALSE)</f>
        <v>#N/A</v>
      </c>
    </row>
    <row r="835" spans="1:6" ht="17">
      <c r="A835" s="1" t="s">
        <v>1675</v>
      </c>
      <c r="B835" s="1" t="s">
        <v>1261</v>
      </c>
      <c r="C835" s="2">
        <f>DATE(2024,8,22)+TIME(10,21,46)</f>
        <v>45526.43178240741</v>
      </c>
      <c r="F835" t="e">
        <f>VLOOKUP(Table1[[#This Row],[Company Name]],Sheet1!B:B,1,FALSE)</f>
        <v>#N/A</v>
      </c>
    </row>
    <row r="836" spans="1:6" ht="17">
      <c r="A836" s="6" t="s">
        <v>1676</v>
      </c>
      <c r="B836" s="6" t="s">
        <v>1677</v>
      </c>
      <c r="C836" s="7">
        <f>DATE(2024,8,19)+TIME(10,20,24)</f>
        <v>45523.430833333332</v>
      </c>
      <c r="D836" s="8" t="s">
        <v>2002</v>
      </c>
      <c r="F836" t="e">
        <f>VLOOKUP(Table1[[#This Row],[Company Name]],Sheet1!B:B,1,FALSE)</f>
        <v>#N/A</v>
      </c>
    </row>
    <row r="837" spans="1:6" ht="17">
      <c r="A837" s="6" t="s">
        <v>1676</v>
      </c>
      <c r="B837" s="6" t="s">
        <v>264</v>
      </c>
      <c r="C837" s="7">
        <f>DATE(2024,8,19)+TIME(10,20,24)</f>
        <v>45523.430833333332</v>
      </c>
      <c r="D837" s="8" t="s">
        <v>2002</v>
      </c>
      <c r="F837" t="e">
        <f>VLOOKUP(Table1[[#This Row],[Company Name]],Sheet1!B:B,1,FALSE)</f>
        <v>#N/A</v>
      </c>
    </row>
    <row r="838" spans="1:6" ht="17">
      <c r="A838" s="6" t="s">
        <v>1676</v>
      </c>
      <c r="B838" s="6" t="s">
        <v>85</v>
      </c>
      <c r="C838" s="7">
        <f>DATE(2024,8,19)+TIME(10,20,23)</f>
        <v>45523.430821759262</v>
      </c>
      <c r="D838" s="8" t="s">
        <v>2002</v>
      </c>
      <c r="F838" t="e">
        <f>VLOOKUP(Table1[[#This Row],[Company Name]],Sheet1!B:B,1,FALSE)</f>
        <v>#N/A</v>
      </c>
    </row>
    <row r="839" spans="1:6" ht="17">
      <c r="A839" s="6" t="s">
        <v>1676</v>
      </c>
      <c r="B839" s="6" t="s">
        <v>85</v>
      </c>
      <c r="C839" s="7">
        <f>DATE(2024,8,19)+TIME(10,20,23)</f>
        <v>45523.430821759262</v>
      </c>
      <c r="D839" s="8" t="s">
        <v>2002</v>
      </c>
      <c r="F839" t="e">
        <f>VLOOKUP(Table1[[#This Row],[Company Name]],Sheet1!B:B,1,FALSE)</f>
        <v>#N/A</v>
      </c>
    </row>
    <row r="840" spans="1:6" ht="17">
      <c r="A840" s="6" t="s">
        <v>1676</v>
      </c>
      <c r="B840" s="6" t="s">
        <v>85</v>
      </c>
      <c r="C840" s="7">
        <f>DATE(2024,8,19)+TIME(10,20,23)</f>
        <v>45523.430821759262</v>
      </c>
      <c r="D840" s="8" t="s">
        <v>2002</v>
      </c>
      <c r="F840" t="e">
        <f>VLOOKUP(Table1[[#This Row],[Company Name]],Sheet1!B:B,1,FALSE)</f>
        <v>#N/A</v>
      </c>
    </row>
    <row r="841" spans="1:6" ht="17">
      <c r="A841" s="6" t="s">
        <v>1676</v>
      </c>
      <c r="B841" s="6" t="s">
        <v>2269</v>
      </c>
      <c r="C841" s="7">
        <f>DATE(2024,8,19)+TIME(10,20,22)</f>
        <v>45523.430810185186</v>
      </c>
      <c r="D841" s="8" t="s">
        <v>2002</v>
      </c>
      <c r="F841" t="e">
        <f>VLOOKUP(Table1[[#This Row],[Company Name]],Sheet1!B:B,1,FALSE)</f>
        <v>#N/A</v>
      </c>
    </row>
    <row r="842" spans="1:6" ht="17">
      <c r="A842" s="6" t="s">
        <v>1676</v>
      </c>
      <c r="B842" s="6" t="s">
        <v>101</v>
      </c>
      <c r="C842" s="7">
        <f>DATE(2024,8,19)+TIME(10,20,22)</f>
        <v>45523.430810185186</v>
      </c>
      <c r="D842" s="8" t="s">
        <v>2002</v>
      </c>
      <c r="F842" t="e">
        <f>VLOOKUP(Table1[[#This Row],[Company Name]],Sheet1!B:B,1,FALSE)</f>
        <v>#N/A</v>
      </c>
    </row>
    <row r="843" spans="1:6" ht="17">
      <c r="A843" s="3" t="s">
        <v>1679</v>
      </c>
      <c r="B843" s="3" t="s">
        <v>1680</v>
      </c>
      <c r="C843" s="4">
        <f>DATE(2024,8,23)+TIME(12,38,56)</f>
        <v>45527.527037037034</v>
      </c>
      <c r="F843" t="e">
        <f>VLOOKUP(Table1[[#This Row],[Company Name]],Sheet1!B:B,1,FALSE)</f>
        <v>#N/A</v>
      </c>
    </row>
    <row r="844" spans="1:6" ht="17">
      <c r="A844" s="1" t="s">
        <v>1679</v>
      </c>
      <c r="B844" s="1" t="s">
        <v>1254</v>
      </c>
      <c r="C844" s="2">
        <f>DATE(2024,9,3)+TIME(10,36,52)</f>
        <v>45538.44226851852</v>
      </c>
      <c r="F844" t="e">
        <f>VLOOKUP(Table1[[#This Row],[Company Name]],Sheet1!B:B,1,FALSE)</f>
        <v>#N/A</v>
      </c>
    </row>
    <row r="845" spans="1:6" ht="17">
      <c r="A845" s="1" t="s">
        <v>1679</v>
      </c>
      <c r="B845" s="1" t="s">
        <v>2114</v>
      </c>
      <c r="C845" s="2">
        <f>DATE(2024,9,5)+TIME(10,11,36)</f>
        <v>45540.424722222226</v>
      </c>
      <c r="F845" t="e">
        <f>VLOOKUP(Table1[[#This Row],[Company Name]],Sheet1!B:B,1,FALSE)</f>
        <v>#N/A</v>
      </c>
    </row>
    <row r="846" spans="1:6" ht="17">
      <c r="A846" s="1" t="s">
        <v>1681</v>
      </c>
      <c r="B846" s="1" t="s">
        <v>85</v>
      </c>
      <c r="C846" s="2">
        <f>DATE(2024,8,19)+TIME(12,0,48)</f>
        <v>45523.500555555554</v>
      </c>
      <c r="E846" s="15" t="s">
        <v>1682</v>
      </c>
      <c r="F846" t="s">
        <v>61</v>
      </c>
    </row>
    <row r="847" spans="1:6" ht="17">
      <c r="A847" s="1" t="s">
        <v>1683</v>
      </c>
      <c r="B847" s="1" t="s">
        <v>1684</v>
      </c>
      <c r="C847" s="2">
        <f>DATE(2024,6,20)+TIME(12,40,54)</f>
        <v>45463.528402777774</v>
      </c>
      <c r="F847" t="e">
        <f>VLOOKUP(Table1[[#This Row],[Company Name]],Sheet1!B:B,1,FALSE)</f>
        <v>#N/A</v>
      </c>
    </row>
    <row r="848" spans="1:6" ht="17">
      <c r="A848" s="3" t="s">
        <v>1685</v>
      </c>
      <c r="B848" s="3" t="s">
        <v>1686</v>
      </c>
      <c r="C848" s="4">
        <f>DATE(2024,7,1)+TIME(17,13,59)</f>
        <v>45474.718043981484</v>
      </c>
      <c r="F848" t="e">
        <f>VLOOKUP(Table1[[#This Row],[Company Name]],Sheet1!B:B,1,FALSE)</f>
        <v>#N/A</v>
      </c>
    </row>
    <row r="849" spans="1:6" ht="17">
      <c r="A849" s="1" t="s">
        <v>1687</v>
      </c>
      <c r="B849" s="1" t="s">
        <v>1688</v>
      </c>
      <c r="C849" s="2">
        <f>DATE(2024,8,6)+TIME(10,29,39)</f>
        <v>45510.437256944446</v>
      </c>
      <c r="F849" t="e">
        <f>VLOOKUP(Table1[[#This Row],[Company Name]],Sheet1!B:B,1,FALSE)</f>
        <v>#N/A</v>
      </c>
    </row>
    <row r="850" spans="1:6" ht="17">
      <c r="A850" s="1" t="s">
        <v>1689</v>
      </c>
      <c r="B850" s="1" t="s">
        <v>1690</v>
      </c>
      <c r="C850" s="2">
        <f>DATE(2024,7,2)+TIME(17,10,49)</f>
        <v>45475.715844907405</v>
      </c>
      <c r="F850" t="e">
        <f>VLOOKUP(Table1[[#This Row],[Company Name]],Sheet1!B:B,1,FALSE)</f>
        <v>#N/A</v>
      </c>
    </row>
    <row r="851" spans="1:6" ht="17">
      <c r="A851" s="3" t="s">
        <v>1691</v>
      </c>
      <c r="B851" s="3" t="s">
        <v>1386</v>
      </c>
      <c r="C851" s="4">
        <f>DATE(2024,9,17)+TIME(12,23,26)</f>
        <v>45552.516273148147</v>
      </c>
      <c r="F851" t="e">
        <f>VLOOKUP(Table1[[#This Row],[Company Name]],Sheet1!B:B,1,FALSE)</f>
        <v>#N/A</v>
      </c>
    </row>
    <row r="852" spans="1:6" ht="17">
      <c r="A852" s="1" t="s">
        <v>1691</v>
      </c>
      <c r="B852" s="1" t="s">
        <v>2270</v>
      </c>
      <c r="C852" s="2">
        <f>DATE(2024,6,20)+TIME(19,20,20)</f>
        <v>45463.805787037039</v>
      </c>
      <c r="F852" t="e">
        <f>VLOOKUP(Table1[[#This Row],[Company Name]],Sheet1!B:B,1,FALSE)</f>
        <v>#N/A</v>
      </c>
    </row>
    <row r="853" spans="1:6" ht="17">
      <c r="A853" s="1" t="s">
        <v>1691</v>
      </c>
      <c r="B853" s="1" t="s">
        <v>2271</v>
      </c>
      <c r="C853" s="2">
        <f>DATE(2024,8,31)+TIME(0,17,16)</f>
        <v>45535.011990740742</v>
      </c>
      <c r="F853" t="e">
        <f>VLOOKUP(Table1[[#This Row],[Company Name]],Sheet1!B:B,1,FALSE)</f>
        <v>#N/A</v>
      </c>
    </row>
    <row r="854" spans="1:6" ht="17">
      <c r="A854" s="3" t="s">
        <v>1692</v>
      </c>
      <c r="B854" s="3" t="s">
        <v>1693</v>
      </c>
      <c r="C854" s="4">
        <f>DATE(2024,6,3)+TIME(7,32,33)</f>
        <v>45446.314270833333</v>
      </c>
      <c r="F854" t="e">
        <f>VLOOKUP(Table1[[#This Row],[Company Name]],Sheet1!B:B,1,FALSE)</f>
        <v>#N/A</v>
      </c>
    </row>
    <row r="855" spans="1:6" ht="17">
      <c r="A855" s="3" t="s">
        <v>1694</v>
      </c>
      <c r="B855" s="3" t="s">
        <v>1695</v>
      </c>
      <c r="C855" s="4">
        <f>DATE(2024,5,30)+TIME(14,53,36)</f>
        <v>45442.620555555557</v>
      </c>
      <c r="F855" t="e">
        <f>VLOOKUP(Table1[[#This Row],[Company Name]],Sheet1!B:B,1,FALSE)</f>
        <v>#N/A</v>
      </c>
    </row>
    <row r="856" spans="1:6" ht="34">
      <c r="A856" s="3" t="s">
        <v>1696</v>
      </c>
      <c r="B856" s="3" t="s">
        <v>1697</v>
      </c>
      <c r="C856" s="4">
        <f>DATE(2024,5,30)+TIME(15,58,38)</f>
        <v>45442.665717592594</v>
      </c>
      <c r="F856" t="e">
        <f>VLOOKUP(Table1[[#This Row],[Company Name]],Sheet1!B:B,1,FALSE)</f>
        <v>#N/A</v>
      </c>
    </row>
    <row r="857" spans="1:6" ht="17">
      <c r="A857" s="3" t="s">
        <v>1698</v>
      </c>
      <c r="B857" s="3" t="s">
        <v>1079</v>
      </c>
      <c r="C857" s="4">
        <f>DATE(2024,7,8)+TIME(11,17,7)</f>
        <v>45481.470219907409</v>
      </c>
      <c r="E857" t="s">
        <v>1699</v>
      </c>
      <c r="F857" t="s">
        <v>61</v>
      </c>
    </row>
    <row r="858" spans="1:6" ht="17">
      <c r="A858" s="3" t="s">
        <v>1698</v>
      </c>
      <c r="B858" s="3" t="s">
        <v>2272</v>
      </c>
      <c r="C858" s="4">
        <f>DATE(2024,8,12)+TIME(16,22,35)</f>
        <v>45516.682349537034</v>
      </c>
      <c r="E858" t="s">
        <v>1699</v>
      </c>
      <c r="F858" t="s">
        <v>61</v>
      </c>
    </row>
    <row r="859" spans="1:6" ht="17">
      <c r="A859" s="1" t="s">
        <v>1700</v>
      </c>
      <c r="B859" s="1" t="s">
        <v>1701</v>
      </c>
      <c r="C859" s="2">
        <f>DATE(2024,7,9)+TIME(9,36,47)</f>
        <v>45482.400543981479</v>
      </c>
      <c r="F859" t="e">
        <f>VLOOKUP(Table1[[#This Row],[Company Name]],Sheet1!B:B,1,FALSE)</f>
        <v>#N/A</v>
      </c>
    </row>
    <row r="860" spans="1:6" ht="17">
      <c r="A860" s="3" t="s">
        <v>1702</v>
      </c>
      <c r="B860" s="3" t="s">
        <v>1703</v>
      </c>
      <c r="C860" s="4">
        <f>DATE(2024,8,7)+TIME(9,25,59)</f>
        <v>45511.393043981479</v>
      </c>
      <c r="E860" s="15" t="s">
        <v>1704</v>
      </c>
      <c r="F860" t="s">
        <v>61</v>
      </c>
    </row>
    <row r="861" spans="1:6" ht="17">
      <c r="A861" s="3" t="s">
        <v>1705</v>
      </c>
      <c r="B861" s="3" t="s">
        <v>1706</v>
      </c>
      <c r="C861" s="4">
        <f>DATE(2024,9,6)+TIME(15,40,29)</f>
        <v>45541.653113425928</v>
      </c>
      <c r="F861" t="e">
        <f>VLOOKUP(Table1[[#This Row],[Company Name]],Sheet1!B:B,1,FALSE)</f>
        <v>#N/A</v>
      </c>
    </row>
    <row r="862" spans="1:6" ht="17">
      <c r="A862" s="3" t="s">
        <v>1705</v>
      </c>
      <c r="B862" s="3" t="s">
        <v>344</v>
      </c>
      <c r="C862" s="4">
        <f>DATE(2024,9,7)+TIME(7,2,0)</f>
        <v>45542.293055555558</v>
      </c>
      <c r="F862" t="e">
        <f>VLOOKUP(Table1[[#This Row],[Company Name]],Sheet1!B:B,1,FALSE)</f>
        <v>#N/A</v>
      </c>
    </row>
    <row r="863" spans="1:6" ht="17">
      <c r="A863" s="1" t="s">
        <v>1705</v>
      </c>
      <c r="B863" s="1" t="s">
        <v>2273</v>
      </c>
      <c r="C863" s="2">
        <f>DATE(2024,9,6)+TIME(10,27,43)</f>
        <v>45541.435914351852</v>
      </c>
      <c r="F863" t="e">
        <f>VLOOKUP(Table1[[#This Row],[Company Name]],Sheet1!B:B,1,FALSE)</f>
        <v>#N/A</v>
      </c>
    </row>
    <row r="864" spans="1:6" ht="17">
      <c r="A864" s="1" t="s">
        <v>1707</v>
      </c>
      <c r="B864" s="1" t="s">
        <v>1708</v>
      </c>
      <c r="C864" s="2">
        <f>DATE(2024,8,22)+TIME(9,51,34)</f>
        <v>45526.410810185182</v>
      </c>
      <c r="F864" t="e">
        <f>VLOOKUP(Table1[[#This Row],[Company Name]],Sheet1!B:B,1,FALSE)</f>
        <v>#N/A</v>
      </c>
    </row>
    <row r="865" spans="1:6" ht="17">
      <c r="A865" s="3" t="s">
        <v>1707</v>
      </c>
      <c r="B865" s="3" t="s">
        <v>2274</v>
      </c>
      <c r="C865" s="4">
        <f>DATE(2024,9,24)+TIME(13,19,37)</f>
        <v>45559.555289351854</v>
      </c>
      <c r="F865" t="e">
        <f>VLOOKUP(Table1[[#This Row],[Company Name]],Sheet1!B:B,1,FALSE)</f>
        <v>#N/A</v>
      </c>
    </row>
    <row r="866" spans="1:6" ht="17">
      <c r="A866" s="1" t="s">
        <v>1709</v>
      </c>
      <c r="B866" s="1" t="s">
        <v>1710</v>
      </c>
      <c r="C866" s="2">
        <f>DATE(2024,9,26)+TIME(16,57,27)</f>
        <v>45561.706562500003</v>
      </c>
      <c r="F866" t="e">
        <f>VLOOKUP(Table1[[#This Row],[Company Name]],Sheet1!B:B,1,FALSE)</f>
        <v>#N/A</v>
      </c>
    </row>
    <row r="867" spans="1:6" ht="17">
      <c r="A867" s="6" t="s">
        <v>738</v>
      </c>
      <c r="B867" s="6" t="s">
        <v>739</v>
      </c>
      <c r="C867" s="7">
        <f>DATE(2024,7,26)+TIME(14,46,51)</f>
        <v>45499.615868055553</v>
      </c>
      <c r="D867" s="8" t="s">
        <v>2002</v>
      </c>
      <c r="F867" t="e">
        <f>VLOOKUP(Table1[[#This Row],[Company Name]],Sheet1!B:B,1,FALSE)</f>
        <v>#N/A</v>
      </c>
    </row>
    <row r="868" spans="1:6" ht="17">
      <c r="A868" s="6" t="s">
        <v>738</v>
      </c>
      <c r="B868" s="6" t="s">
        <v>113</v>
      </c>
      <c r="C868" s="7">
        <f>DATE(2024,9,10)+TIME(10,12,12)</f>
        <v>45545.425138888888</v>
      </c>
      <c r="D868" s="8" t="s">
        <v>2002</v>
      </c>
      <c r="F868" t="e">
        <f>VLOOKUP(Table1[[#This Row],[Company Name]],Sheet1!B:B,1,FALSE)</f>
        <v>#N/A</v>
      </c>
    </row>
    <row r="869" spans="1:6" ht="17">
      <c r="A869" s="3" t="s">
        <v>1713</v>
      </c>
      <c r="B869" s="3" t="s">
        <v>1714</v>
      </c>
      <c r="C869" s="4">
        <f>DATE(2024,7,22)+TIME(7,45,45)</f>
        <v>45495.323437500003</v>
      </c>
      <c r="F869" t="e">
        <f>VLOOKUP(Table1[[#This Row],[Company Name]],Sheet1!B:B,1,FALSE)</f>
        <v>#N/A</v>
      </c>
    </row>
    <row r="870" spans="1:6" ht="17">
      <c r="A870" s="3" t="s">
        <v>1715</v>
      </c>
      <c r="B870" s="3" t="s">
        <v>85</v>
      </c>
      <c r="C870" s="4">
        <f>DATE(2024,8,19)+TIME(14,30,24)</f>
        <v>45523.604444444441</v>
      </c>
      <c r="E870" t="s">
        <v>1716</v>
      </c>
      <c r="F870" t="s">
        <v>61</v>
      </c>
    </row>
    <row r="871" spans="1:6" ht="17">
      <c r="A871" s="1" t="s">
        <v>1715</v>
      </c>
      <c r="B871" s="1" t="s">
        <v>1261</v>
      </c>
      <c r="C871" s="2">
        <f>DATE(2024,8,20)+TIME(6,51,28)</f>
        <v>45524.285740740743</v>
      </c>
      <c r="E871" t="s">
        <v>1716</v>
      </c>
      <c r="F871" t="s">
        <v>61</v>
      </c>
    </row>
    <row r="872" spans="1:6" ht="17">
      <c r="A872" s="1" t="s">
        <v>1715</v>
      </c>
      <c r="B872" s="1" t="s">
        <v>344</v>
      </c>
      <c r="C872" s="2">
        <f>DATE(2024,8,19)+TIME(14,4,25)</f>
        <v>45523.586400462962</v>
      </c>
      <c r="E872" t="s">
        <v>1716</v>
      </c>
      <c r="F872" t="s">
        <v>61</v>
      </c>
    </row>
    <row r="873" spans="1:6" ht="17">
      <c r="A873" s="1" t="s">
        <v>1717</v>
      </c>
      <c r="B873" s="1" t="s">
        <v>1718</v>
      </c>
      <c r="C873" s="2">
        <f>DATE(2024,9,18)+TIME(18,37,14)</f>
        <v>45553.775856481479</v>
      </c>
      <c r="F873" t="e">
        <f>VLOOKUP(Table1[[#This Row],[Company Name]],Sheet1!B:B,1,FALSE)</f>
        <v>#N/A</v>
      </c>
    </row>
    <row r="874" spans="1:6" ht="17">
      <c r="A874" s="3" t="s">
        <v>745</v>
      </c>
      <c r="B874" s="3" t="s">
        <v>746</v>
      </c>
      <c r="C874" s="4">
        <f>DATE(2024,5,31)+TIME(11,13,10)</f>
        <v>45443.467476851853</v>
      </c>
      <c r="F874" t="e">
        <f>VLOOKUP(Table1[[#This Row],[Company Name]],Sheet1!B:B,1,FALSE)</f>
        <v>#N/A</v>
      </c>
    </row>
    <row r="875" spans="1:6" ht="17">
      <c r="A875" s="1" t="s">
        <v>1719</v>
      </c>
      <c r="B875" s="1" t="s">
        <v>1076</v>
      </c>
      <c r="C875" s="2">
        <f>DATE(2024,7,22)+TIME(15,1,51)</f>
        <v>45495.626284722224</v>
      </c>
      <c r="E875" s="15" t="s">
        <v>1720</v>
      </c>
      <c r="F875" t="s">
        <v>61</v>
      </c>
    </row>
    <row r="876" spans="1:6" ht="17">
      <c r="A876" s="3" t="s">
        <v>1719</v>
      </c>
      <c r="B876" s="3" t="s">
        <v>296</v>
      </c>
      <c r="C876" s="4">
        <f>DATE(2024,8,19)+TIME(11,29,21)</f>
        <v>45523.478715277779</v>
      </c>
      <c r="E876" s="15" t="s">
        <v>1720</v>
      </c>
      <c r="F876" t="s">
        <v>61</v>
      </c>
    </row>
    <row r="877" spans="1:6" ht="17">
      <c r="A877" s="3" t="s">
        <v>1719</v>
      </c>
      <c r="B877" s="3" t="s">
        <v>1383</v>
      </c>
      <c r="C877" s="4">
        <f>DATE(2024,9,3)+TIME(10,39,37)</f>
        <v>45538.444178240738</v>
      </c>
      <c r="E877" s="15" t="s">
        <v>1720</v>
      </c>
      <c r="F877" t="s">
        <v>61</v>
      </c>
    </row>
    <row r="878" spans="1:6" ht="17">
      <c r="A878" s="3" t="s">
        <v>1721</v>
      </c>
      <c r="B878" s="3" t="s">
        <v>52</v>
      </c>
      <c r="C878" s="4">
        <f>DATE(2024,9,18)+TIME(12,0,18)</f>
        <v>45553.500208333331</v>
      </c>
      <c r="F878" t="e">
        <f>VLOOKUP(Table1[[#This Row],[Company Name]],Sheet1!B:B,1,FALSE)</f>
        <v>#N/A</v>
      </c>
    </row>
    <row r="879" spans="1:6" ht="17">
      <c r="A879" s="1" t="s">
        <v>1721</v>
      </c>
      <c r="B879" s="1" t="s">
        <v>1877</v>
      </c>
      <c r="C879" s="2">
        <f>DATE(2024,9,10)+TIME(15,35,23)</f>
        <v>45545.649571759262</v>
      </c>
      <c r="F879" t="e">
        <f>VLOOKUP(Table1[[#This Row],[Company Name]],Sheet1!B:B,1,FALSE)</f>
        <v>#N/A</v>
      </c>
    </row>
    <row r="880" spans="1:6" ht="17">
      <c r="A880" s="3" t="s">
        <v>1722</v>
      </c>
      <c r="B880" s="3" t="s">
        <v>1723</v>
      </c>
      <c r="C880" s="4">
        <f>DATE(2024,6,28)+TIME(9,55,49)</f>
        <v>45471.413761574076</v>
      </c>
      <c r="F880" t="e">
        <f>VLOOKUP(Table1[[#This Row],[Company Name]],Sheet1!B:B,1,FALSE)</f>
        <v>#N/A</v>
      </c>
    </row>
    <row r="881" spans="1:6" ht="17">
      <c r="A881" s="1" t="s">
        <v>1724</v>
      </c>
      <c r="B881" s="1" t="s">
        <v>1725</v>
      </c>
      <c r="C881" s="2">
        <f>DATE(2024,9,26)+TIME(15,26,34)</f>
        <v>45561.643449074072</v>
      </c>
      <c r="F881" t="e">
        <f>VLOOKUP(Table1[[#This Row],[Company Name]],Sheet1!B:B,1,FALSE)</f>
        <v>#N/A</v>
      </c>
    </row>
    <row r="882" spans="1:6" ht="17">
      <c r="A882" s="3" t="s">
        <v>1727</v>
      </c>
      <c r="B882" s="3" t="s">
        <v>1728</v>
      </c>
      <c r="C882" s="4">
        <f>DATE(2024,9,26)+TIME(23,42,44)</f>
        <v>45561.988009259258</v>
      </c>
      <c r="E882" t="s">
        <v>1726</v>
      </c>
      <c r="F882" t="s">
        <v>61</v>
      </c>
    </row>
    <row r="883" spans="1:6" ht="17">
      <c r="A883" s="3" t="s">
        <v>1729</v>
      </c>
      <c r="B883" s="3" t="s">
        <v>1730</v>
      </c>
      <c r="C883" s="4">
        <f>DATE(2024,9,26)+TIME(15,54,44)</f>
        <v>45561.66300925926</v>
      </c>
      <c r="F883" t="e">
        <f>VLOOKUP(Table1[[#This Row],[Company Name]],Sheet1!B:B,1,FALSE)</f>
        <v>#N/A</v>
      </c>
    </row>
    <row r="884" spans="1:6" ht="17">
      <c r="A884" s="1" t="s">
        <v>1731</v>
      </c>
      <c r="B884" s="1" t="s">
        <v>1732</v>
      </c>
      <c r="C884" s="2">
        <f>DATE(2024,9,26)+TIME(21,57,37)</f>
        <v>45561.915011574078</v>
      </c>
      <c r="F884" t="e">
        <f>VLOOKUP(Table1[[#This Row],[Company Name]],Sheet1!B:B,1,FALSE)</f>
        <v>#N/A</v>
      </c>
    </row>
    <row r="885" spans="1:6" ht="17">
      <c r="A885" s="3" t="s">
        <v>1733</v>
      </c>
      <c r="B885" s="3" t="s">
        <v>1734</v>
      </c>
      <c r="C885" s="4">
        <f>DATE(2024,9,18)+TIME(10,6,49)</f>
        <v>45553.421400462961</v>
      </c>
      <c r="F885" t="e">
        <f>VLOOKUP(Table1[[#This Row],[Company Name]],Sheet1!B:B,1,FALSE)</f>
        <v>#N/A</v>
      </c>
    </row>
    <row r="886" spans="1:6" ht="17">
      <c r="A886" s="1" t="s">
        <v>1733</v>
      </c>
      <c r="B886" s="1" t="s">
        <v>2275</v>
      </c>
      <c r="C886" s="2">
        <f>DATE(2024,9,19)+TIME(9,32,34)</f>
        <v>45554.397615740738</v>
      </c>
      <c r="F886" t="e">
        <f>VLOOKUP(Table1[[#This Row],[Company Name]],Sheet1!B:B,1,FALSE)</f>
        <v>#N/A</v>
      </c>
    </row>
    <row r="887" spans="1:6" ht="17">
      <c r="A887" s="1" t="s">
        <v>1733</v>
      </c>
      <c r="B887" s="1" t="s">
        <v>2276</v>
      </c>
      <c r="C887" s="2">
        <f>DATE(2024,9,24)+TIME(12,19,51)</f>
        <v>45559.513784722221</v>
      </c>
      <c r="F887" t="e">
        <f>VLOOKUP(Table1[[#This Row],[Company Name]],Sheet1!B:B,1,FALSE)</f>
        <v>#N/A</v>
      </c>
    </row>
    <row r="888" spans="1:6" ht="17">
      <c r="A888" s="1" t="s">
        <v>1733</v>
      </c>
      <c r="B888" s="1" t="s">
        <v>2277</v>
      </c>
      <c r="C888" s="2">
        <f>DATE(2024,9,23)+TIME(7,28,13)</f>
        <v>45558.311261574076</v>
      </c>
      <c r="F888" t="e">
        <f>VLOOKUP(Table1[[#This Row],[Company Name]],Sheet1!B:B,1,FALSE)</f>
        <v>#N/A</v>
      </c>
    </row>
    <row r="889" spans="1:6" ht="17">
      <c r="A889" s="1" t="s">
        <v>1733</v>
      </c>
      <c r="B889" s="1" t="s">
        <v>2278</v>
      </c>
      <c r="C889" s="2">
        <f>DATE(2024,9,26)+TIME(15,21,56)</f>
        <v>45561.640231481484</v>
      </c>
      <c r="F889" t="e">
        <f>VLOOKUP(Table1[[#This Row],[Company Name]],Sheet1!B:B,1,FALSE)</f>
        <v>#N/A</v>
      </c>
    </row>
    <row r="890" spans="1:6" ht="17">
      <c r="A890" s="1" t="s">
        <v>1733</v>
      </c>
      <c r="B890" s="1" t="s">
        <v>2279</v>
      </c>
      <c r="C890" s="2">
        <f>DATE(2024,9,24)+TIME(12,53,53)</f>
        <v>45559.537418981483</v>
      </c>
      <c r="F890" t="e">
        <f>VLOOKUP(Table1[[#This Row],[Company Name]],Sheet1!B:B,1,FALSE)</f>
        <v>#N/A</v>
      </c>
    </row>
    <row r="891" spans="1:6" ht="17">
      <c r="A891" s="3" t="s">
        <v>1733</v>
      </c>
      <c r="B891" s="3" t="s">
        <v>2280</v>
      </c>
      <c r="C891" s="4">
        <f>DATE(2024,9,19)+TIME(9,20,0)</f>
        <v>45554.388888888891</v>
      </c>
      <c r="F891" t="e">
        <f>VLOOKUP(Table1[[#This Row],[Company Name]],Sheet1!B:B,1,FALSE)</f>
        <v>#N/A</v>
      </c>
    </row>
    <row r="892" spans="1:6" ht="17">
      <c r="A892" s="3" t="s">
        <v>1733</v>
      </c>
      <c r="B892" s="3" t="s">
        <v>1261</v>
      </c>
      <c r="C892" s="4">
        <f>DATE(2024,9,19)+TIME(7,29,43)</f>
        <v>45554.312303240738</v>
      </c>
      <c r="F892" t="e">
        <f>VLOOKUP(Table1[[#This Row],[Company Name]],Sheet1!B:B,1,FALSE)</f>
        <v>#N/A</v>
      </c>
    </row>
    <row r="893" spans="1:6" ht="17">
      <c r="A893" s="1" t="s">
        <v>1733</v>
      </c>
      <c r="B893" s="1" t="s">
        <v>2281</v>
      </c>
      <c r="C893" s="2">
        <f>DATE(2024,9,19)+TIME(9,15,44)</f>
        <v>45554.385925925926</v>
      </c>
      <c r="F893" t="e">
        <f>VLOOKUP(Table1[[#This Row],[Company Name]],Sheet1!B:B,1,FALSE)</f>
        <v>#N/A</v>
      </c>
    </row>
    <row r="894" spans="1:6" ht="17">
      <c r="A894" s="3" t="s">
        <v>1733</v>
      </c>
      <c r="B894" s="3" t="s">
        <v>2282</v>
      </c>
      <c r="C894" s="4">
        <f>DATE(2024,9,3)+TIME(13,12,13)</f>
        <v>45538.550150462965</v>
      </c>
      <c r="F894" t="e">
        <f>VLOOKUP(Table1[[#This Row],[Company Name]],Sheet1!B:B,1,FALSE)</f>
        <v>#N/A</v>
      </c>
    </row>
    <row r="895" spans="1:6" ht="17">
      <c r="A895" s="3" t="s">
        <v>1733</v>
      </c>
      <c r="B895" s="3" t="s">
        <v>2283</v>
      </c>
      <c r="C895" s="4">
        <f>DATE(2024,9,19)+TIME(15,56,0)</f>
        <v>45554.663888888892</v>
      </c>
      <c r="F895" t="e">
        <f>VLOOKUP(Table1[[#This Row],[Company Name]],Sheet1!B:B,1,FALSE)</f>
        <v>#N/A</v>
      </c>
    </row>
    <row r="896" spans="1:6" ht="17">
      <c r="A896" s="1" t="s">
        <v>1733</v>
      </c>
      <c r="B896" s="1" t="s">
        <v>2284</v>
      </c>
      <c r="C896" s="2">
        <f>DATE(2024,9,18)+TIME(16,46,25)</f>
        <v>45553.698900462965</v>
      </c>
      <c r="F896" t="e">
        <f>VLOOKUP(Table1[[#This Row],[Company Name]],Sheet1!B:B,1,FALSE)</f>
        <v>#N/A</v>
      </c>
    </row>
    <row r="897" spans="1:6" ht="17">
      <c r="A897" s="1" t="s">
        <v>1733</v>
      </c>
      <c r="B897" s="1" t="s">
        <v>2285</v>
      </c>
      <c r="C897" s="2">
        <f>DATE(2024,9,19)+TIME(11,2,28)</f>
        <v>45554.460046296299</v>
      </c>
      <c r="F897" t="e">
        <f>VLOOKUP(Table1[[#This Row],[Company Name]],Sheet1!B:B,1,FALSE)</f>
        <v>#N/A</v>
      </c>
    </row>
    <row r="898" spans="1:6" ht="17">
      <c r="A898" s="3" t="s">
        <v>1733</v>
      </c>
      <c r="B898" s="3" t="s">
        <v>2286</v>
      </c>
      <c r="C898" s="4">
        <f>DATE(2024,9,20)+TIME(7,38,37)</f>
        <v>45555.318483796298</v>
      </c>
      <c r="F898" t="e">
        <f>VLOOKUP(Table1[[#This Row],[Company Name]],Sheet1!B:B,1,FALSE)</f>
        <v>#N/A</v>
      </c>
    </row>
    <row r="899" spans="1:6" ht="17">
      <c r="A899" s="1" t="s">
        <v>1733</v>
      </c>
      <c r="B899" s="1" t="s">
        <v>2287</v>
      </c>
      <c r="C899" s="2">
        <f>DATE(2024,8,19)+TIME(10,29,20)</f>
        <v>45523.437037037038</v>
      </c>
      <c r="F899" t="e">
        <f>VLOOKUP(Table1[[#This Row],[Company Name]],Sheet1!B:B,1,FALSE)</f>
        <v>#N/A</v>
      </c>
    </row>
    <row r="900" spans="1:6" ht="17">
      <c r="A900" s="3" t="s">
        <v>1733</v>
      </c>
      <c r="B900" s="3" t="s">
        <v>2150</v>
      </c>
      <c r="C900" s="4">
        <f>DATE(2024,9,25)+TIME(15,14,19)</f>
        <v>45560.634942129633</v>
      </c>
      <c r="F900" t="e">
        <f>VLOOKUP(Table1[[#This Row],[Company Name]],Sheet1!B:B,1,FALSE)</f>
        <v>#N/A</v>
      </c>
    </row>
    <row r="901" spans="1:6" ht="17">
      <c r="A901" s="3" t="s">
        <v>1733</v>
      </c>
      <c r="B901" s="3" t="s">
        <v>2288</v>
      </c>
      <c r="C901" s="4">
        <f>DATE(2024,9,18)+TIME(16,59,50)</f>
        <v>45553.70821759259</v>
      </c>
      <c r="F901" t="e">
        <f>VLOOKUP(Table1[[#This Row],[Company Name]],Sheet1!B:B,1,FALSE)</f>
        <v>#N/A</v>
      </c>
    </row>
    <row r="902" spans="1:6" ht="17">
      <c r="A902" s="3" t="s">
        <v>1733</v>
      </c>
      <c r="B902" s="3" t="s">
        <v>2289</v>
      </c>
      <c r="C902" s="4">
        <f>DATE(2024,9,21)+TIME(12,37,18)</f>
        <v>45556.525902777779</v>
      </c>
      <c r="F902" t="e">
        <f>VLOOKUP(Table1[[#This Row],[Company Name]],Sheet1!B:B,1,FALSE)</f>
        <v>#N/A</v>
      </c>
    </row>
    <row r="903" spans="1:6" ht="17">
      <c r="A903" s="1" t="s">
        <v>1733</v>
      </c>
      <c r="B903" s="1" t="s">
        <v>2290</v>
      </c>
      <c r="C903" s="2">
        <f>DATE(2024,9,19)+TIME(9,20,45)</f>
        <v>45554.389409722222</v>
      </c>
      <c r="F903" t="e">
        <f>VLOOKUP(Table1[[#This Row],[Company Name]],Sheet1!B:B,1,FALSE)</f>
        <v>#N/A</v>
      </c>
    </row>
    <row r="904" spans="1:6" ht="17">
      <c r="A904" s="3" t="s">
        <v>1733</v>
      </c>
      <c r="B904" s="3" t="s">
        <v>2291</v>
      </c>
      <c r="C904" s="4">
        <f>DATE(2024,9,20)+TIME(8,21,40)</f>
        <v>45555.348379629628</v>
      </c>
      <c r="F904" t="e">
        <f>VLOOKUP(Table1[[#This Row],[Company Name]],Sheet1!B:B,1,FALSE)</f>
        <v>#N/A</v>
      </c>
    </row>
    <row r="905" spans="1:6" ht="17">
      <c r="A905" s="1" t="s">
        <v>1733</v>
      </c>
      <c r="B905" s="1" t="s">
        <v>2292</v>
      </c>
      <c r="C905" s="2">
        <f>DATE(2024,9,24)+TIME(6,54,13)</f>
        <v>45559.28765046296</v>
      </c>
      <c r="F905" t="e">
        <f>VLOOKUP(Table1[[#This Row],[Company Name]],Sheet1!B:B,1,FALSE)</f>
        <v>#N/A</v>
      </c>
    </row>
    <row r="906" spans="1:6" ht="34">
      <c r="A906" s="1" t="s">
        <v>1733</v>
      </c>
      <c r="B906" s="1" t="s">
        <v>2293</v>
      </c>
      <c r="C906" s="2">
        <f>DATE(2024,9,19)+TIME(8,6,12)</f>
        <v>45554.337638888886</v>
      </c>
      <c r="F906" t="e">
        <f>VLOOKUP(Table1[[#This Row],[Company Name]],Sheet1!B:B,1,FALSE)</f>
        <v>#N/A</v>
      </c>
    </row>
    <row r="907" spans="1:6" ht="17">
      <c r="A907" s="3" t="s">
        <v>1733</v>
      </c>
      <c r="B907" s="3" t="s">
        <v>2150</v>
      </c>
      <c r="C907" s="4">
        <f>DATE(2024,9,26)+TIME(14,17,50)</f>
        <v>45561.595717592594</v>
      </c>
      <c r="F907" t="e">
        <f>VLOOKUP(Table1[[#This Row],[Company Name]],Sheet1!B:B,1,FALSE)</f>
        <v>#N/A</v>
      </c>
    </row>
    <row r="908" spans="1:6" ht="17">
      <c r="A908" s="3" t="s">
        <v>1733</v>
      </c>
      <c r="B908" s="3" t="s">
        <v>2294</v>
      </c>
      <c r="C908" s="4">
        <f>DATE(2024,9,19)+TIME(10,41,16)</f>
        <v>45554.445324074077</v>
      </c>
      <c r="F908" t="e">
        <f>VLOOKUP(Table1[[#This Row],[Company Name]],Sheet1!B:B,1,FALSE)</f>
        <v>#N/A</v>
      </c>
    </row>
    <row r="909" spans="1:6" ht="17">
      <c r="A909" s="3" t="s">
        <v>1733</v>
      </c>
      <c r="B909" s="3" t="s">
        <v>2282</v>
      </c>
      <c r="C909" s="4">
        <f>DATE(2024,8,28)+TIME(13,12,58)</f>
        <v>45532.550671296296</v>
      </c>
      <c r="F909" t="e">
        <f>VLOOKUP(Table1[[#This Row],[Company Name]],Sheet1!B:B,1,FALSE)</f>
        <v>#N/A</v>
      </c>
    </row>
    <row r="910" spans="1:6" ht="17">
      <c r="A910" s="3" t="s">
        <v>1733</v>
      </c>
      <c r="B910" s="3" t="s">
        <v>2291</v>
      </c>
      <c r="C910" s="4">
        <f>DATE(2024,9,19)+TIME(9,41,3)</f>
        <v>45554.403506944444</v>
      </c>
      <c r="F910" t="e">
        <f>VLOOKUP(Table1[[#This Row],[Company Name]],Sheet1!B:B,1,FALSE)</f>
        <v>#N/A</v>
      </c>
    </row>
    <row r="911" spans="1:6" ht="17">
      <c r="A911" s="3" t="s">
        <v>1733</v>
      </c>
      <c r="B911" s="3" t="s">
        <v>2295</v>
      </c>
      <c r="C911" s="4">
        <f>DATE(2024,9,26)+TIME(13,5,46)</f>
        <v>45561.545671296299</v>
      </c>
      <c r="F911" t="e">
        <f>VLOOKUP(Table1[[#This Row],[Company Name]],Sheet1!B:B,1,FALSE)</f>
        <v>#N/A</v>
      </c>
    </row>
    <row r="912" spans="1:6" ht="17">
      <c r="A912" s="3" t="s">
        <v>1733</v>
      </c>
      <c r="B912" s="3" t="s">
        <v>2296</v>
      </c>
      <c r="C912" s="4">
        <f>DATE(2024,9,23)+TIME(10,16,58)</f>
        <v>45558.428449074076</v>
      </c>
      <c r="F912" t="e">
        <f>VLOOKUP(Table1[[#This Row],[Company Name]],Sheet1!B:B,1,FALSE)</f>
        <v>#N/A</v>
      </c>
    </row>
    <row r="913" spans="1:6" ht="17">
      <c r="A913" s="1" t="s">
        <v>1733</v>
      </c>
      <c r="B913" s="1" t="s">
        <v>2297</v>
      </c>
      <c r="C913" s="2">
        <f>DATE(2024,9,18)+TIME(16,41,22)</f>
        <v>45553.695393518516</v>
      </c>
      <c r="F913" t="e">
        <f>VLOOKUP(Table1[[#This Row],[Company Name]],Sheet1!B:B,1,FALSE)</f>
        <v>#N/A</v>
      </c>
    </row>
    <row r="914" spans="1:6" ht="17">
      <c r="A914" s="3" t="s">
        <v>1733</v>
      </c>
      <c r="B914" s="3" t="s">
        <v>2298</v>
      </c>
      <c r="C914" s="4">
        <f>DATE(2024,9,24)+TIME(12,8,43)</f>
        <v>45559.506053240744</v>
      </c>
      <c r="F914" t="e">
        <f>VLOOKUP(Table1[[#This Row],[Company Name]],Sheet1!B:B,1,FALSE)</f>
        <v>#N/A</v>
      </c>
    </row>
    <row r="915" spans="1:6" ht="17">
      <c r="A915" s="1" t="s">
        <v>1733</v>
      </c>
      <c r="B915" s="1" t="s">
        <v>1251</v>
      </c>
      <c r="C915" s="2">
        <f>DATE(2024,9,19)+TIME(14,8,3)</f>
        <v>45554.588923611111</v>
      </c>
      <c r="F915" t="e">
        <f>VLOOKUP(Table1[[#This Row],[Company Name]],Sheet1!B:B,1,FALSE)</f>
        <v>#N/A</v>
      </c>
    </row>
    <row r="916" spans="1:6" ht="17">
      <c r="A916" s="3" t="s">
        <v>1733</v>
      </c>
      <c r="B916" s="3" t="s">
        <v>2299</v>
      </c>
      <c r="C916" s="4">
        <f>DATE(2024,9,20)+TIME(11,24,0)</f>
        <v>45555.474999999999</v>
      </c>
      <c r="F916" t="e">
        <f>VLOOKUP(Table1[[#This Row],[Company Name]],Sheet1!B:B,1,FALSE)</f>
        <v>#N/A</v>
      </c>
    </row>
    <row r="917" spans="1:6" ht="17">
      <c r="A917" s="3" t="s">
        <v>1733</v>
      </c>
      <c r="B917" s="3" t="s">
        <v>2300</v>
      </c>
      <c r="C917" s="4">
        <f>DATE(2024,9,19)+TIME(10,17,31)</f>
        <v>45554.428831018522</v>
      </c>
      <c r="F917" t="e">
        <f>VLOOKUP(Table1[[#This Row],[Company Name]],Sheet1!B:B,1,FALSE)</f>
        <v>#N/A</v>
      </c>
    </row>
    <row r="918" spans="1:6" ht="17">
      <c r="A918" s="1" t="s">
        <v>1733</v>
      </c>
      <c r="B918" s="1" t="s">
        <v>2301</v>
      </c>
      <c r="C918" s="2">
        <f>DATE(2024,9,19)+TIME(8,17,17)</f>
        <v>45554.345335648148</v>
      </c>
      <c r="F918" t="e">
        <f>VLOOKUP(Table1[[#This Row],[Company Name]],Sheet1!B:B,1,FALSE)</f>
        <v>#N/A</v>
      </c>
    </row>
    <row r="919" spans="1:6" ht="17">
      <c r="A919" s="3" t="s">
        <v>1733</v>
      </c>
      <c r="B919" s="3" t="s">
        <v>2302</v>
      </c>
      <c r="C919" s="4">
        <f>DATE(2024,9,20)+TIME(9,5,23)</f>
        <v>45555.378738425927</v>
      </c>
      <c r="F919" t="e">
        <f>VLOOKUP(Table1[[#This Row],[Company Name]],Sheet1!B:B,1,FALSE)</f>
        <v>#N/A</v>
      </c>
    </row>
    <row r="920" spans="1:6" ht="17">
      <c r="A920" s="3" t="s">
        <v>1733</v>
      </c>
      <c r="B920" s="3" t="s">
        <v>2291</v>
      </c>
      <c r="C920" s="4">
        <f>DATE(2024,9,19)+TIME(8,39,57)</f>
        <v>45554.361076388886</v>
      </c>
      <c r="F920" t="e">
        <f>VLOOKUP(Table1[[#This Row],[Company Name]],Sheet1!B:B,1,FALSE)</f>
        <v>#N/A</v>
      </c>
    </row>
    <row r="921" spans="1:6" ht="34">
      <c r="A921" s="1" t="s">
        <v>1733</v>
      </c>
      <c r="B921" s="1" t="s">
        <v>2303</v>
      </c>
      <c r="C921" s="2">
        <f>DATE(2024,9,18)+TIME(20,46,22)</f>
        <v>45553.865532407406</v>
      </c>
      <c r="F921" t="e">
        <f>VLOOKUP(Table1[[#This Row],[Company Name]],Sheet1!B:B,1,FALSE)</f>
        <v>#N/A</v>
      </c>
    </row>
    <row r="922" spans="1:6" ht="17">
      <c r="A922" s="1" t="s">
        <v>1733</v>
      </c>
      <c r="B922" s="1" t="s">
        <v>2304</v>
      </c>
      <c r="C922" s="2">
        <f>DATE(2024,9,19)+TIME(9,23,11)</f>
        <v>45554.391099537039</v>
      </c>
      <c r="F922" t="e">
        <f>VLOOKUP(Table1[[#This Row],[Company Name]],Sheet1!B:B,1,FALSE)</f>
        <v>#N/A</v>
      </c>
    </row>
    <row r="923" spans="1:6" ht="17">
      <c r="A923" s="1" t="s">
        <v>1733</v>
      </c>
      <c r="B923" s="1" t="s">
        <v>2276</v>
      </c>
      <c r="C923" s="2">
        <f>DATE(2024,9,19)+TIME(9,10,10)</f>
        <v>45554.382060185184</v>
      </c>
      <c r="F923" t="e">
        <f>VLOOKUP(Table1[[#This Row],[Company Name]],Sheet1!B:B,1,FALSE)</f>
        <v>#N/A</v>
      </c>
    </row>
    <row r="924" spans="1:6" ht="17">
      <c r="A924" s="3" t="s">
        <v>1733</v>
      </c>
      <c r="B924" s="3" t="s">
        <v>2305</v>
      </c>
      <c r="C924" s="4">
        <f>DATE(2024,9,18)+TIME(17,1,16)</f>
        <v>45553.70921296296</v>
      </c>
      <c r="F924" t="e">
        <f>VLOOKUP(Table1[[#This Row],[Company Name]],Sheet1!B:B,1,FALSE)</f>
        <v>#N/A</v>
      </c>
    </row>
    <row r="925" spans="1:6" ht="17">
      <c r="A925" s="3" t="s">
        <v>1733</v>
      </c>
      <c r="B925" s="3" t="s">
        <v>2306</v>
      </c>
      <c r="C925" s="4">
        <f>DATE(2024,9,24)+TIME(15,38,1)</f>
        <v>45559.651400462964</v>
      </c>
      <c r="F925" t="e">
        <f>VLOOKUP(Table1[[#This Row],[Company Name]],Sheet1!B:B,1,FALSE)</f>
        <v>#N/A</v>
      </c>
    </row>
    <row r="926" spans="1:6" ht="17">
      <c r="A926" s="3" t="s">
        <v>1733</v>
      </c>
      <c r="B926" s="3" t="s">
        <v>2150</v>
      </c>
      <c r="C926" s="4">
        <f>DATE(2024,9,18)+TIME(16,47,55)</f>
        <v>45553.699942129628</v>
      </c>
      <c r="F926" t="e">
        <f>VLOOKUP(Table1[[#This Row],[Company Name]],Sheet1!B:B,1,FALSE)</f>
        <v>#N/A</v>
      </c>
    </row>
    <row r="927" spans="1:6" ht="17">
      <c r="A927" s="3" t="s">
        <v>1733</v>
      </c>
      <c r="B927" s="3" t="s">
        <v>2307</v>
      </c>
      <c r="C927" s="4">
        <f>DATE(2024,9,19)+TIME(9,21,19)</f>
        <v>45554.389803240738</v>
      </c>
      <c r="F927" t="e">
        <f>VLOOKUP(Table1[[#This Row],[Company Name]],Sheet1!B:B,1,FALSE)</f>
        <v>#N/A</v>
      </c>
    </row>
    <row r="928" spans="1:6" ht="17">
      <c r="A928" s="1" t="s">
        <v>1733</v>
      </c>
      <c r="B928" s="1" t="s">
        <v>2308</v>
      </c>
      <c r="C928" s="2">
        <f>DATE(2024,9,19)+TIME(9,55,16)</f>
        <v>45554.41337962963</v>
      </c>
      <c r="F928" t="e">
        <f>VLOOKUP(Table1[[#This Row],[Company Name]],Sheet1!B:B,1,FALSE)</f>
        <v>#N/A</v>
      </c>
    </row>
    <row r="929" spans="1:6" ht="17">
      <c r="A929" s="1" t="s">
        <v>1733</v>
      </c>
      <c r="B929" s="1" t="s">
        <v>2309</v>
      </c>
      <c r="C929" s="2">
        <f>DATE(2024,9,24)+TIME(11,38,39)</f>
        <v>45559.485173611109</v>
      </c>
      <c r="F929" t="e">
        <f>VLOOKUP(Table1[[#This Row],[Company Name]],Sheet1!B:B,1,FALSE)</f>
        <v>#N/A</v>
      </c>
    </row>
    <row r="930" spans="1:6" ht="17">
      <c r="A930" s="3" t="s">
        <v>1733</v>
      </c>
      <c r="B930" s="3" t="s">
        <v>2310</v>
      </c>
      <c r="C930" s="4">
        <f>DATE(2024,9,19)+TIME(9,4,33)</f>
        <v>45554.378159722219</v>
      </c>
      <c r="F930" t="e">
        <f>VLOOKUP(Table1[[#This Row],[Company Name]],Sheet1!B:B,1,FALSE)</f>
        <v>#N/A</v>
      </c>
    </row>
    <row r="931" spans="1:6" ht="17">
      <c r="A931" s="3" t="s">
        <v>1733</v>
      </c>
      <c r="B931" s="3" t="s">
        <v>2307</v>
      </c>
      <c r="C931" s="4">
        <f>DATE(2024,9,19)+TIME(2,31,27)</f>
        <v>45554.105173611111</v>
      </c>
      <c r="F931" t="e">
        <f>VLOOKUP(Table1[[#This Row],[Company Name]],Sheet1!B:B,1,FALSE)</f>
        <v>#N/A</v>
      </c>
    </row>
    <row r="932" spans="1:6" ht="17">
      <c r="A932" s="1" t="s">
        <v>1733</v>
      </c>
      <c r="B932" s="1" t="s">
        <v>2311</v>
      </c>
      <c r="C932" s="2">
        <f>DATE(2024,9,26)+TIME(11,56,41)</f>
        <v>45561.497696759259</v>
      </c>
      <c r="F932" t="e">
        <f>VLOOKUP(Table1[[#This Row],[Company Name]],Sheet1!B:B,1,FALSE)</f>
        <v>#N/A</v>
      </c>
    </row>
    <row r="933" spans="1:6" ht="17">
      <c r="A933" s="3" t="s">
        <v>1733</v>
      </c>
      <c r="B933" s="3" t="s">
        <v>2306</v>
      </c>
      <c r="C933" s="4">
        <f>DATE(2024,9,23)+TIME(10,34,12)</f>
        <v>45558.440416666665</v>
      </c>
      <c r="F933" t="e">
        <f>VLOOKUP(Table1[[#This Row],[Company Name]],Sheet1!B:B,1,FALSE)</f>
        <v>#N/A</v>
      </c>
    </row>
    <row r="934" spans="1:6" ht="17">
      <c r="A934" s="3" t="s">
        <v>1733</v>
      </c>
      <c r="B934" s="3" t="s">
        <v>2150</v>
      </c>
      <c r="C934" s="4">
        <f>DATE(2024,9,24)+TIME(6,54,16)</f>
        <v>45559.287685185183</v>
      </c>
      <c r="F934" t="e">
        <f>VLOOKUP(Table1[[#This Row],[Company Name]],Sheet1!B:B,1,FALSE)</f>
        <v>#N/A</v>
      </c>
    </row>
    <row r="935" spans="1:6" ht="17">
      <c r="A935" s="1" t="s">
        <v>1733</v>
      </c>
      <c r="B935" s="1" t="s">
        <v>264</v>
      </c>
      <c r="C935" s="2">
        <f>DATE(2024,9,18)+TIME(16,55,49)</f>
        <v>45553.705428240741</v>
      </c>
      <c r="F935" t="e">
        <f>VLOOKUP(Table1[[#This Row],[Company Name]],Sheet1!B:B,1,FALSE)</f>
        <v>#N/A</v>
      </c>
    </row>
    <row r="936" spans="1:6" ht="17">
      <c r="A936" s="1" t="s">
        <v>1733</v>
      </c>
      <c r="B936" s="1" t="s">
        <v>2312</v>
      </c>
      <c r="C936" s="2">
        <f>DATE(2024,9,18)+TIME(18,3,8)</f>
        <v>45553.752175925925</v>
      </c>
      <c r="F936" t="e">
        <f>VLOOKUP(Table1[[#This Row],[Company Name]],Sheet1!B:B,1,FALSE)</f>
        <v>#N/A</v>
      </c>
    </row>
    <row r="937" spans="1:6" ht="17">
      <c r="A937" s="3" t="s">
        <v>1733</v>
      </c>
      <c r="B937" s="3" t="s">
        <v>344</v>
      </c>
      <c r="C937" s="4">
        <f>DATE(2024,9,19)+TIME(12,9,17)</f>
        <v>45554.50644675926</v>
      </c>
      <c r="F937" t="e">
        <f>VLOOKUP(Table1[[#This Row],[Company Name]],Sheet1!B:B,1,FALSE)</f>
        <v>#N/A</v>
      </c>
    </row>
    <row r="938" spans="1:6" ht="17">
      <c r="A938" s="1" t="s">
        <v>1733</v>
      </c>
      <c r="B938" s="1" t="s">
        <v>2313</v>
      </c>
      <c r="C938" s="2">
        <f>DATE(2024,9,19)+TIME(10,10,24)</f>
        <v>45554.423888888887</v>
      </c>
      <c r="F938" t="e">
        <f>VLOOKUP(Table1[[#This Row],[Company Name]],Sheet1!B:B,1,FALSE)</f>
        <v>#N/A</v>
      </c>
    </row>
    <row r="939" spans="1:6" ht="17">
      <c r="A939" s="1" t="s">
        <v>1733</v>
      </c>
      <c r="B939" s="1" t="s">
        <v>2314</v>
      </c>
      <c r="C939" s="2">
        <f>DATE(2024,9,19)+TIME(5,28,59)</f>
        <v>45554.228460648148</v>
      </c>
      <c r="F939" t="e">
        <f>VLOOKUP(Table1[[#This Row],[Company Name]],Sheet1!B:B,1,FALSE)</f>
        <v>#N/A</v>
      </c>
    </row>
    <row r="940" spans="1:6" ht="17">
      <c r="A940" s="3" t="s">
        <v>1733</v>
      </c>
      <c r="B940" s="3" t="s">
        <v>2315</v>
      </c>
      <c r="C940" s="4">
        <f>DATE(2024,9,19)+TIME(6,3,10)</f>
        <v>45554.252199074072</v>
      </c>
      <c r="F940" t="e">
        <f>VLOOKUP(Table1[[#This Row],[Company Name]],Sheet1!B:B,1,FALSE)</f>
        <v>#N/A</v>
      </c>
    </row>
    <row r="941" spans="1:6" ht="17">
      <c r="A941" s="3" t="s">
        <v>1733</v>
      </c>
      <c r="B941" s="3" t="s">
        <v>2316</v>
      </c>
      <c r="C941" s="4">
        <f>DATE(2024,9,18)+TIME(17,9,24)</f>
        <v>45553.714861111112</v>
      </c>
      <c r="F941" t="e">
        <f>VLOOKUP(Table1[[#This Row],[Company Name]],Sheet1!B:B,1,FALSE)</f>
        <v>#N/A</v>
      </c>
    </row>
    <row r="942" spans="1:6" ht="17">
      <c r="A942" s="3" t="s">
        <v>1733</v>
      </c>
      <c r="B942" s="3" t="s">
        <v>2317</v>
      </c>
      <c r="C942" s="4">
        <f>DATE(2024,9,19)+TIME(7,56,43)</f>
        <v>45554.331053240741</v>
      </c>
      <c r="F942" t="e">
        <f>VLOOKUP(Table1[[#This Row],[Company Name]],Sheet1!B:B,1,FALSE)</f>
        <v>#N/A</v>
      </c>
    </row>
    <row r="943" spans="1:6" ht="17">
      <c r="A943" s="1" t="s">
        <v>1733</v>
      </c>
      <c r="B943" s="1" t="s">
        <v>2318</v>
      </c>
      <c r="C943" s="2">
        <f>DATE(2024,9,18)+TIME(19,18,48)</f>
        <v>45553.804722222223</v>
      </c>
      <c r="F943" t="e">
        <f>VLOOKUP(Table1[[#This Row],[Company Name]],Sheet1!B:B,1,FALSE)</f>
        <v>#N/A</v>
      </c>
    </row>
    <row r="944" spans="1:6" ht="17">
      <c r="A944" s="3" t="s">
        <v>1733</v>
      </c>
      <c r="B944" s="3" t="s">
        <v>2319</v>
      </c>
      <c r="C944" s="4">
        <f>DATE(2024,9,18)+TIME(16,43,7)</f>
        <v>45553.696608796294</v>
      </c>
      <c r="F944" t="e">
        <f>VLOOKUP(Table1[[#This Row],[Company Name]],Sheet1!B:B,1,FALSE)</f>
        <v>#N/A</v>
      </c>
    </row>
    <row r="945" spans="1:6" ht="17">
      <c r="A945" s="1" t="s">
        <v>1733</v>
      </c>
      <c r="B945" s="1" t="s">
        <v>2320</v>
      </c>
      <c r="C945" s="2">
        <f>DATE(2024,9,23)+TIME(13,54,33)</f>
        <v>45558.579548611109</v>
      </c>
      <c r="F945" t="e">
        <f>VLOOKUP(Table1[[#This Row],[Company Name]],Sheet1!B:B,1,FALSE)</f>
        <v>#N/A</v>
      </c>
    </row>
    <row r="946" spans="1:6" ht="17">
      <c r="A946" s="1" t="s">
        <v>1733</v>
      </c>
      <c r="B946" s="1" t="s">
        <v>264</v>
      </c>
      <c r="C946" s="2">
        <f>DATE(2024,9,19)+TIME(11,50,39)</f>
        <v>45554.493506944447</v>
      </c>
      <c r="F946" t="e">
        <f>VLOOKUP(Table1[[#This Row],[Company Name]],Sheet1!B:B,1,FALSE)</f>
        <v>#N/A</v>
      </c>
    </row>
    <row r="947" spans="1:6" ht="17">
      <c r="A947" s="1" t="s">
        <v>1733</v>
      </c>
      <c r="B947" s="1" t="s">
        <v>2291</v>
      </c>
      <c r="C947" s="2">
        <f>DATE(2024,9,19)+TIME(19,16,13)</f>
        <v>45554.802928240744</v>
      </c>
      <c r="F947" t="e">
        <f>VLOOKUP(Table1[[#This Row],[Company Name]],Sheet1!B:B,1,FALSE)</f>
        <v>#N/A</v>
      </c>
    </row>
    <row r="948" spans="1:6" ht="17">
      <c r="A948" s="3" t="s">
        <v>1733</v>
      </c>
      <c r="B948" s="3" t="s">
        <v>2321</v>
      </c>
      <c r="C948" s="4">
        <f>DATE(2024,9,18)+TIME(23,24,35)</f>
        <v>45553.975405092591</v>
      </c>
      <c r="F948" t="e">
        <f>VLOOKUP(Table1[[#This Row],[Company Name]],Sheet1!B:B,1,FALSE)</f>
        <v>#N/A</v>
      </c>
    </row>
    <row r="949" spans="1:6" ht="17">
      <c r="A949" s="3" t="s">
        <v>1733</v>
      </c>
      <c r="B949" s="3" t="s">
        <v>1261</v>
      </c>
      <c r="C949" s="4">
        <f>DATE(2024,9,19)+TIME(8,53,34)</f>
        <v>45554.370532407411</v>
      </c>
      <c r="F949" t="e">
        <f>VLOOKUP(Table1[[#This Row],[Company Name]],Sheet1!B:B,1,FALSE)</f>
        <v>#N/A</v>
      </c>
    </row>
    <row r="950" spans="1:6" ht="17">
      <c r="A950" s="3" t="s">
        <v>1733</v>
      </c>
      <c r="B950" s="3" t="s">
        <v>2322</v>
      </c>
      <c r="C950" s="4">
        <f>DATE(2024,9,23)+TIME(7,57,22)</f>
        <v>45558.331504629627</v>
      </c>
      <c r="F950" t="e">
        <f>VLOOKUP(Table1[[#This Row],[Company Name]],Sheet1!B:B,1,FALSE)</f>
        <v>#N/A</v>
      </c>
    </row>
    <row r="951" spans="1:6" ht="17">
      <c r="A951" s="1" t="s">
        <v>1733</v>
      </c>
      <c r="B951" s="1" t="s">
        <v>2323</v>
      </c>
      <c r="C951" s="2">
        <f>DATE(2024,9,26)+TIME(15,22,12)</f>
        <v>45561.640416666669</v>
      </c>
      <c r="F951" t="e">
        <f>VLOOKUP(Table1[[#This Row],[Company Name]],Sheet1!B:B,1,FALSE)</f>
        <v>#N/A</v>
      </c>
    </row>
    <row r="952" spans="1:6" ht="34">
      <c r="A952" s="3" t="s">
        <v>1733</v>
      </c>
      <c r="B952" s="3" t="s">
        <v>2324</v>
      </c>
      <c r="C952" s="4">
        <f>DATE(2024,9,19)+TIME(9,13,36)</f>
        <v>45554.384444444448</v>
      </c>
      <c r="F952" t="e">
        <f>VLOOKUP(Table1[[#This Row],[Company Name]],Sheet1!B:B,1,FALSE)</f>
        <v>#N/A</v>
      </c>
    </row>
    <row r="953" spans="1:6" ht="17">
      <c r="A953" s="1" t="s">
        <v>1733</v>
      </c>
      <c r="B953" s="1" t="s">
        <v>2325</v>
      </c>
      <c r="C953" s="2">
        <f>DATE(2024,9,19)+TIME(8,55,7)</f>
        <v>45554.371608796297</v>
      </c>
      <c r="F953" t="e">
        <f>VLOOKUP(Table1[[#This Row],[Company Name]],Sheet1!B:B,1,FALSE)</f>
        <v>#N/A</v>
      </c>
    </row>
    <row r="954" spans="1:6" ht="17">
      <c r="A954" s="3" t="s">
        <v>1733</v>
      </c>
      <c r="B954" s="3" t="s">
        <v>2326</v>
      </c>
      <c r="C954" s="4">
        <f>DATE(2024,9,19)+TIME(11,10,30)</f>
        <v>45554.465624999997</v>
      </c>
      <c r="F954" t="e">
        <f>VLOOKUP(Table1[[#This Row],[Company Name]],Sheet1!B:B,1,FALSE)</f>
        <v>#N/A</v>
      </c>
    </row>
    <row r="955" spans="1:6" ht="34">
      <c r="A955" s="1" t="s">
        <v>1733</v>
      </c>
      <c r="B955" s="1" t="s">
        <v>2327</v>
      </c>
      <c r="C955" s="2">
        <f>DATE(2024,9,19)+TIME(8,49,42)</f>
        <v>45554.367847222224</v>
      </c>
      <c r="F955" t="e">
        <f>VLOOKUP(Table1[[#This Row],[Company Name]],Sheet1!B:B,1,FALSE)</f>
        <v>#N/A</v>
      </c>
    </row>
    <row r="956" spans="1:6" ht="17">
      <c r="A956" s="3" t="s">
        <v>1733</v>
      </c>
      <c r="B956" s="3" t="s">
        <v>2328</v>
      </c>
      <c r="C956" s="4">
        <f>DATE(2024,9,19)+TIME(10,32,7)</f>
        <v>45554.438969907409</v>
      </c>
      <c r="F956" t="e">
        <f>VLOOKUP(Table1[[#This Row],[Company Name]],Sheet1!B:B,1,FALSE)</f>
        <v>#N/A</v>
      </c>
    </row>
    <row r="957" spans="1:6" ht="17">
      <c r="A957" s="1" t="s">
        <v>1733</v>
      </c>
      <c r="B957" s="1" t="s">
        <v>2150</v>
      </c>
      <c r="C957" s="2">
        <f>DATE(2024,9,18)+TIME(18,25,43)</f>
        <v>45553.767858796295</v>
      </c>
      <c r="F957" t="e">
        <f>VLOOKUP(Table1[[#This Row],[Company Name]],Sheet1!B:B,1,FALSE)</f>
        <v>#N/A</v>
      </c>
    </row>
    <row r="958" spans="1:6" ht="17">
      <c r="A958" s="3" t="s">
        <v>1733</v>
      </c>
      <c r="B958" s="3" t="s">
        <v>2329</v>
      </c>
      <c r="C958" s="4">
        <f>DATE(2024,9,23)+TIME(8,57,45)</f>
        <v>45558.373437499999</v>
      </c>
      <c r="F958" t="e">
        <f>VLOOKUP(Table1[[#This Row],[Company Name]],Sheet1!B:B,1,FALSE)</f>
        <v>#N/A</v>
      </c>
    </row>
    <row r="959" spans="1:6" ht="34">
      <c r="A959" s="3" t="s">
        <v>1733</v>
      </c>
      <c r="B959" s="3" t="s">
        <v>2330</v>
      </c>
      <c r="C959" s="4">
        <f>DATE(2024,9,23)+TIME(9,35,12)</f>
        <v>45558.399444444447</v>
      </c>
      <c r="F959" t="e">
        <f>VLOOKUP(Table1[[#This Row],[Company Name]],Sheet1!B:B,1,FALSE)</f>
        <v>#N/A</v>
      </c>
    </row>
    <row r="960" spans="1:6" ht="17">
      <c r="A960" s="3" t="s">
        <v>1733</v>
      </c>
      <c r="B960" s="3" t="s">
        <v>2307</v>
      </c>
      <c r="C960" s="4">
        <f>DATE(2024,9,18)+TIME(20,34,51)</f>
        <v>45553.857534722221</v>
      </c>
      <c r="F960" t="e">
        <f>VLOOKUP(Table1[[#This Row],[Company Name]],Sheet1!B:B,1,FALSE)</f>
        <v>#N/A</v>
      </c>
    </row>
    <row r="961" spans="1:6" ht="17">
      <c r="A961" s="3" t="s">
        <v>1733</v>
      </c>
      <c r="B961" s="3" t="s">
        <v>2331</v>
      </c>
      <c r="C961" s="4">
        <f>DATE(2024,9,18)+TIME(16,9,34)</f>
        <v>45553.673310185186</v>
      </c>
      <c r="F961" t="e">
        <f>VLOOKUP(Table1[[#This Row],[Company Name]],Sheet1!B:B,1,FALSE)</f>
        <v>#N/A</v>
      </c>
    </row>
    <row r="962" spans="1:6" ht="17">
      <c r="A962" s="1" t="s">
        <v>1733</v>
      </c>
      <c r="B962" s="1" t="s">
        <v>2332</v>
      </c>
      <c r="C962" s="2">
        <f>DATE(2024,9,18)+TIME(17,3,2)</f>
        <v>45553.710439814815</v>
      </c>
      <c r="F962" t="e">
        <f>VLOOKUP(Table1[[#This Row],[Company Name]],Sheet1!B:B,1,FALSE)</f>
        <v>#N/A</v>
      </c>
    </row>
    <row r="963" spans="1:6" ht="17">
      <c r="A963" s="3" t="s">
        <v>1733</v>
      </c>
      <c r="B963" s="3" t="s">
        <v>567</v>
      </c>
      <c r="C963" s="4">
        <f>DATE(2024,9,19)+TIME(9,7,20)</f>
        <v>45554.38009259259</v>
      </c>
      <c r="F963" t="e">
        <f>VLOOKUP(Table1[[#This Row],[Company Name]],Sheet1!B:B,1,FALSE)</f>
        <v>#N/A</v>
      </c>
    </row>
    <row r="964" spans="1:6" ht="17">
      <c r="A964" s="1" t="s">
        <v>1733</v>
      </c>
      <c r="B964" s="1" t="s">
        <v>1732</v>
      </c>
      <c r="C964" s="2">
        <f>DATE(2024,9,19)+TIME(10,57,6)</f>
        <v>45554.456319444442</v>
      </c>
      <c r="F964" t="e">
        <f>VLOOKUP(Table1[[#This Row],[Company Name]],Sheet1!B:B,1,FALSE)</f>
        <v>#N/A</v>
      </c>
    </row>
    <row r="965" spans="1:6" ht="17">
      <c r="A965" s="3" t="s">
        <v>1733</v>
      </c>
      <c r="B965" s="3" t="s">
        <v>2333</v>
      </c>
      <c r="C965" s="4">
        <f>DATE(2024,9,19)+TIME(8,33,13)</f>
        <v>45554.356400462966</v>
      </c>
      <c r="F965" t="e">
        <f>VLOOKUP(Table1[[#This Row],[Company Name]],Sheet1!B:B,1,FALSE)</f>
        <v>#N/A</v>
      </c>
    </row>
    <row r="966" spans="1:6" ht="17">
      <c r="A966" s="1" t="s">
        <v>1735</v>
      </c>
      <c r="B966" s="1" t="s">
        <v>1736</v>
      </c>
      <c r="C966" s="2">
        <f>DATE(2024,8,15)+TIME(14,42,29)</f>
        <v>45519.612835648149</v>
      </c>
      <c r="F966" t="e">
        <f>VLOOKUP(Table1[[#This Row],[Company Name]],Sheet1!B:B,1,FALSE)</f>
        <v>#N/A</v>
      </c>
    </row>
    <row r="967" spans="1:6" ht="17">
      <c r="A967" s="3" t="s">
        <v>1735</v>
      </c>
      <c r="B967" s="3" t="s">
        <v>2334</v>
      </c>
      <c r="C967" s="4">
        <f>DATE(2024,8,15)+TIME(12,48,0)</f>
        <v>45519.533333333333</v>
      </c>
      <c r="F967" t="e">
        <f>VLOOKUP(Table1[[#This Row],[Company Name]],Sheet1!B:B,1,FALSE)</f>
        <v>#N/A</v>
      </c>
    </row>
    <row r="968" spans="1:6" ht="17">
      <c r="A968" s="3" t="s">
        <v>1737</v>
      </c>
      <c r="B968" s="3" t="s">
        <v>1738</v>
      </c>
      <c r="C968" s="4">
        <f>DATE(2024,9,26)+TIME(14,44,49)</f>
        <v>45561.61445601852</v>
      </c>
      <c r="F968" t="e">
        <f>VLOOKUP(Table1[[#This Row],[Company Name]],Sheet1!B:B,1,FALSE)</f>
        <v>#N/A</v>
      </c>
    </row>
    <row r="969" spans="1:6" ht="17">
      <c r="A969" s="1" t="s">
        <v>765</v>
      </c>
      <c r="B969" s="1" t="s">
        <v>271</v>
      </c>
      <c r="C969" s="2">
        <f>DATE(2024,8,2)+TIME(12,24,30)</f>
        <v>45506.517013888886</v>
      </c>
      <c r="F969" t="e">
        <f>VLOOKUP(Table1[[#This Row],[Company Name]],Sheet1!B:B,1,FALSE)</f>
        <v>#N/A</v>
      </c>
    </row>
    <row r="970" spans="1:6" ht="17">
      <c r="A970" s="3" t="s">
        <v>1739</v>
      </c>
      <c r="B970" s="3" t="s">
        <v>1740</v>
      </c>
      <c r="C970" s="4">
        <f>DATE(2024,9,25)+TIME(12,49,52)</f>
        <v>45560.534629629627</v>
      </c>
      <c r="F970" t="e">
        <f>VLOOKUP(Table1[[#This Row],[Company Name]],Sheet1!B:B,1,FALSE)</f>
        <v>#N/A</v>
      </c>
    </row>
    <row r="971" spans="1:6" ht="34">
      <c r="A971" s="3" t="s">
        <v>1741</v>
      </c>
      <c r="B971" s="3" t="s">
        <v>1742</v>
      </c>
      <c r="C971" s="4">
        <f>DATE(2024,9,17)+TIME(13,19,58)</f>
        <v>45552.555532407408</v>
      </c>
      <c r="F971" t="e">
        <f>VLOOKUP(Table1[[#This Row],[Company Name]],Sheet1!B:B,1,FALSE)</f>
        <v>#N/A</v>
      </c>
    </row>
    <row r="972" spans="1:6" ht="17">
      <c r="A972" s="3" t="s">
        <v>780</v>
      </c>
      <c r="B972" s="3" t="s">
        <v>771</v>
      </c>
      <c r="C972" s="4">
        <f>DATE(2024,8,19)+TIME(16,59,22)</f>
        <v>45523.70789351852</v>
      </c>
      <c r="E972" t="s">
        <v>1743</v>
      </c>
      <c r="F972" t="s">
        <v>61</v>
      </c>
    </row>
    <row r="973" spans="1:6" ht="17">
      <c r="A973" s="6" t="s">
        <v>780</v>
      </c>
      <c r="B973" s="6" t="s">
        <v>2006</v>
      </c>
      <c r="C973" s="7">
        <f>DATE(2024,8,19)+TIME(17,34,10)</f>
        <v>45523.732060185182</v>
      </c>
      <c r="D973" s="8" t="s">
        <v>2002</v>
      </c>
      <c r="E973" t="s">
        <v>1743</v>
      </c>
      <c r="F973" t="s">
        <v>61</v>
      </c>
    </row>
    <row r="974" spans="1:6" ht="17">
      <c r="A974" s="6" t="s">
        <v>780</v>
      </c>
      <c r="B974" s="6" t="s">
        <v>2335</v>
      </c>
      <c r="C974" s="7">
        <f>DATE(2024,8,19)+TIME(17,41,19)</f>
        <v>45523.737025462964</v>
      </c>
      <c r="D974" s="8" t="s">
        <v>2002</v>
      </c>
      <c r="E974" t="s">
        <v>1743</v>
      </c>
      <c r="F974" t="s">
        <v>61</v>
      </c>
    </row>
    <row r="975" spans="1:6" ht="17">
      <c r="A975" s="6" t="s">
        <v>780</v>
      </c>
      <c r="B975" s="6" t="s">
        <v>2336</v>
      </c>
      <c r="C975" s="7">
        <f>DATE(2024,8,28)+TIME(17,36,27)</f>
        <v>45532.73364583333</v>
      </c>
      <c r="D975" s="8" t="s">
        <v>2002</v>
      </c>
      <c r="E975" t="s">
        <v>1743</v>
      </c>
      <c r="F975" t="s">
        <v>61</v>
      </c>
    </row>
    <row r="976" spans="1:6" ht="17">
      <c r="A976" s="6" t="s">
        <v>780</v>
      </c>
      <c r="B976" s="6" t="s">
        <v>781</v>
      </c>
      <c r="C976" s="7">
        <f>DATE(2024,8,27)+TIME(7,41,17)</f>
        <v>45531.320335648146</v>
      </c>
      <c r="D976" s="8" t="s">
        <v>2002</v>
      </c>
      <c r="E976" t="s">
        <v>1743</v>
      </c>
      <c r="F976" t="s">
        <v>61</v>
      </c>
    </row>
    <row r="977" spans="1:6" ht="17">
      <c r="A977" s="6" t="s">
        <v>1744</v>
      </c>
      <c r="B977" s="6" t="s">
        <v>1745</v>
      </c>
      <c r="C977" s="7">
        <f>DATE(2024,5,31)+TIME(7,16,47)</f>
        <v>45443.30332175926</v>
      </c>
      <c r="D977" s="8" t="s">
        <v>2002</v>
      </c>
      <c r="F977" t="e">
        <f>VLOOKUP(Table1[[#This Row],[Company Name]],Sheet1!B:B,1,FALSE)</f>
        <v>#N/A</v>
      </c>
    </row>
    <row r="978" spans="1:6" ht="17">
      <c r="A978" s="1" t="s">
        <v>1746</v>
      </c>
      <c r="B978" s="1" t="s">
        <v>1747</v>
      </c>
      <c r="C978" s="2">
        <f>DATE(2024,6,6)+TIME(10,38,4)</f>
        <v>45449.443101851852</v>
      </c>
      <c r="F978" t="e">
        <f>VLOOKUP(Table1[[#This Row],[Company Name]],Sheet1!B:B,1,FALSE)</f>
        <v>#N/A</v>
      </c>
    </row>
    <row r="979" spans="1:6" ht="17">
      <c r="A979" s="3" t="s">
        <v>1748</v>
      </c>
      <c r="B979" s="3" t="s">
        <v>1749</v>
      </c>
      <c r="C979" s="4">
        <f>DATE(2024,8,27)+TIME(5,56,8)</f>
        <v>45531.247314814813</v>
      </c>
      <c r="F979" t="e">
        <f>VLOOKUP(Table1[[#This Row],[Company Name]],Sheet1!B:B,1,FALSE)</f>
        <v>#N/A</v>
      </c>
    </row>
    <row r="980" spans="1:6" ht="17">
      <c r="A980" s="3" t="s">
        <v>1750</v>
      </c>
      <c r="B980" s="3" t="s">
        <v>1751</v>
      </c>
      <c r="C980" s="4">
        <f>DATE(2024,8,7)+TIME(10,52,26)</f>
        <v>45511.4530787037</v>
      </c>
      <c r="F980" t="e">
        <f>VLOOKUP(Table1[[#This Row],[Company Name]],Sheet1!B:B,1,FALSE)</f>
        <v>#N/A</v>
      </c>
    </row>
    <row r="981" spans="1:6" ht="17">
      <c r="A981" s="1" t="s">
        <v>1752</v>
      </c>
      <c r="B981" s="1" t="s">
        <v>1753</v>
      </c>
      <c r="C981" s="2">
        <f>DATE(2024,8,28)+TIME(10,35,37)</f>
        <v>45532.441400462965</v>
      </c>
      <c r="F981" t="e">
        <f>VLOOKUP(Table1[[#This Row],[Company Name]],Sheet1!B:B,1,FALSE)</f>
        <v>#N/A</v>
      </c>
    </row>
    <row r="982" spans="1:6" ht="17">
      <c r="A982" s="3" t="s">
        <v>1754</v>
      </c>
      <c r="B982" s="3" t="s">
        <v>1755</v>
      </c>
      <c r="C982" s="4">
        <f>DATE(2024,9,8)+TIME(10,11,35)</f>
        <v>45543.424710648149</v>
      </c>
      <c r="F982" t="e">
        <f>VLOOKUP(Table1[[#This Row],[Company Name]],Sheet1!B:B,1,FALSE)</f>
        <v>#N/A</v>
      </c>
    </row>
    <row r="983" spans="1:6" ht="34">
      <c r="A983" s="3" t="s">
        <v>1756</v>
      </c>
      <c r="B983" s="3" t="s">
        <v>1757</v>
      </c>
      <c r="C983" s="4">
        <f>DATE(2024,9,6)+TIME(10,2,45)</f>
        <v>45541.418576388889</v>
      </c>
      <c r="F983" t="e">
        <f>VLOOKUP(Table1[[#This Row],[Company Name]],Sheet1!B:B,1,FALSE)</f>
        <v>#N/A</v>
      </c>
    </row>
    <row r="984" spans="1:6" ht="17">
      <c r="A984" s="1" t="s">
        <v>1758</v>
      </c>
      <c r="B984" s="1" t="s">
        <v>1759</v>
      </c>
      <c r="C984" s="2">
        <f>DATE(2024,9,20)+TIME(10,15,35)</f>
        <v>45555.427488425928</v>
      </c>
      <c r="F984" t="e">
        <f>VLOOKUP(Table1[[#This Row],[Company Name]],Sheet1!B:B,1,FALSE)</f>
        <v>#N/A</v>
      </c>
    </row>
    <row r="985" spans="1:6" ht="34">
      <c r="A985" s="1" t="s">
        <v>1760</v>
      </c>
      <c r="B985" s="1" t="s">
        <v>1761</v>
      </c>
      <c r="C985" s="2">
        <f>DATE(2024,9,10)+TIME(11,1,16)</f>
        <v>45545.45921296296</v>
      </c>
      <c r="F985" t="e">
        <f>VLOOKUP(Table1[[#This Row],[Company Name]],Sheet1!B:B,1,FALSE)</f>
        <v>#N/A</v>
      </c>
    </row>
    <row r="986" spans="1:6" ht="17">
      <c r="A986" s="1" t="s">
        <v>1762</v>
      </c>
      <c r="B986" s="1" t="s">
        <v>1251</v>
      </c>
      <c r="C986" s="2">
        <f>DATE(2024,8,22)+TIME(8,57,36)</f>
        <v>45526.373333333337</v>
      </c>
      <c r="F986" t="e">
        <f>VLOOKUP(Table1[[#This Row],[Company Name]],Sheet1!B:B,1,FALSE)</f>
        <v>#N/A</v>
      </c>
    </row>
    <row r="987" spans="1:6" ht="17">
      <c r="A987" s="1" t="s">
        <v>1763</v>
      </c>
      <c r="B987" s="1" t="s">
        <v>1764</v>
      </c>
      <c r="C987" s="2">
        <f>DATE(2024,7,22)+TIME(17,50,34)</f>
        <v>45495.743449074071</v>
      </c>
      <c r="F987" t="e">
        <f>VLOOKUP(Table1[[#This Row],[Company Name]],Sheet1!B:B,1,FALSE)</f>
        <v>#N/A</v>
      </c>
    </row>
    <row r="988" spans="1:6" ht="17">
      <c r="A988" s="1" t="s">
        <v>1765</v>
      </c>
      <c r="B988" s="1" t="s">
        <v>1766</v>
      </c>
      <c r="C988" s="2">
        <f>DATE(2024,9,26)+TIME(14,34,4)</f>
        <v>45561.606990740744</v>
      </c>
      <c r="F988" t="e">
        <f>VLOOKUP(Table1[[#This Row],[Company Name]],Sheet1!B:B,1,FALSE)</f>
        <v>#N/A</v>
      </c>
    </row>
    <row r="989" spans="1:6" ht="17">
      <c r="A989" s="3" t="s">
        <v>1767</v>
      </c>
      <c r="B989" s="3" t="s">
        <v>1768</v>
      </c>
      <c r="C989" s="4">
        <f>DATE(2024,9,11)+TIME(12,30,36)</f>
        <v>45546.521249999998</v>
      </c>
      <c r="F989" t="e">
        <f>VLOOKUP(Table1[[#This Row],[Company Name]],Sheet1!B:B,1,FALSE)</f>
        <v>#N/A</v>
      </c>
    </row>
    <row r="990" spans="1:6" ht="17">
      <c r="A990" s="6" t="s">
        <v>1769</v>
      </c>
      <c r="B990" s="6" t="s">
        <v>1770</v>
      </c>
      <c r="C990" s="7">
        <f>DATE(2024,9,26)+TIME(7,57,57)</f>
        <v>45561.331909722219</v>
      </c>
      <c r="D990" s="8" t="s">
        <v>2002</v>
      </c>
      <c r="F990" t="e">
        <f>VLOOKUP(Table1[[#This Row],[Company Name]],Sheet1!B:B,1,FALSE)</f>
        <v>#N/A</v>
      </c>
    </row>
    <row r="991" spans="1:6" ht="17">
      <c r="A991" s="6" t="s">
        <v>1769</v>
      </c>
      <c r="B991" s="6" t="s">
        <v>264</v>
      </c>
      <c r="C991" s="7">
        <f>DATE(2024,9,24)+TIME(8,27,47)</f>
        <v>45559.352627314816</v>
      </c>
      <c r="D991" s="8" t="s">
        <v>2002</v>
      </c>
      <c r="F991" t="e">
        <f>VLOOKUP(Table1[[#This Row],[Company Name]],Sheet1!B:B,1,FALSE)</f>
        <v>#N/A</v>
      </c>
    </row>
    <row r="992" spans="1:6" ht="17">
      <c r="A992" s="6" t="s">
        <v>1769</v>
      </c>
      <c r="B992" s="6" t="s">
        <v>2337</v>
      </c>
      <c r="C992" s="7">
        <f>DATE(2024,9,25)+TIME(3,38,30)</f>
        <v>45560.151736111111</v>
      </c>
      <c r="D992" s="8" t="s">
        <v>2002</v>
      </c>
      <c r="F992" t="e">
        <f>VLOOKUP(Table1[[#This Row],[Company Name]],Sheet1!B:B,1,FALSE)</f>
        <v>#N/A</v>
      </c>
    </row>
    <row r="993" spans="1:6" ht="17">
      <c r="A993" s="6" t="s">
        <v>1773</v>
      </c>
      <c r="B993" s="6" t="s">
        <v>1081</v>
      </c>
      <c r="C993" s="7">
        <f>DATE(2024,9,24)+TIME(1,30,23)</f>
        <v>45559.0627662037</v>
      </c>
      <c r="D993" s="8" t="s">
        <v>2002</v>
      </c>
      <c r="F993" t="e">
        <f>VLOOKUP(Table1[[#This Row],[Company Name]],Sheet1!B:B,1,FALSE)</f>
        <v>#N/A</v>
      </c>
    </row>
    <row r="994" spans="1:6" ht="17">
      <c r="A994" s="3" t="s">
        <v>1775</v>
      </c>
      <c r="B994" s="3" t="s">
        <v>1076</v>
      </c>
      <c r="C994" s="4">
        <f>DATE(2024,8,27)+TIME(7,23,7)</f>
        <v>45531.307719907411</v>
      </c>
      <c r="F994" t="e">
        <f>VLOOKUP(Table1[[#This Row],[Company Name]],Sheet1!B:B,1,FALSE)</f>
        <v>#N/A</v>
      </c>
    </row>
    <row r="995" spans="1:6" ht="17">
      <c r="A995" s="3" t="s">
        <v>1776</v>
      </c>
      <c r="B995" s="3" t="s">
        <v>1393</v>
      </c>
      <c r="C995" s="4">
        <f>DATE(2024,8,9)+TIME(8,33,30)</f>
        <v>45513.35659722222</v>
      </c>
      <c r="F995" t="e">
        <f>VLOOKUP(Table1[[#This Row],[Company Name]],Sheet1!B:B,1,FALSE)</f>
        <v>#N/A</v>
      </c>
    </row>
    <row r="996" spans="1:6" ht="17">
      <c r="A996" s="1" t="s">
        <v>1777</v>
      </c>
      <c r="B996" s="1" t="s">
        <v>1778</v>
      </c>
      <c r="C996" s="2">
        <f>DATE(2024,9,18)+TIME(15,27,14)</f>
        <v>45553.643912037034</v>
      </c>
      <c r="E996" t="s">
        <v>1779</v>
      </c>
      <c r="F996" t="s">
        <v>61</v>
      </c>
    </row>
    <row r="997" spans="1:6" ht="17">
      <c r="A997" s="3" t="s">
        <v>1777</v>
      </c>
      <c r="B997" s="3" t="s">
        <v>2338</v>
      </c>
      <c r="C997" s="4">
        <f>DATE(2024,9,18)+TIME(9,12,31)</f>
        <v>45553.383692129632</v>
      </c>
      <c r="E997" t="s">
        <v>1779</v>
      </c>
      <c r="F997" t="s">
        <v>61</v>
      </c>
    </row>
    <row r="998" spans="1:6" ht="17">
      <c r="A998" s="1" t="s">
        <v>1777</v>
      </c>
      <c r="B998" s="1" t="s">
        <v>2098</v>
      </c>
      <c r="C998" s="2">
        <f>DATE(2024,9,9)+TIME(12,23,30)</f>
        <v>45544.516319444447</v>
      </c>
      <c r="E998" t="s">
        <v>1779</v>
      </c>
      <c r="F998" t="s">
        <v>61</v>
      </c>
    </row>
    <row r="999" spans="1:6" ht="17">
      <c r="A999" s="1" t="s">
        <v>1777</v>
      </c>
      <c r="B999" s="1" t="s">
        <v>660</v>
      </c>
      <c r="C999" s="2">
        <f>DATE(2024,8,30)+TIME(14,38,27)</f>
        <v>45534.610034722224</v>
      </c>
      <c r="E999" t="s">
        <v>1779</v>
      </c>
      <c r="F999" t="s">
        <v>61</v>
      </c>
    </row>
    <row r="1000" spans="1:6" ht="17">
      <c r="A1000" s="1" t="s">
        <v>1777</v>
      </c>
      <c r="B1000" s="1" t="s">
        <v>113</v>
      </c>
      <c r="C1000" s="2">
        <f>DATE(2024,8,27)+TIME(9,39,34)</f>
        <v>45531.40247685185</v>
      </c>
      <c r="E1000" t="s">
        <v>1779</v>
      </c>
      <c r="F1000" t="s">
        <v>61</v>
      </c>
    </row>
    <row r="1001" spans="1:6" ht="17">
      <c r="A1001" s="1" t="s">
        <v>1777</v>
      </c>
      <c r="B1001" s="1" t="s">
        <v>52</v>
      </c>
      <c r="C1001" s="2">
        <f>DATE(2024,8,30)+TIME(13,46,41)</f>
        <v>45534.57408564815</v>
      </c>
      <c r="E1001" t="s">
        <v>1779</v>
      </c>
      <c r="F1001" t="s">
        <v>61</v>
      </c>
    </row>
    <row r="1002" spans="1:6" ht="17">
      <c r="A1002" s="1" t="s">
        <v>1782</v>
      </c>
      <c r="B1002" s="1" t="s">
        <v>85</v>
      </c>
      <c r="C1002" s="2">
        <f>DATE(2024,8,21)+TIME(12,4,17)</f>
        <v>45525.502974537034</v>
      </c>
      <c r="F1002" t="e">
        <f>VLOOKUP(Table1[[#This Row],[Company Name]],Sheet1!B:B,1,FALSE)</f>
        <v>#N/A</v>
      </c>
    </row>
    <row r="1003" spans="1:6" ht="17">
      <c r="A1003" s="3" t="s">
        <v>1783</v>
      </c>
      <c r="B1003" s="3" t="s">
        <v>1784</v>
      </c>
      <c r="C1003" s="4">
        <f>DATE(2024,9,20)+TIME(15,46,28)</f>
        <v>45555.657268518517</v>
      </c>
      <c r="F1003" t="e">
        <f>VLOOKUP(Table1[[#This Row],[Company Name]],Sheet1!B:B,1,FALSE)</f>
        <v>#N/A</v>
      </c>
    </row>
    <row r="1004" spans="1:6" ht="17">
      <c r="A1004" s="1" t="s">
        <v>1785</v>
      </c>
      <c r="B1004" s="1" t="s">
        <v>1786</v>
      </c>
      <c r="C1004" s="2">
        <f>DATE(2024,7,26)+TIME(10,10,44)</f>
        <v>45499.424120370371</v>
      </c>
      <c r="F1004" t="e">
        <f>VLOOKUP(Table1[[#This Row],[Company Name]],Sheet1!B:B,1,FALSE)</f>
        <v>#N/A</v>
      </c>
    </row>
    <row r="1005" spans="1:6" ht="17">
      <c r="A1005" s="3" t="s">
        <v>1785</v>
      </c>
      <c r="B1005" s="3" t="s">
        <v>1031</v>
      </c>
      <c r="C1005" s="4">
        <f>DATE(2024,8,6)+TIME(11,37,23)</f>
        <v>45510.484293981484</v>
      </c>
      <c r="F1005" t="e">
        <f>VLOOKUP(Table1[[#This Row],[Company Name]],Sheet1!B:B,1,FALSE)</f>
        <v>#N/A</v>
      </c>
    </row>
    <row r="1006" spans="1:6" ht="17">
      <c r="A1006" s="3" t="s">
        <v>1787</v>
      </c>
      <c r="B1006" s="3" t="s">
        <v>1788</v>
      </c>
      <c r="C1006" s="4">
        <f>DATE(2024,9,17)+TIME(14,53,11)</f>
        <v>45552.620266203703</v>
      </c>
      <c r="F1006" t="e">
        <f>VLOOKUP(Table1[[#This Row],[Company Name]],Sheet1!B:B,1,FALSE)</f>
        <v>#N/A</v>
      </c>
    </row>
    <row r="1007" spans="1:6" ht="17">
      <c r="A1007" s="1" t="s">
        <v>1787</v>
      </c>
      <c r="B1007" s="1" t="s">
        <v>344</v>
      </c>
      <c r="C1007" s="2">
        <f>DATE(2024,7,31)+TIME(11,51,16)</f>
        <v>45504.493935185186</v>
      </c>
      <c r="F1007" t="e">
        <f>VLOOKUP(Table1[[#This Row],[Company Name]],Sheet1!B:B,1,FALSE)</f>
        <v>#N/A</v>
      </c>
    </row>
    <row r="1008" spans="1:6" ht="17">
      <c r="A1008" s="1" t="s">
        <v>794</v>
      </c>
      <c r="B1008" s="1" t="s">
        <v>132</v>
      </c>
      <c r="C1008" s="2">
        <f>DATE(2024,6,4)+TIME(14,40,2)</f>
        <v>45447.611134259256</v>
      </c>
      <c r="F1008" t="e">
        <f>VLOOKUP(Table1[[#This Row],[Company Name]],Sheet1!B:B,1,FALSE)</f>
        <v>#N/A</v>
      </c>
    </row>
    <row r="1009" spans="1:6" ht="17">
      <c r="A1009" s="1" t="s">
        <v>1789</v>
      </c>
      <c r="B1009" s="1" t="s">
        <v>1790</v>
      </c>
      <c r="C1009" s="2">
        <f>DATE(2024,9,5)+TIME(14,28,28)</f>
        <v>45540.603101851855</v>
      </c>
      <c r="F1009" t="e">
        <f>VLOOKUP(Table1[[#This Row],[Company Name]],Sheet1!B:B,1,FALSE)</f>
        <v>#N/A</v>
      </c>
    </row>
    <row r="1010" spans="1:6" ht="17">
      <c r="A1010" s="6" t="s">
        <v>1791</v>
      </c>
      <c r="B1010" s="6" t="s">
        <v>296</v>
      </c>
      <c r="C1010" s="7">
        <f>DATE(2024,9,17)+TIME(20,30,9)</f>
        <v>45552.854270833333</v>
      </c>
      <c r="D1010" s="8" t="s">
        <v>2002</v>
      </c>
      <c r="F1010" t="e">
        <f>VLOOKUP(Table1[[#This Row],[Company Name]],Sheet1!B:B,1,FALSE)</f>
        <v>#N/A</v>
      </c>
    </row>
    <row r="1011" spans="1:6" ht="17">
      <c r="A1011" s="6" t="s">
        <v>799</v>
      </c>
      <c r="B1011" s="6" t="s">
        <v>800</v>
      </c>
      <c r="C1011" s="7">
        <f>DATE(2024,9,11)+TIME(8,21,52)</f>
        <v>45546.34851851852</v>
      </c>
      <c r="D1011" s="8" t="s">
        <v>2002</v>
      </c>
      <c r="F1011" t="e">
        <f>VLOOKUP(Table1[[#This Row],[Company Name]],Sheet1!B:B,1,FALSE)</f>
        <v>#N/A</v>
      </c>
    </row>
    <row r="1012" spans="1:6" ht="17">
      <c r="A1012" s="6" t="s">
        <v>799</v>
      </c>
      <c r="B1012" s="6" t="s">
        <v>2339</v>
      </c>
      <c r="C1012" s="7">
        <f>DATE(2024,9,11)+TIME(8,21,51)</f>
        <v>45546.348506944443</v>
      </c>
      <c r="D1012" s="8" t="s">
        <v>2002</v>
      </c>
      <c r="F1012" t="e">
        <f>VLOOKUP(Table1[[#This Row],[Company Name]],Sheet1!B:B,1,FALSE)</f>
        <v>#N/A</v>
      </c>
    </row>
    <row r="1013" spans="1:6" ht="17">
      <c r="A1013" s="6" t="s">
        <v>799</v>
      </c>
      <c r="B1013" s="6" t="s">
        <v>2340</v>
      </c>
      <c r="C1013" s="7">
        <f>DATE(2024,9,11)+TIME(8,21,53)</f>
        <v>45546.348530092589</v>
      </c>
      <c r="D1013" s="8" t="s">
        <v>2002</v>
      </c>
      <c r="F1013" t="e">
        <f>VLOOKUP(Table1[[#This Row],[Company Name]],Sheet1!B:B,1,FALSE)</f>
        <v>#N/A</v>
      </c>
    </row>
    <row r="1014" spans="1:6" ht="17">
      <c r="A1014" s="6" t="s">
        <v>799</v>
      </c>
      <c r="B1014" s="6" t="s">
        <v>2341</v>
      </c>
      <c r="C1014" s="7">
        <f>DATE(2024,9,11)+TIME(8,21,53)</f>
        <v>45546.348530092589</v>
      </c>
      <c r="D1014" s="8" t="s">
        <v>2002</v>
      </c>
      <c r="F1014" t="e">
        <f>VLOOKUP(Table1[[#This Row],[Company Name]],Sheet1!B:B,1,FALSE)</f>
        <v>#N/A</v>
      </c>
    </row>
    <row r="1015" spans="1:6" ht="17">
      <c r="A1015" s="6" t="s">
        <v>799</v>
      </c>
      <c r="B1015" s="6" t="s">
        <v>2342</v>
      </c>
      <c r="C1015" s="7">
        <f>DATE(2024,9,11)+TIME(8,21,52)</f>
        <v>45546.34851851852</v>
      </c>
      <c r="D1015" s="8" t="s">
        <v>2002</v>
      </c>
      <c r="F1015" t="e">
        <f>VLOOKUP(Table1[[#This Row],[Company Name]],Sheet1!B:B,1,FALSE)</f>
        <v>#N/A</v>
      </c>
    </row>
    <row r="1016" spans="1:6" ht="17">
      <c r="A1016" s="6" t="s">
        <v>799</v>
      </c>
      <c r="B1016" s="6" t="s">
        <v>296</v>
      </c>
      <c r="C1016" s="7">
        <f>DATE(2024,9,11)+TIME(8,21,52)</f>
        <v>45546.34851851852</v>
      </c>
      <c r="D1016" s="8" t="s">
        <v>2002</v>
      </c>
      <c r="F1016" t="e">
        <f>VLOOKUP(Table1[[#This Row],[Company Name]],Sheet1!B:B,1,FALSE)</f>
        <v>#N/A</v>
      </c>
    </row>
    <row r="1017" spans="1:6" ht="17">
      <c r="A1017" s="6" t="s">
        <v>799</v>
      </c>
      <c r="B1017" s="6" t="s">
        <v>296</v>
      </c>
      <c r="C1017" s="7">
        <f>DATE(2024,9,11)+TIME(8,21,51)</f>
        <v>45546.348506944443</v>
      </c>
      <c r="D1017" s="8" t="s">
        <v>2002</v>
      </c>
      <c r="F1017" t="e">
        <f>VLOOKUP(Table1[[#This Row],[Company Name]],Sheet1!B:B,1,FALSE)</f>
        <v>#N/A</v>
      </c>
    </row>
    <row r="1018" spans="1:6" ht="17">
      <c r="A1018" s="3" t="s">
        <v>805</v>
      </c>
      <c r="B1018" s="3" t="s">
        <v>1794</v>
      </c>
      <c r="C1018" s="4">
        <f>DATE(2024,6,26)+TIME(12,19,44)</f>
        <v>45469.513703703706</v>
      </c>
      <c r="E1018" t="s">
        <v>1779</v>
      </c>
      <c r="F1018" t="s">
        <v>61</v>
      </c>
    </row>
    <row r="1019" spans="1:6" ht="17">
      <c r="A1019" s="1" t="s">
        <v>805</v>
      </c>
      <c r="B1019" s="1" t="s">
        <v>806</v>
      </c>
      <c r="C1019" s="2">
        <f>DATE(2024,6,26)+TIME(11,1,23)</f>
        <v>45469.459293981483</v>
      </c>
      <c r="E1019" t="s">
        <v>1040</v>
      </c>
      <c r="F1019" t="s">
        <v>61</v>
      </c>
    </row>
    <row r="1020" spans="1:6" ht="34">
      <c r="A1020" s="3" t="s">
        <v>805</v>
      </c>
      <c r="B1020" s="3" t="s">
        <v>2343</v>
      </c>
      <c r="C1020" s="4">
        <f>DATE(2024,9,11)+TIME(14,10,47)</f>
        <v>45546.590821759259</v>
      </c>
      <c r="E1020" t="s">
        <v>1040</v>
      </c>
      <c r="F1020" t="s">
        <v>61</v>
      </c>
    </row>
    <row r="1021" spans="1:6" ht="34">
      <c r="A1021" s="1" t="s">
        <v>805</v>
      </c>
      <c r="B1021" s="1" t="s">
        <v>2344</v>
      </c>
      <c r="C1021" s="2">
        <f>DATE(2024,9,14)+TIME(9,16,22)</f>
        <v>45549.386365740742</v>
      </c>
      <c r="E1021" t="s">
        <v>1040</v>
      </c>
      <c r="F1021" t="s">
        <v>61</v>
      </c>
    </row>
    <row r="1022" spans="1:6" ht="17">
      <c r="A1022" s="1" t="s">
        <v>1798</v>
      </c>
      <c r="B1022" s="1" t="s">
        <v>1799</v>
      </c>
      <c r="C1022" s="2">
        <f>DATE(2024,9,17)+TIME(8,27,54)</f>
        <v>45552.352708333332</v>
      </c>
      <c r="F1022" t="e">
        <f>VLOOKUP(Table1[[#This Row],[Company Name]],Sheet1!B:B,1,FALSE)</f>
        <v>#N/A</v>
      </c>
    </row>
    <row r="1023" spans="1:6" ht="17">
      <c r="A1023" s="3" t="s">
        <v>1800</v>
      </c>
      <c r="B1023" s="3" t="s">
        <v>1801</v>
      </c>
      <c r="C1023" s="4">
        <f>DATE(2024,7,27)+TIME(10,17,54)</f>
        <v>45500.429097222222</v>
      </c>
      <c r="F1023" t="e">
        <f>VLOOKUP(Table1[[#This Row],[Company Name]],Sheet1!B:B,1,FALSE)</f>
        <v>#N/A</v>
      </c>
    </row>
    <row r="1024" spans="1:6" ht="17">
      <c r="A1024" s="3" t="s">
        <v>1800</v>
      </c>
      <c r="B1024" s="3" t="s">
        <v>2081</v>
      </c>
      <c r="C1024" s="4">
        <f>DATE(2024,7,27)+TIME(10,17,54)</f>
        <v>45500.429097222222</v>
      </c>
      <c r="F1024" t="e">
        <f>VLOOKUP(Table1[[#This Row],[Company Name]],Sheet1!B:B,1,FALSE)</f>
        <v>#N/A</v>
      </c>
    </row>
    <row r="1025" spans="1:6" ht="17">
      <c r="A1025" s="6" t="s">
        <v>1802</v>
      </c>
      <c r="B1025" s="6" t="s">
        <v>819</v>
      </c>
      <c r="C1025" s="7">
        <f>DATE(2024,7,31)+TIME(12,8,53)</f>
        <v>45504.506168981483</v>
      </c>
      <c r="D1025" s="8" t="s">
        <v>2002</v>
      </c>
      <c r="E1025" s="15" t="s">
        <v>1884</v>
      </c>
      <c r="F1025" t="s">
        <v>61</v>
      </c>
    </row>
    <row r="1026" spans="1:6" ht="17">
      <c r="A1026" s="6" t="s">
        <v>811</v>
      </c>
      <c r="B1026" s="6" t="s">
        <v>2345</v>
      </c>
      <c r="C1026" s="7">
        <f>DATE(2024,8,2)+TIME(10,33,12)</f>
        <v>45506.439722222225</v>
      </c>
      <c r="D1026" s="8" t="s">
        <v>2002</v>
      </c>
      <c r="E1026" s="15" t="s">
        <v>1884</v>
      </c>
      <c r="F1026" t="s">
        <v>61</v>
      </c>
    </row>
    <row r="1027" spans="1:6" ht="17">
      <c r="A1027" s="6" t="s">
        <v>811</v>
      </c>
      <c r="B1027" s="6" t="s">
        <v>2346</v>
      </c>
      <c r="C1027" s="7">
        <f>DATE(2024,7,31)+TIME(12,30,19)</f>
        <v>45504.521053240744</v>
      </c>
      <c r="D1027" s="8" t="s">
        <v>2002</v>
      </c>
      <c r="E1027" s="15" t="s">
        <v>1884</v>
      </c>
      <c r="F1027" t="s">
        <v>61</v>
      </c>
    </row>
    <row r="1028" spans="1:6" ht="17">
      <c r="A1028" s="6" t="s">
        <v>811</v>
      </c>
      <c r="B1028" s="6" t="s">
        <v>2347</v>
      </c>
      <c r="C1028" s="7">
        <f>DATE(2024,7,31)+TIME(12,35,2)</f>
        <v>45504.524328703701</v>
      </c>
      <c r="D1028" s="8" t="s">
        <v>2002</v>
      </c>
      <c r="E1028" s="15" t="s">
        <v>1884</v>
      </c>
      <c r="F1028" t="s">
        <v>61</v>
      </c>
    </row>
    <row r="1029" spans="1:6" ht="17">
      <c r="A1029" s="6" t="s">
        <v>811</v>
      </c>
      <c r="B1029" s="6" t="s">
        <v>812</v>
      </c>
      <c r="C1029" s="7">
        <f>DATE(2024,7,31)+TIME(12,22,16)</f>
        <v>45504.515462962961</v>
      </c>
      <c r="D1029" s="8" t="s">
        <v>2002</v>
      </c>
      <c r="E1029" s="15" t="s">
        <v>1884</v>
      </c>
      <c r="F1029" t="s">
        <v>61</v>
      </c>
    </row>
    <row r="1030" spans="1:6" ht="17">
      <c r="A1030" s="3" t="s">
        <v>1805</v>
      </c>
      <c r="B1030" s="3" t="s">
        <v>1806</v>
      </c>
      <c r="C1030" s="4">
        <f>DATE(2024,8,27)+TIME(14,54,56)</f>
        <v>45531.621481481481</v>
      </c>
      <c r="F1030" t="e">
        <f>VLOOKUP(Table1[[#This Row],[Company Name]],Sheet1!B:B,1,FALSE)</f>
        <v>#N/A</v>
      </c>
    </row>
    <row r="1031" spans="1:6" ht="17">
      <c r="A1031" s="3" t="s">
        <v>1805</v>
      </c>
      <c r="B1031" s="3" t="s">
        <v>2348</v>
      </c>
      <c r="C1031" s="4">
        <f>DATE(2024,8,26)+TIME(17,18,53)</f>
        <v>45530.721446759257</v>
      </c>
      <c r="F1031" t="e">
        <f>VLOOKUP(Table1[[#This Row],[Company Name]],Sheet1!B:B,1,FALSE)</f>
        <v>#N/A</v>
      </c>
    </row>
    <row r="1032" spans="1:6" ht="17">
      <c r="A1032" s="1" t="s">
        <v>1807</v>
      </c>
      <c r="B1032" s="1" t="s">
        <v>1808</v>
      </c>
      <c r="C1032" s="2">
        <f>DATE(2024,6,4)+TIME(11,12,9)</f>
        <v>45447.466770833336</v>
      </c>
      <c r="F1032" t="e">
        <f>VLOOKUP(Table1[[#This Row],[Company Name]],Sheet1!B:B,1,FALSE)</f>
        <v>#N/A</v>
      </c>
    </row>
    <row r="1033" spans="1:6" ht="17">
      <c r="A1033" s="3" t="s">
        <v>1807</v>
      </c>
      <c r="B1033" s="3" t="s">
        <v>2349</v>
      </c>
      <c r="C1033" s="4">
        <f>DATE(2024,8,29)+TIME(12,7,56)</f>
        <v>45533.505509259259</v>
      </c>
      <c r="F1033" t="e">
        <f>VLOOKUP(Table1[[#This Row],[Company Name]],Sheet1!B:B,1,FALSE)</f>
        <v>#N/A</v>
      </c>
    </row>
    <row r="1034" spans="1:6" ht="17">
      <c r="A1034" s="1" t="s">
        <v>1809</v>
      </c>
      <c r="B1034" s="1" t="s">
        <v>1810</v>
      </c>
      <c r="C1034" s="2">
        <f>DATE(2024,8,29)+TIME(9,59,47)</f>
        <v>45533.416516203702</v>
      </c>
      <c r="F1034" t="e">
        <f>VLOOKUP(Table1[[#This Row],[Company Name]],Sheet1!B:B,1,FALSE)</f>
        <v>#N/A</v>
      </c>
    </row>
    <row r="1035" spans="1:6" ht="17">
      <c r="A1035" s="1" t="s">
        <v>1811</v>
      </c>
      <c r="B1035" s="1" t="s">
        <v>1812</v>
      </c>
      <c r="C1035" s="2">
        <f>DATE(2024,9,17)+TIME(10,40,43)</f>
        <v>45552.44494212963</v>
      </c>
      <c r="F1035" t="e">
        <f>VLOOKUP(Table1[[#This Row],[Company Name]],Sheet1!B:B,1,FALSE)</f>
        <v>#N/A</v>
      </c>
    </row>
    <row r="1036" spans="1:6" ht="17">
      <c r="A1036" s="3" t="s">
        <v>1811</v>
      </c>
      <c r="B1036" s="3" t="s">
        <v>2350</v>
      </c>
      <c r="C1036" s="4">
        <f>DATE(2024,9,13)+TIME(10,29,7)</f>
        <v>45548.436886574076</v>
      </c>
      <c r="F1036" t="e">
        <f>VLOOKUP(Table1[[#This Row],[Company Name]],Sheet1!B:B,1,FALSE)</f>
        <v>#N/A</v>
      </c>
    </row>
    <row r="1037" spans="1:6" ht="17">
      <c r="A1037" s="1" t="s">
        <v>1811</v>
      </c>
      <c r="B1037" s="1" t="s">
        <v>2351</v>
      </c>
      <c r="C1037" s="2">
        <f>DATE(2024,9,17)+TIME(7,39,52)</f>
        <v>45552.319351851853</v>
      </c>
      <c r="F1037" t="e">
        <f>VLOOKUP(Table1[[#This Row],[Company Name]],Sheet1!B:B,1,FALSE)</f>
        <v>#N/A</v>
      </c>
    </row>
    <row r="1038" spans="1:6" ht="17">
      <c r="A1038" s="3" t="s">
        <v>1811</v>
      </c>
      <c r="B1038" s="3" t="s">
        <v>2350</v>
      </c>
      <c r="C1038" s="4">
        <f>DATE(2024,9,13)+TIME(10,25,15)</f>
        <v>45548.434201388889</v>
      </c>
      <c r="F1038" t="e">
        <f>VLOOKUP(Table1[[#This Row],[Company Name]],Sheet1!B:B,1,FALSE)</f>
        <v>#N/A</v>
      </c>
    </row>
    <row r="1039" spans="1:6" ht="17">
      <c r="A1039" s="3" t="s">
        <v>1811</v>
      </c>
      <c r="B1039" s="3" t="s">
        <v>1925</v>
      </c>
      <c r="C1039" s="4">
        <f>DATE(2024,9,13)+TIME(10,36,58)</f>
        <v>45548.442337962966</v>
      </c>
      <c r="F1039" t="e">
        <f>VLOOKUP(Table1[[#This Row],[Company Name]],Sheet1!B:B,1,FALSE)</f>
        <v>#N/A</v>
      </c>
    </row>
    <row r="1040" spans="1:6" ht="17">
      <c r="A1040" s="1" t="s">
        <v>1811</v>
      </c>
      <c r="B1040" s="1" t="s">
        <v>2352</v>
      </c>
      <c r="C1040" s="2">
        <f>DATE(2024,9,13)+TIME(10,32,44)</f>
        <v>45548.439398148148</v>
      </c>
      <c r="F1040" t="e">
        <f>VLOOKUP(Table1[[#This Row],[Company Name]],Sheet1!B:B,1,FALSE)</f>
        <v>#N/A</v>
      </c>
    </row>
    <row r="1041" spans="1:6" ht="17">
      <c r="A1041" s="6" t="s">
        <v>1813</v>
      </c>
      <c r="B1041" s="6" t="s">
        <v>1814</v>
      </c>
      <c r="C1041" s="7">
        <f>DATE(2024,9,4)+TIME(7,50,16)</f>
        <v>45539.326574074075</v>
      </c>
      <c r="D1041" s="8" t="s">
        <v>2002</v>
      </c>
      <c r="F1041" t="e">
        <f>VLOOKUP(Table1[[#This Row],[Company Name]],Sheet1!B:B,1,FALSE)</f>
        <v>#N/A</v>
      </c>
    </row>
    <row r="1042" spans="1:6" ht="17">
      <c r="A1042" s="3" t="s">
        <v>1817</v>
      </c>
      <c r="B1042" s="3" t="s">
        <v>1818</v>
      </c>
      <c r="C1042" s="4">
        <f>DATE(2024,9,26)+TIME(7,56,12)</f>
        <v>45561.330694444441</v>
      </c>
      <c r="F1042" t="e">
        <f>VLOOKUP(Table1[[#This Row],[Company Name]],Sheet1!B:B,1,FALSE)</f>
        <v>#N/A</v>
      </c>
    </row>
    <row r="1043" spans="1:6" ht="17">
      <c r="A1043" s="1" t="s">
        <v>824</v>
      </c>
      <c r="B1043" s="1" t="s">
        <v>1819</v>
      </c>
      <c r="C1043" s="2">
        <f>DATE(2024,6,25)+TIME(11,39,54)</f>
        <v>45468.486041666663</v>
      </c>
      <c r="F1043" t="e">
        <f>VLOOKUP(Table1[[#This Row],[Company Name]],Sheet1!B:B,1,FALSE)</f>
        <v>#N/A</v>
      </c>
    </row>
    <row r="1044" spans="1:6" ht="17">
      <c r="A1044" s="1" t="s">
        <v>1820</v>
      </c>
      <c r="B1044" s="1" t="s">
        <v>1821</v>
      </c>
      <c r="C1044" s="2">
        <f>DATE(2024,7,12)+TIME(14,14,30)</f>
        <v>45485.593402777777</v>
      </c>
      <c r="F1044" t="e">
        <f>VLOOKUP(Table1[[#This Row],[Company Name]],Sheet1!B:B,1,FALSE)</f>
        <v>#N/A</v>
      </c>
    </row>
    <row r="1045" spans="1:6" ht="17">
      <c r="A1045" s="1" t="s">
        <v>2353</v>
      </c>
      <c r="B1045" s="1" t="s">
        <v>1823</v>
      </c>
      <c r="C1045" s="2">
        <f>DATE(2024,8,6)+TIME(7,43,56)</f>
        <v>45510.322175925925</v>
      </c>
      <c r="F1045" t="e">
        <f>VLOOKUP(Table1[[#This Row],[Company Name]],Sheet1!B:B,1,FALSE)</f>
        <v>#N/A</v>
      </c>
    </row>
    <row r="1046" spans="1:6" ht="17">
      <c r="A1046" s="3" t="s">
        <v>1820</v>
      </c>
      <c r="B1046" s="3" t="s">
        <v>2354</v>
      </c>
      <c r="C1046" s="4">
        <f>DATE(2024,7,24)+TIME(7,28,40)</f>
        <v>45497.311574074076</v>
      </c>
      <c r="F1046" t="e">
        <f>VLOOKUP(Table1[[#This Row],[Company Name]],Sheet1!B:B,1,FALSE)</f>
        <v>#N/A</v>
      </c>
    </row>
    <row r="1047" spans="1:6" ht="17">
      <c r="A1047" s="3" t="s">
        <v>2353</v>
      </c>
      <c r="B1047" s="3" t="s">
        <v>296</v>
      </c>
      <c r="C1047" s="4">
        <f>DATE(2024,7,8)+TIME(8,54,0)</f>
        <v>45481.370833333334</v>
      </c>
      <c r="F1047" t="e">
        <f>VLOOKUP(Table1[[#This Row],[Company Name]],Sheet1!B:B,1,FALSE)</f>
        <v>#N/A</v>
      </c>
    </row>
    <row r="1048" spans="1:6" ht="17">
      <c r="A1048" s="3" t="s">
        <v>1822</v>
      </c>
      <c r="B1048" s="3" t="s">
        <v>1823</v>
      </c>
      <c r="C1048" s="4">
        <f>DATE(2024,6,30)+TIME(10,38,32)</f>
        <v>45473.443425925929</v>
      </c>
      <c r="F1048" t="e">
        <f>VLOOKUP(Table1[[#This Row],[Company Name]],Sheet1!B:B,1,FALSE)</f>
        <v>#N/A</v>
      </c>
    </row>
    <row r="1049" spans="1:6" ht="34">
      <c r="A1049" s="1" t="s">
        <v>1824</v>
      </c>
      <c r="B1049" s="1" t="s">
        <v>1825</v>
      </c>
      <c r="C1049" s="2">
        <f>DATE(2024,8,27)+TIME(9,16,9)</f>
        <v>45531.38621527778</v>
      </c>
      <c r="E1049" t="s">
        <v>1826</v>
      </c>
      <c r="F1049" t="s">
        <v>61</v>
      </c>
    </row>
    <row r="1050" spans="1:6" ht="17">
      <c r="A1050" s="1" t="s">
        <v>1824</v>
      </c>
      <c r="B1050" s="1" t="s">
        <v>2355</v>
      </c>
      <c r="C1050" s="2">
        <f>DATE(2024,9,4)+TIME(13,26,12)</f>
        <v>45539.559861111113</v>
      </c>
      <c r="E1050" t="s">
        <v>1826</v>
      </c>
      <c r="F1050" t="s">
        <v>61</v>
      </c>
    </row>
    <row r="1051" spans="1:6" ht="17">
      <c r="A1051" s="3" t="s">
        <v>1827</v>
      </c>
      <c r="B1051" s="3" t="s">
        <v>1828</v>
      </c>
      <c r="C1051" s="4">
        <f>DATE(2024,9,24)+TIME(10,52,20)</f>
        <v>45559.453009259261</v>
      </c>
      <c r="F1051" t="e">
        <f>VLOOKUP(Table1[[#This Row],[Company Name]],Sheet1!B:B,1,FALSE)</f>
        <v>#N/A</v>
      </c>
    </row>
    <row r="1052" spans="1:6" ht="17">
      <c r="A1052" s="1" t="s">
        <v>1829</v>
      </c>
      <c r="B1052" s="1" t="s">
        <v>1830</v>
      </c>
      <c r="C1052" s="2">
        <f>DATE(2024,6,24)+TIME(8,1,26)</f>
        <v>45467.334328703706</v>
      </c>
      <c r="F1052" t="e">
        <f>VLOOKUP(Table1[[#This Row],[Company Name]],Sheet1!B:B,1,FALSE)</f>
        <v>#N/A</v>
      </c>
    </row>
    <row r="1053" spans="1:6" ht="17">
      <c r="A1053" s="3" t="s">
        <v>1831</v>
      </c>
      <c r="B1053" s="3" t="s">
        <v>296</v>
      </c>
      <c r="C1053" s="4">
        <f>DATE(2024,8,23)+TIME(7,30,20)</f>
        <v>45527.312731481485</v>
      </c>
      <c r="F1053" t="e">
        <f>VLOOKUP(Table1[[#This Row],[Company Name]],Sheet1!B:B,1,FALSE)</f>
        <v>#N/A</v>
      </c>
    </row>
    <row r="1054" spans="1:6" ht="17">
      <c r="A1054" s="3" t="s">
        <v>1832</v>
      </c>
      <c r="B1054" s="3" t="s">
        <v>1833</v>
      </c>
      <c r="C1054" s="4">
        <f>DATE(2024,7,24)+TIME(14,1,46)</f>
        <v>45497.584560185183</v>
      </c>
      <c r="F1054" t="e">
        <f>VLOOKUP(Table1[[#This Row],[Company Name]],Sheet1!B:B,1,FALSE)</f>
        <v>#N/A</v>
      </c>
    </row>
    <row r="1055" spans="1:6" ht="17">
      <c r="A1055" s="1" t="s">
        <v>1834</v>
      </c>
      <c r="B1055" s="1" t="s">
        <v>52</v>
      </c>
      <c r="C1055" s="2">
        <f>DATE(2024,5,30)+TIME(15,9,22)</f>
        <v>45442.631504629629</v>
      </c>
      <c r="E1055" s="15" t="s">
        <v>1040</v>
      </c>
      <c r="F1055" t="s">
        <v>61</v>
      </c>
    </row>
    <row r="1056" spans="1:6" ht="34">
      <c r="A1056" s="6" t="s">
        <v>836</v>
      </c>
      <c r="B1056" s="6" t="s">
        <v>837</v>
      </c>
      <c r="C1056" s="7">
        <f>DATE(2024,8,28)+TIME(15,26,21)</f>
        <v>45532.64329861111</v>
      </c>
      <c r="D1056" s="8" t="s">
        <v>2002</v>
      </c>
      <c r="F1056" t="e">
        <f>VLOOKUP(Table1[[#This Row],[Company Name]],Sheet1!B:B,1,FALSE)</f>
        <v>#N/A</v>
      </c>
    </row>
    <row r="1057" spans="1:6" ht="17">
      <c r="A1057" s="6" t="s">
        <v>836</v>
      </c>
      <c r="B1057" s="6" t="s">
        <v>2356</v>
      </c>
      <c r="C1057" s="7">
        <f>DATE(2024,8,29)+TIME(9,51,2)</f>
        <v>45533.410439814812</v>
      </c>
      <c r="D1057" s="8" t="s">
        <v>2002</v>
      </c>
      <c r="F1057" t="e">
        <f>VLOOKUP(Table1[[#This Row],[Company Name]],Sheet1!B:B,1,FALSE)</f>
        <v>#N/A</v>
      </c>
    </row>
    <row r="1058" spans="1:6" ht="17">
      <c r="A1058" s="6" t="s">
        <v>836</v>
      </c>
      <c r="B1058" s="6" t="s">
        <v>85</v>
      </c>
      <c r="C1058" s="7">
        <f>DATE(2024,8,29)+TIME(9,51,3)</f>
        <v>45533.410451388889</v>
      </c>
      <c r="D1058" s="8" t="s">
        <v>2002</v>
      </c>
      <c r="F1058" t="e">
        <f>VLOOKUP(Table1[[#This Row],[Company Name]],Sheet1!B:B,1,FALSE)</f>
        <v>#N/A</v>
      </c>
    </row>
    <row r="1059" spans="1:6" ht="17">
      <c r="A1059" s="6" t="s">
        <v>836</v>
      </c>
      <c r="B1059" s="6" t="s">
        <v>2357</v>
      </c>
      <c r="C1059" s="7">
        <f>DATE(2024,8,28)+TIME(15,26,20)</f>
        <v>45532.643287037034</v>
      </c>
      <c r="D1059" s="8" t="s">
        <v>2002</v>
      </c>
      <c r="F1059" t="e">
        <f>VLOOKUP(Table1[[#This Row],[Company Name]],Sheet1!B:B,1,FALSE)</f>
        <v>#N/A</v>
      </c>
    </row>
    <row r="1060" spans="1:6" ht="17">
      <c r="A1060" s="6" t="s">
        <v>836</v>
      </c>
      <c r="B1060" s="6" t="s">
        <v>2358</v>
      </c>
      <c r="C1060" s="7">
        <f>DATE(2024,8,28)+TIME(15,26,21)</f>
        <v>45532.64329861111</v>
      </c>
      <c r="D1060" s="8" t="s">
        <v>2002</v>
      </c>
      <c r="F1060" t="e">
        <f>VLOOKUP(Table1[[#This Row],[Company Name]],Sheet1!B:B,1,FALSE)</f>
        <v>#N/A</v>
      </c>
    </row>
    <row r="1061" spans="1:6" ht="17">
      <c r="A1061" s="3" t="s">
        <v>1837</v>
      </c>
      <c r="B1061" s="3" t="s">
        <v>1838</v>
      </c>
      <c r="C1061" s="4">
        <f>DATE(2024,9,23)+TIME(8,11,18)</f>
        <v>45558.341180555559</v>
      </c>
      <c r="F1061" t="e">
        <f>VLOOKUP(Table1[[#This Row],[Company Name]],Sheet1!B:B,1,FALSE)</f>
        <v>#N/A</v>
      </c>
    </row>
    <row r="1062" spans="1:6" ht="17">
      <c r="A1062" s="3" t="s">
        <v>1839</v>
      </c>
      <c r="B1062" s="3" t="s">
        <v>1254</v>
      </c>
      <c r="C1062" s="4">
        <f>DATE(2024,9,26)+TIME(11,33,16)</f>
        <v>45561.481435185182</v>
      </c>
      <c r="F1062" t="e">
        <f>VLOOKUP(Table1[[#This Row],[Company Name]],Sheet1!B:B,1,FALSE)</f>
        <v>#N/A</v>
      </c>
    </row>
    <row r="1063" spans="1:6" ht="17">
      <c r="A1063" s="6" t="s">
        <v>1840</v>
      </c>
      <c r="B1063" s="6" t="s">
        <v>1841</v>
      </c>
      <c r="C1063" s="7">
        <f>DATE(2024,7,25)+TIME(19,46,20)</f>
        <v>45498.823842592596</v>
      </c>
      <c r="D1063" s="8" t="s">
        <v>2002</v>
      </c>
      <c r="F1063" t="e">
        <f>VLOOKUP(Table1[[#This Row],[Company Name]],Sheet1!B:B,1,FALSE)</f>
        <v>#N/A</v>
      </c>
    </row>
    <row r="1064" spans="1:6" ht="17">
      <c r="A1064" s="11" t="s">
        <v>1844</v>
      </c>
      <c r="B1064" s="11" t="s">
        <v>344</v>
      </c>
      <c r="C1064" s="12">
        <f>DATE(2024,8,8)+TIME(6,20,47)</f>
        <v>45512.264432870368</v>
      </c>
      <c r="D1064" s="13"/>
      <c r="E1064" t="s">
        <v>1846</v>
      </c>
      <c r="F1064" t="s">
        <v>61</v>
      </c>
    </row>
    <row r="1065" spans="1:6" ht="17">
      <c r="A1065" s="11" t="s">
        <v>1849</v>
      </c>
      <c r="B1065" s="11" t="s">
        <v>1850</v>
      </c>
      <c r="C1065" s="12">
        <f>DATE(2024,7,18)+TIME(8,41,4)</f>
        <v>45491.361851851849</v>
      </c>
      <c r="D1065" s="13"/>
      <c r="E1065" t="s">
        <v>1852</v>
      </c>
      <c r="F1065" t="e">
        <f>VLOOKUP(Table1[[#This Row],[Company Name]],Sheet1!B:B,1,FALSE)</f>
        <v>#N/A</v>
      </c>
    </row>
    <row r="1066" spans="1:6" ht="17">
      <c r="A1066" s="11" t="s">
        <v>1854</v>
      </c>
      <c r="B1066" s="11" t="s">
        <v>1855</v>
      </c>
      <c r="C1066" s="12">
        <f>DATE(2024,8,19)+TIME(13,49,40)</f>
        <v>45523.576157407406</v>
      </c>
      <c r="D1066" s="13"/>
      <c r="E1066" t="s">
        <v>1852</v>
      </c>
      <c r="F1066" t="e">
        <f>VLOOKUP(Table1[[#This Row],[Company Name]],Sheet1!B:B,1,FALSE)</f>
        <v>#N/A</v>
      </c>
    </row>
    <row r="1067" spans="1:6" ht="17">
      <c r="A1067" s="11" t="s">
        <v>1858</v>
      </c>
      <c r="B1067" s="11" t="s">
        <v>85</v>
      </c>
      <c r="C1067" s="12">
        <f>DATE(2024,8,8)+TIME(6,28,47)</f>
        <v>45512.269988425927</v>
      </c>
      <c r="D1067" s="13"/>
      <c r="E1067" t="s">
        <v>1852</v>
      </c>
      <c r="F1067" t="e">
        <f>VLOOKUP(Table1[[#This Row],[Company Name]],Sheet1!B:B,1,FALSE)</f>
        <v>#N/A</v>
      </c>
    </row>
    <row r="1068" spans="1:6" ht="17">
      <c r="A1068" s="3" t="s">
        <v>1861</v>
      </c>
      <c r="B1068" s="3" t="s">
        <v>1290</v>
      </c>
      <c r="C1068" s="4">
        <f>DATE(2024,9,13)+TIME(17,26,5)</f>
        <v>45548.726446759261</v>
      </c>
      <c r="F1068" t="e">
        <f>VLOOKUP(Table1[[#This Row],[Company Name]],Sheet1!B:B,1,FALSE)</f>
        <v>#N/A</v>
      </c>
    </row>
    <row r="1069" spans="1:6" ht="17">
      <c r="A1069" s="1" t="s">
        <v>844</v>
      </c>
      <c r="B1069" s="1" t="s">
        <v>567</v>
      </c>
      <c r="C1069" s="2">
        <f>DATE(2024,9,11)+TIME(14,25,48)</f>
        <v>45546.60125</v>
      </c>
      <c r="F1069" t="e">
        <f>VLOOKUP(Table1[[#This Row],[Company Name]],Sheet1!B:B,1,FALSE)</f>
        <v>#N/A</v>
      </c>
    </row>
    <row r="1070" spans="1:6" ht="17">
      <c r="A1070" s="1" t="s">
        <v>844</v>
      </c>
      <c r="B1070" s="1" t="s">
        <v>344</v>
      </c>
      <c r="C1070" s="2">
        <f>DATE(2024,9,11)+TIME(14,25,48)</f>
        <v>45546.60125</v>
      </c>
      <c r="F1070" t="e">
        <f>VLOOKUP(Table1[[#This Row],[Company Name]],Sheet1!B:B,1,FALSE)</f>
        <v>#N/A</v>
      </c>
    </row>
    <row r="1071" spans="1:6" ht="17">
      <c r="A1071" s="1" t="s">
        <v>844</v>
      </c>
      <c r="B1071" s="1" t="s">
        <v>216</v>
      </c>
      <c r="C1071" s="2">
        <f>DATE(2024,9,11)+TIME(14,25,47)</f>
        <v>45546.601238425923</v>
      </c>
      <c r="F1071" t="e">
        <f>VLOOKUP(Table1[[#This Row],[Company Name]],Sheet1!B:B,1,FALSE)</f>
        <v>#N/A</v>
      </c>
    </row>
    <row r="1072" spans="1:6" ht="17">
      <c r="A1072" s="1" t="s">
        <v>1862</v>
      </c>
      <c r="B1072" s="1" t="s">
        <v>1863</v>
      </c>
      <c r="C1072" s="2">
        <f>DATE(2024,7,3)+TIME(4,52,49)</f>
        <v>45476.203344907408</v>
      </c>
      <c r="F1072" t="e">
        <f>VLOOKUP(Table1[[#This Row],[Company Name]],Sheet1!B:B,1,FALSE)</f>
        <v>#N/A</v>
      </c>
    </row>
    <row r="1073" spans="1:6" ht="17">
      <c r="A1073" s="1" t="s">
        <v>861</v>
      </c>
      <c r="B1073" s="1" t="s">
        <v>862</v>
      </c>
      <c r="C1073" s="2">
        <f>DATE(2024,6,6)+TIME(12,55,15)</f>
        <v>45449.538368055553</v>
      </c>
      <c r="F1073" t="e">
        <f>VLOOKUP(Table1[[#This Row],[Company Name]],Sheet1!B:B,1,FALSE)</f>
        <v>#N/A</v>
      </c>
    </row>
    <row r="1074" spans="1:6" ht="17">
      <c r="A1074" s="1" t="s">
        <v>1864</v>
      </c>
      <c r="B1074" s="1" t="s">
        <v>1865</v>
      </c>
      <c r="C1074" s="2">
        <f>DATE(2024,9,13)+TIME(12,21,19)</f>
        <v>45548.514803240738</v>
      </c>
      <c r="F1074" t="e">
        <f>VLOOKUP(Table1[[#This Row],[Company Name]],Sheet1!B:B,1,FALSE)</f>
        <v>#N/A</v>
      </c>
    </row>
    <row r="1075" spans="1:6" ht="17">
      <c r="A1075" s="3" t="s">
        <v>1866</v>
      </c>
      <c r="B1075" s="3" t="s">
        <v>271</v>
      </c>
      <c r="C1075" s="4">
        <f>DATE(2024,9,18)+TIME(1,29,29)</f>
        <v>45553.062141203707</v>
      </c>
      <c r="F1075" t="e">
        <f>VLOOKUP(Table1[[#This Row],[Company Name]],Sheet1!B:B,1,FALSE)</f>
        <v>#N/A</v>
      </c>
    </row>
    <row r="1076" spans="1:6" ht="17">
      <c r="A1076" s="1" t="s">
        <v>1867</v>
      </c>
      <c r="B1076" s="1" t="s">
        <v>1868</v>
      </c>
      <c r="C1076" s="2">
        <f>DATE(2024,9,27)+TIME(6,30,30)</f>
        <v>45562.271180555559</v>
      </c>
      <c r="F1076" t="e">
        <f>VLOOKUP(Table1[[#This Row],[Company Name]],Sheet1!B:B,1,FALSE)</f>
        <v>#N/A</v>
      </c>
    </row>
    <row r="1077" spans="1:6" ht="17">
      <c r="A1077" s="1" t="s">
        <v>1869</v>
      </c>
      <c r="B1077" s="1" t="s">
        <v>1870</v>
      </c>
      <c r="C1077" s="2">
        <f>DATE(2024,9,10)+TIME(14,46,7)</f>
        <v>45545.615358796298</v>
      </c>
      <c r="F1077" t="e">
        <f>VLOOKUP(Table1[[#This Row],[Company Name]],Sheet1!B:B,1,FALSE)</f>
        <v>#N/A</v>
      </c>
    </row>
    <row r="1078" spans="1:6" ht="17">
      <c r="A1078" s="1" t="s">
        <v>1869</v>
      </c>
      <c r="B1078" s="1" t="s">
        <v>2359</v>
      </c>
      <c r="C1078" s="2">
        <f>DATE(2024,9,10)+TIME(14,46,7)</f>
        <v>45545.615358796298</v>
      </c>
      <c r="F1078" t="e">
        <f>VLOOKUP(Table1[[#This Row],[Company Name]],Sheet1!B:B,1,FALSE)</f>
        <v>#N/A</v>
      </c>
    </row>
    <row r="1079" spans="1:6" ht="17">
      <c r="A1079" s="1" t="s">
        <v>1871</v>
      </c>
      <c r="B1079" s="1" t="s">
        <v>296</v>
      </c>
      <c r="C1079" s="2">
        <f>DATE(2024,6,6)+TIME(15,19,39)</f>
        <v>45449.638645833336</v>
      </c>
      <c r="F1079" t="e">
        <f>VLOOKUP(Table1[[#This Row],[Company Name]],Sheet1!B:B,1,FALSE)</f>
        <v>#N/A</v>
      </c>
    </row>
    <row r="1080" spans="1:6" ht="17">
      <c r="A1080" s="1" t="s">
        <v>1871</v>
      </c>
      <c r="B1080" s="1" t="s">
        <v>2360</v>
      </c>
      <c r="C1080" s="2">
        <f>DATE(2024,6,6)+TIME(14,28,43)</f>
        <v>45449.603275462963</v>
      </c>
      <c r="F1080" t="e">
        <f>VLOOKUP(Table1[[#This Row],[Company Name]],Sheet1!B:B,1,FALSE)</f>
        <v>#N/A</v>
      </c>
    </row>
    <row r="1081" spans="1:6" ht="17">
      <c r="A1081" s="1" t="s">
        <v>1871</v>
      </c>
      <c r="B1081" s="1" t="s">
        <v>2361</v>
      </c>
      <c r="C1081" s="2">
        <f>DATE(2024,6,7)+TIME(4,1,31)</f>
        <v>45450.167719907404</v>
      </c>
      <c r="F1081" t="e">
        <f>VLOOKUP(Table1[[#This Row],[Company Name]],Sheet1!B:B,1,FALSE)</f>
        <v>#N/A</v>
      </c>
    </row>
    <row r="1082" spans="1:6" ht="17">
      <c r="A1082" s="1" t="s">
        <v>1871</v>
      </c>
      <c r="B1082" s="1" t="s">
        <v>296</v>
      </c>
      <c r="C1082" s="2">
        <f>DATE(2024,6,6)+TIME(16,3,31)</f>
        <v>45449.669108796297</v>
      </c>
      <c r="F1082" t="e">
        <f>VLOOKUP(Table1[[#This Row],[Company Name]],Sheet1!B:B,1,FALSE)</f>
        <v>#N/A</v>
      </c>
    </row>
    <row r="1083" spans="1:6" ht="17">
      <c r="A1083" s="3" t="s">
        <v>1872</v>
      </c>
      <c r="B1083" s="3" t="s">
        <v>1680</v>
      </c>
      <c r="C1083" s="4">
        <f>DATE(2024,6,7)+TIME(2,11,43)</f>
        <v>45450.091469907406</v>
      </c>
      <c r="F1083" t="e">
        <f>VLOOKUP(Table1[[#This Row],[Company Name]],Sheet1!B:B,1,FALSE)</f>
        <v>#N/A</v>
      </c>
    </row>
    <row r="1084" spans="1:6" ht="17">
      <c r="A1084" s="1" t="s">
        <v>1873</v>
      </c>
      <c r="B1084" s="1" t="s">
        <v>1874</v>
      </c>
      <c r="C1084" s="2">
        <f>DATE(2024,7,16)+TIME(5,10,25)</f>
        <v>45489.215567129628</v>
      </c>
      <c r="F1084" t="e">
        <f>VLOOKUP(Table1[[#This Row],[Company Name]],Sheet1!B:B,1,FALSE)</f>
        <v>#N/A</v>
      </c>
    </row>
    <row r="1085" spans="1:6" ht="17">
      <c r="A1085" s="1" t="s">
        <v>869</v>
      </c>
      <c r="B1085" s="1" t="s">
        <v>567</v>
      </c>
      <c r="C1085" s="2">
        <f>DATE(2024,9,13)+TIME(10,11,36)</f>
        <v>45548.424722222226</v>
      </c>
      <c r="F1085" t="e">
        <f>VLOOKUP(Table1[[#This Row],[Company Name]],Sheet1!B:B,1,FALSE)</f>
        <v>#N/A</v>
      </c>
    </row>
    <row r="1086" spans="1:6" ht="17">
      <c r="A1086" s="1" t="s">
        <v>869</v>
      </c>
      <c r="B1086" s="1" t="s">
        <v>264</v>
      </c>
      <c r="C1086" s="2">
        <f>DATE(2024,9,16)+TIME(11,50,55)</f>
        <v>45551.493692129632</v>
      </c>
      <c r="F1086" t="e">
        <f>VLOOKUP(Table1[[#This Row],[Company Name]],Sheet1!B:B,1,FALSE)</f>
        <v>#N/A</v>
      </c>
    </row>
    <row r="1087" spans="1:6" ht="17">
      <c r="A1087" s="3" t="s">
        <v>1875</v>
      </c>
      <c r="B1087" s="3" t="s">
        <v>296</v>
      </c>
      <c r="C1087" s="4">
        <f>DATE(2024,9,5)+TIME(13,35,3)</f>
        <v>45540.566006944442</v>
      </c>
      <c r="F1087" t="e">
        <f>VLOOKUP(Table1[[#This Row],[Company Name]],Sheet1!B:B,1,FALSE)</f>
        <v>#N/A</v>
      </c>
    </row>
    <row r="1088" spans="1:6" ht="17">
      <c r="A1088" s="1" t="s">
        <v>1875</v>
      </c>
      <c r="B1088" s="1" t="s">
        <v>296</v>
      </c>
      <c r="C1088" s="2">
        <f>DATE(2024,9,6)+TIME(9,8,49)</f>
        <v>45541.381122685183</v>
      </c>
      <c r="F1088" t="e">
        <f>VLOOKUP(Table1[[#This Row],[Company Name]],Sheet1!B:B,1,FALSE)</f>
        <v>#N/A</v>
      </c>
    </row>
    <row r="1089" spans="1:6" ht="17">
      <c r="A1089" s="3" t="s">
        <v>1876</v>
      </c>
      <c r="B1089" s="3" t="s">
        <v>1877</v>
      </c>
      <c r="C1089" s="4">
        <f>DATE(2024,9,20)+TIME(10,15,20)</f>
        <v>45555.427314814813</v>
      </c>
      <c r="F1089" t="e">
        <f>VLOOKUP(Table1[[#This Row],[Company Name]],Sheet1!B:B,1,FALSE)</f>
        <v>#N/A</v>
      </c>
    </row>
    <row r="1090" spans="1:6" ht="17">
      <c r="A1090" s="3" t="s">
        <v>1878</v>
      </c>
      <c r="B1090" s="3" t="s">
        <v>1879</v>
      </c>
      <c r="C1090" s="4">
        <f>DATE(2024,9,26)+TIME(7,14,55)</f>
        <v>45561.302025462966</v>
      </c>
      <c r="F1090" t="e">
        <f>VLOOKUP(Table1[[#This Row],[Company Name]],Sheet1!B:B,1,FALSE)</f>
        <v>#N/A</v>
      </c>
    </row>
    <row r="1091" spans="1:6" ht="17">
      <c r="A1091" s="3" t="s">
        <v>1880</v>
      </c>
      <c r="B1091" s="3" t="s">
        <v>1254</v>
      </c>
      <c r="C1091" s="4">
        <f>DATE(2024,6,20)+TIME(14,40,2)</f>
        <v>45463.611134259256</v>
      </c>
      <c r="F1091" t="e">
        <f>VLOOKUP(Table1[[#This Row],[Company Name]],Sheet1!B:B,1,FALSE)</f>
        <v>#N/A</v>
      </c>
    </row>
    <row r="1092" spans="1:6" ht="17">
      <c r="A1092" s="1" t="s">
        <v>874</v>
      </c>
      <c r="B1092" s="1" t="s">
        <v>882</v>
      </c>
      <c r="C1092" s="2">
        <f>DATE(2024,8,24)+TIME(11,18,22)</f>
        <v>45528.471087962964</v>
      </c>
      <c r="E1092" t="s">
        <v>1881</v>
      </c>
      <c r="F1092" t="s">
        <v>61</v>
      </c>
    </row>
    <row r="1093" spans="1:6" ht="17">
      <c r="A1093" s="1" t="s">
        <v>874</v>
      </c>
      <c r="B1093" s="1" t="s">
        <v>2362</v>
      </c>
      <c r="C1093" s="2">
        <f>DATE(2024,8,29)+TIME(8,30,50)</f>
        <v>45533.354745370372</v>
      </c>
      <c r="E1093" t="s">
        <v>1881</v>
      </c>
      <c r="F1093" t="s">
        <v>61</v>
      </c>
    </row>
    <row r="1094" spans="1:6" ht="17">
      <c r="A1094" s="1" t="s">
        <v>874</v>
      </c>
      <c r="B1094" s="1" t="s">
        <v>2363</v>
      </c>
      <c r="C1094" s="2">
        <f>DATE(2024,8,29)+TIME(8,16,29)</f>
        <v>45533.344780092593</v>
      </c>
      <c r="E1094" t="s">
        <v>1881</v>
      </c>
      <c r="F1094" t="s">
        <v>61</v>
      </c>
    </row>
    <row r="1095" spans="1:6" ht="17">
      <c r="A1095" s="3" t="s">
        <v>874</v>
      </c>
      <c r="B1095" s="3" t="s">
        <v>2364</v>
      </c>
      <c r="C1095" s="4">
        <f>DATE(2024,9,11)+TIME(9,4,13)</f>
        <v>45546.377928240741</v>
      </c>
      <c r="E1095" t="s">
        <v>1881</v>
      </c>
      <c r="F1095" t="s">
        <v>61</v>
      </c>
    </row>
    <row r="1096" spans="1:6" ht="17">
      <c r="A1096" s="1" t="s">
        <v>874</v>
      </c>
      <c r="B1096" s="1" t="s">
        <v>2365</v>
      </c>
      <c r="C1096" s="2">
        <f>DATE(2024,8,15)+TIME(12,24,28)</f>
        <v>45519.51699074074</v>
      </c>
      <c r="E1096" t="s">
        <v>1881</v>
      </c>
      <c r="F1096" t="s">
        <v>61</v>
      </c>
    </row>
    <row r="1097" spans="1:6" ht="17">
      <c r="A1097" s="3" t="s">
        <v>874</v>
      </c>
      <c r="B1097" s="3" t="s">
        <v>2366</v>
      </c>
      <c r="C1097" s="4">
        <f>DATE(2024,8,25)+TIME(16,50,40)</f>
        <v>45529.701851851853</v>
      </c>
      <c r="E1097" t="s">
        <v>1881</v>
      </c>
      <c r="F1097" t="s">
        <v>61</v>
      </c>
    </row>
    <row r="1098" spans="1:6" ht="17">
      <c r="A1098" s="1" t="s">
        <v>874</v>
      </c>
      <c r="B1098" s="1" t="s">
        <v>2367</v>
      </c>
      <c r="C1098" s="2">
        <f>DATE(2024,7,3)+TIME(11,46,31)</f>
        <v>45476.490636574075</v>
      </c>
      <c r="E1098" t="s">
        <v>1881</v>
      </c>
      <c r="F1098" t="s">
        <v>61</v>
      </c>
    </row>
    <row r="1099" spans="1:6" ht="17">
      <c r="A1099" s="1" t="s">
        <v>874</v>
      </c>
      <c r="B1099" s="1" t="s">
        <v>2368</v>
      </c>
      <c r="C1099" s="2">
        <f>DATE(2024,9,11)+TIME(8,27,17)</f>
        <v>45546.352280092593</v>
      </c>
      <c r="E1099" t="s">
        <v>1881</v>
      </c>
      <c r="F1099" t="s">
        <v>61</v>
      </c>
    </row>
    <row r="1100" spans="1:6" ht="17">
      <c r="A1100" s="3" t="s">
        <v>874</v>
      </c>
      <c r="B1100" s="3" t="s">
        <v>875</v>
      </c>
      <c r="C1100" s="4">
        <f>DATE(2024,8,28)+TIME(12,8,25)</f>
        <v>45532.505844907406</v>
      </c>
      <c r="E1100" t="s">
        <v>1881</v>
      </c>
      <c r="F1100" t="s">
        <v>61</v>
      </c>
    </row>
    <row r="1101" spans="1:6" ht="17">
      <c r="A1101" s="3" t="s">
        <v>905</v>
      </c>
      <c r="B1101" s="3" t="s">
        <v>264</v>
      </c>
      <c r="C1101" s="4">
        <f>DATE(2024,7,26)+TIME(12,50,37)</f>
        <v>45499.535150462965</v>
      </c>
      <c r="E1101" t="s">
        <v>1884</v>
      </c>
      <c r="F1101" t="s">
        <v>61</v>
      </c>
    </row>
    <row r="1102" spans="1:6" ht="17">
      <c r="A1102" s="1" t="s">
        <v>1885</v>
      </c>
      <c r="B1102" s="1" t="s">
        <v>1886</v>
      </c>
      <c r="C1102" s="2">
        <f>DATE(2024,8,27)+TIME(8,2,55)</f>
        <v>45531.335358796299</v>
      </c>
      <c r="F1102" t="e">
        <f>VLOOKUP(Table1[[#This Row],[Company Name]],Sheet1!B:B,1,FALSE)</f>
        <v>#N/A</v>
      </c>
    </row>
    <row r="1103" spans="1:6" ht="17">
      <c r="A1103" s="3" t="s">
        <v>908</v>
      </c>
      <c r="B1103" s="3" t="s">
        <v>1887</v>
      </c>
      <c r="C1103" s="4">
        <f>DATE(2024,8,12)+TIME(11,10,37)</f>
        <v>45516.46570601852</v>
      </c>
      <c r="F1103" t="e">
        <f>VLOOKUP(Table1[[#This Row],[Company Name]],Sheet1!B:B,1,FALSE)</f>
        <v>#N/A</v>
      </c>
    </row>
    <row r="1104" spans="1:6" ht="17">
      <c r="A1104" s="3" t="s">
        <v>1888</v>
      </c>
      <c r="B1104" s="3" t="s">
        <v>862</v>
      </c>
      <c r="C1104" s="4">
        <f>DATE(2024,9,19)+TIME(8,45,11)</f>
        <v>45554.364710648151</v>
      </c>
      <c r="F1104" t="e">
        <f>VLOOKUP(Table1[[#This Row],[Company Name]],Sheet1!B:B,1,FALSE)</f>
        <v>#N/A</v>
      </c>
    </row>
    <row r="1105" spans="1:6" ht="17">
      <c r="A1105" s="1" t="s">
        <v>1889</v>
      </c>
      <c r="B1105" s="1" t="s">
        <v>1890</v>
      </c>
      <c r="C1105" s="2">
        <f>DATE(2024,7,2)+TIME(13,39,16)</f>
        <v>45475.568935185183</v>
      </c>
      <c r="F1105" t="e">
        <f>VLOOKUP(Table1[[#This Row],[Company Name]],Sheet1!B:B,1,FALSE)</f>
        <v>#N/A</v>
      </c>
    </row>
    <row r="1106" spans="1:6" ht="17">
      <c r="A1106" s="3" t="s">
        <v>1891</v>
      </c>
      <c r="B1106" s="3" t="s">
        <v>1892</v>
      </c>
      <c r="C1106" s="4">
        <f>DATE(2024,7,2)+TIME(14,41,49)</f>
        <v>45475.612372685187</v>
      </c>
      <c r="F1106" t="e">
        <f>VLOOKUP(Table1[[#This Row],[Company Name]],Sheet1!B:B,1,FALSE)</f>
        <v>#N/A</v>
      </c>
    </row>
    <row r="1107" spans="1:6" ht="17">
      <c r="A1107" s="1" t="s">
        <v>1893</v>
      </c>
      <c r="B1107" s="1" t="s">
        <v>1894</v>
      </c>
      <c r="C1107" s="2">
        <f>DATE(2024,6,12)+TIME(7,50,40)</f>
        <v>45455.326851851853</v>
      </c>
      <c r="F1107" t="e">
        <f>VLOOKUP(Table1[[#This Row],[Company Name]],Sheet1!B:B,1,FALSE)</f>
        <v>#N/A</v>
      </c>
    </row>
    <row r="1108" spans="1:6" ht="34">
      <c r="A1108" s="3" t="s">
        <v>1893</v>
      </c>
      <c r="B1108" s="3" t="s">
        <v>2369</v>
      </c>
      <c r="C1108" s="4">
        <f>DATE(2024,7,23)+TIME(9,9,24)</f>
        <v>45496.381527777776</v>
      </c>
      <c r="F1108" t="e">
        <f>VLOOKUP(Table1[[#This Row],[Company Name]],Sheet1!B:B,1,FALSE)</f>
        <v>#N/A</v>
      </c>
    </row>
    <row r="1109" spans="1:6" ht="17">
      <c r="A1109" s="1" t="s">
        <v>1895</v>
      </c>
      <c r="B1109" s="1" t="s">
        <v>1896</v>
      </c>
      <c r="C1109" s="2">
        <f>DATE(2024,6,12)+TIME(7,11,37)</f>
        <v>45455.299733796295</v>
      </c>
      <c r="F1109" t="e">
        <f>VLOOKUP(Table1[[#This Row],[Company Name]],Sheet1!B:B,1,FALSE)</f>
        <v>#N/A</v>
      </c>
    </row>
    <row r="1110" spans="1:6" ht="17">
      <c r="A1110" s="3" t="s">
        <v>1897</v>
      </c>
      <c r="B1110" s="3" t="s">
        <v>1898</v>
      </c>
      <c r="C1110" s="4">
        <f>DATE(2024,8,13)+TIME(11,59,17)</f>
        <v>45517.499502314815</v>
      </c>
      <c r="F1110" t="e">
        <f>VLOOKUP(Table1[[#This Row],[Company Name]],Sheet1!B:B,1,FALSE)</f>
        <v>#N/A</v>
      </c>
    </row>
    <row r="1111" spans="1:6" ht="17">
      <c r="A1111" s="3" t="s">
        <v>911</v>
      </c>
      <c r="B1111" s="3" t="s">
        <v>912</v>
      </c>
      <c r="C1111" s="4">
        <f>DATE(2024,8,12)+TIME(10,34,46)</f>
        <v>45516.440810185188</v>
      </c>
      <c r="F1111" t="e">
        <f>VLOOKUP(Table1[[#This Row],[Company Name]],Sheet1!B:B,1,FALSE)</f>
        <v>#N/A</v>
      </c>
    </row>
    <row r="1112" spans="1:6" ht="17">
      <c r="A1112" s="1" t="s">
        <v>911</v>
      </c>
      <c r="B1112" s="1" t="s">
        <v>917</v>
      </c>
      <c r="C1112" s="2">
        <f>DATE(2024,8,12)+TIME(10,28,28)</f>
        <v>45516.436435185184</v>
      </c>
      <c r="F1112" t="e">
        <f>VLOOKUP(Table1[[#This Row],[Company Name]],Sheet1!B:B,1,FALSE)</f>
        <v>#N/A</v>
      </c>
    </row>
    <row r="1113" spans="1:6" ht="17">
      <c r="A1113" s="3" t="s">
        <v>911</v>
      </c>
      <c r="B1113" s="3" t="s">
        <v>85</v>
      </c>
      <c r="C1113" s="4">
        <f>DATE(2024,8,8)+TIME(7,9,20)</f>
        <v>45512.298148148147</v>
      </c>
      <c r="F1113" t="e">
        <f>VLOOKUP(Table1[[#This Row],[Company Name]],Sheet1!B:B,1,FALSE)</f>
        <v>#N/A</v>
      </c>
    </row>
    <row r="1114" spans="1:6" ht="17">
      <c r="A1114" s="1" t="s">
        <v>1899</v>
      </c>
      <c r="B1114" s="1" t="s">
        <v>1054</v>
      </c>
      <c r="C1114" s="2">
        <f>DATE(2024,7,22)+TIME(14,47,13)</f>
        <v>45495.616122685184</v>
      </c>
      <c r="F1114" t="e">
        <f>VLOOKUP(Table1[[#This Row],[Company Name]],Sheet1!B:B,1,FALSE)</f>
        <v>#N/A</v>
      </c>
    </row>
    <row r="1115" spans="1:6" ht="17">
      <c r="A1115" s="3" t="s">
        <v>1899</v>
      </c>
      <c r="B1115" s="3" t="s">
        <v>2370</v>
      </c>
      <c r="C1115" s="4">
        <f>DATE(2024,8,19)+TIME(15,59,52)</f>
        <v>45523.666574074072</v>
      </c>
      <c r="F1115" t="e">
        <f>VLOOKUP(Table1[[#This Row],[Company Name]],Sheet1!B:B,1,FALSE)</f>
        <v>#N/A</v>
      </c>
    </row>
    <row r="1116" spans="1:6" ht="17">
      <c r="A1116" s="3" t="s">
        <v>1899</v>
      </c>
      <c r="B1116" s="3" t="s">
        <v>2371</v>
      </c>
      <c r="C1116" s="4">
        <f>DATE(2024,8,16)+TIME(10,53,43)</f>
        <v>45520.453969907408</v>
      </c>
      <c r="F1116" t="e">
        <f>VLOOKUP(Table1[[#This Row],[Company Name]],Sheet1!B:B,1,FALSE)</f>
        <v>#N/A</v>
      </c>
    </row>
    <row r="1117" spans="1:6" ht="17">
      <c r="A1117" s="3" t="s">
        <v>1900</v>
      </c>
      <c r="B1117" s="3" t="s">
        <v>1391</v>
      </c>
      <c r="C1117" s="4">
        <f>DATE(2024,7,2)+TIME(18,50,39)</f>
        <v>45475.785173611112</v>
      </c>
      <c r="F1117" t="e">
        <f>VLOOKUP(Table1[[#This Row],[Company Name]],Sheet1!B:B,1,FALSE)</f>
        <v>#N/A</v>
      </c>
    </row>
    <row r="1118" spans="1:6" ht="34">
      <c r="A1118" s="1" t="s">
        <v>1901</v>
      </c>
      <c r="B1118" s="1" t="s">
        <v>1902</v>
      </c>
      <c r="C1118" s="2">
        <f>DATE(2024,9,4)+TIME(6,7,7)</f>
        <v>45539.254942129628</v>
      </c>
      <c r="F1118" t="e">
        <f>VLOOKUP(Table1[[#This Row],[Company Name]],Sheet1!B:B,1,FALSE)</f>
        <v>#N/A</v>
      </c>
    </row>
    <row r="1119" spans="1:6" ht="17">
      <c r="A1119" s="3" t="s">
        <v>1903</v>
      </c>
      <c r="B1119" s="3" t="s">
        <v>1904</v>
      </c>
      <c r="C1119" s="4">
        <f>DATE(2024,7,24)+TIME(12,15,12)</f>
        <v>45497.510555555556</v>
      </c>
      <c r="F1119" t="e">
        <f>VLOOKUP(Table1[[#This Row],[Company Name]],Sheet1!B:B,1,FALSE)</f>
        <v>#N/A</v>
      </c>
    </row>
    <row r="1120" spans="1:6" ht="17">
      <c r="A1120" s="1" t="s">
        <v>1905</v>
      </c>
      <c r="B1120" s="1" t="s">
        <v>1830</v>
      </c>
      <c r="C1120" s="2">
        <f>DATE(2024,8,30)+TIME(15,5,39)</f>
        <v>45534.628923611112</v>
      </c>
      <c r="F1120" t="e">
        <f>VLOOKUP(Table1[[#This Row],[Company Name]],Sheet1!B:B,1,FALSE)</f>
        <v>#N/A</v>
      </c>
    </row>
    <row r="1121" spans="1:6" ht="17">
      <c r="A1121" s="1" t="s">
        <v>1905</v>
      </c>
      <c r="B1121" s="1" t="s">
        <v>151</v>
      </c>
      <c r="C1121" s="2">
        <f>DATE(2024,7,10)+TIME(8,8,35)</f>
        <v>45483.33929398148</v>
      </c>
      <c r="F1121" t="e">
        <f>VLOOKUP(Table1[[#This Row],[Company Name]],Sheet1!B:B,1,FALSE)</f>
        <v>#N/A</v>
      </c>
    </row>
    <row r="1122" spans="1:6" ht="17">
      <c r="A1122" s="1" t="s">
        <v>1905</v>
      </c>
      <c r="B1122" s="1" t="s">
        <v>1261</v>
      </c>
      <c r="C1122" s="2">
        <f>DATE(2024,7,2)+TIME(8,9,46)</f>
        <v>45475.340115740742</v>
      </c>
      <c r="F1122" t="e">
        <f>VLOOKUP(Table1[[#This Row],[Company Name]],Sheet1!B:B,1,FALSE)</f>
        <v>#N/A</v>
      </c>
    </row>
    <row r="1123" spans="1:6" ht="17">
      <c r="A1123" s="3" t="s">
        <v>1905</v>
      </c>
      <c r="B1123" s="3" t="s">
        <v>2372</v>
      </c>
      <c r="C1123" s="4">
        <f>DATE(2024,7,15)+TIME(8,40,58)</f>
        <v>45488.36178240741</v>
      </c>
      <c r="F1123" t="e">
        <f>VLOOKUP(Table1[[#This Row],[Company Name]],Sheet1!B:B,1,FALSE)</f>
        <v>#N/A</v>
      </c>
    </row>
    <row r="1124" spans="1:6" ht="17">
      <c r="A1124" s="3" t="s">
        <v>1905</v>
      </c>
      <c r="B1124" s="3" t="s">
        <v>2373</v>
      </c>
      <c r="C1124" s="4">
        <f>DATE(2024,6,10)+TIME(16,9,52)</f>
        <v>45453.673518518517</v>
      </c>
      <c r="F1124" t="e">
        <f>VLOOKUP(Table1[[#This Row],[Company Name]],Sheet1!B:B,1,FALSE)</f>
        <v>#N/A</v>
      </c>
    </row>
    <row r="1125" spans="1:6" ht="17">
      <c r="A1125" s="1" t="s">
        <v>1906</v>
      </c>
      <c r="B1125" s="1" t="s">
        <v>1369</v>
      </c>
      <c r="C1125" s="2">
        <f>DATE(2024,8,15)+TIME(7,32,49)</f>
        <v>45519.314456018517</v>
      </c>
      <c r="F1125" t="e">
        <f>VLOOKUP(Table1[[#This Row],[Company Name]],Sheet1!B:B,1,FALSE)</f>
        <v>#N/A</v>
      </c>
    </row>
    <row r="1126" spans="1:6" ht="34">
      <c r="A1126" s="3" t="s">
        <v>1907</v>
      </c>
      <c r="B1126" s="3" t="s">
        <v>1908</v>
      </c>
      <c r="C1126" s="4">
        <f>DATE(2024,7,9)+TIME(11,24,58)</f>
        <v>45482.475671296299</v>
      </c>
      <c r="F1126" t="e">
        <f>VLOOKUP(Table1[[#This Row],[Company Name]],Sheet1!B:B,1,FALSE)</f>
        <v>#N/A</v>
      </c>
    </row>
    <row r="1127" spans="1:6" ht="17">
      <c r="A1127" s="1" t="s">
        <v>1907</v>
      </c>
      <c r="B1127" s="1" t="s">
        <v>2374</v>
      </c>
      <c r="C1127" s="2">
        <f>DATE(2024,7,12)+TIME(8,52,28)</f>
        <v>45485.369768518518</v>
      </c>
      <c r="F1127" t="e">
        <f>VLOOKUP(Table1[[#This Row],[Company Name]],Sheet1!B:B,1,FALSE)</f>
        <v>#N/A</v>
      </c>
    </row>
    <row r="1128" spans="1:6" ht="17">
      <c r="A1128" s="1" t="s">
        <v>1909</v>
      </c>
      <c r="B1128" s="1" t="s">
        <v>1910</v>
      </c>
      <c r="C1128" s="2">
        <f>DATE(2024,8,1)+TIME(9,25,47)</f>
        <v>45505.392905092594</v>
      </c>
      <c r="F1128" t="e">
        <f>VLOOKUP(Table1[[#This Row],[Company Name]],Sheet1!B:B,1,FALSE)</f>
        <v>#N/A</v>
      </c>
    </row>
    <row r="1129" spans="1:6" ht="17">
      <c r="A1129" s="3" t="s">
        <v>1909</v>
      </c>
      <c r="B1129" s="3" t="s">
        <v>2375</v>
      </c>
      <c r="C1129" s="4">
        <f>DATE(2024,8,1)+TIME(9,14,55)</f>
        <v>45505.385358796295</v>
      </c>
      <c r="F1129" t="e">
        <f>VLOOKUP(Table1[[#This Row],[Company Name]],Sheet1!B:B,1,FALSE)</f>
        <v>#N/A</v>
      </c>
    </row>
    <row r="1130" spans="1:6" ht="17">
      <c r="A1130" s="1" t="s">
        <v>1911</v>
      </c>
      <c r="B1130" s="1" t="s">
        <v>1912</v>
      </c>
      <c r="C1130" s="2">
        <f>DATE(2024,6,20)+TIME(7,48,14)</f>
        <v>45463.325162037036</v>
      </c>
      <c r="F1130" t="e">
        <f>VLOOKUP(Table1[[#This Row],[Company Name]],Sheet1!B:B,1,FALSE)</f>
        <v>#N/A</v>
      </c>
    </row>
    <row r="1131" spans="1:6" ht="17">
      <c r="A1131" s="3" t="s">
        <v>1911</v>
      </c>
      <c r="B1131" s="3" t="s">
        <v>2376</v>
      </c>
      <c r="C1131" s="4">
        <f>DATE(2024,6,27)+TIME(12,55,25)</f>
        <v>45470.538483796299</v>
      </c>
      <c r="F1131" t="e">
        <f>VLOOKUP(Table1[[#This Row],[Company Name]],Sheet1!B:B,1,FALSE)</f>
        <v>#N/A</v>
      </c>
    </row>
    <row r="1132" spans="1:6" ht="17">
      <c r="A1132" s="3" t="s">
        <v>1911</v>
      </c>
      <c r="B1132" s="3" t="s">
        <v>2377</v>
      </c>
      <c r="C1132" s="4">
        <f>DATE(2024,6,18)+TIME(8,42,20)</f>
        <v>45461.36273148148</v>
      </c>
      <c r="F1132" t="e">
        <f>VLOOKUP(Table1[[#This Row],[Company Name]],Sheet1!B:B,1,FALSE)</f>
        <v>#N/A</v>
      </c>
    </row>
    <row r="1133" spans="1:6" ht="17">
      <c r="A1133" s="1" t="s">
        <v>1911</v>
      </c>
      <c r="B1133" s="1" t="s">
        <v>2378</v>
      </c>
      <c r="C1133" s="2">
        <f>DATE(2024,6,20)+TIME(9,42,27)</f>
        <v>45463.404479166667</v>
      </c>
      <c r="F1133" t="e">
        <f>VLOOKUP(Table1[[#This Row],[Company Name]],Sheet1!B:B,1,FALSE)</f>
        <v>#N/A</v>
      </c>
    </row>
    <row r="1134" spans="1:6" ht="17">
      <c r="A1134" s="1" t="s">
        <v>1913</v>
      </c>
      <c r="B1134" s="1" t="s">
        <v>1914</v>
      </c>
      <c r="C1134" s="2">
        <f>DATE(2024,9,24)+TIME(16,48,10)</f>
        <v>45559.700115740743</v>
      </c>
      <c r="F1134" t="e">
        <f>VLOOKUP(Table1[[#This Row],[Company Name]],Sheet1!B:B,1,FALSE)</f>
        <v>#N/A</v>
      </c>
    </row>
    <row r="1135" spans="1:6" ht="17">
      <c r="A1135" s="3" t="s">
        <v>2379</v>
      </c>
      <c r="B1135" s="3" t="s">
        <v>2380</v>
      </c>
      <c r="C1135" s="4">
        <f>DATE(2024,7,16)+TIME(10,20,32)</f>
        <v>45489.430925925924</v>
      </c>
      <c r="F1135" t="e">
        <f>VLOOKUP(Table1[[#This Row],[Company Name]],Sheet1!B:B,1,FALSE)</f>
        <v>#N/A</v>
      </c>
    </row>
    <row r="1136" spans="1:6" ht="17">
      <c r="A1136" s="1" t="s">
        <v>1915</v>
      </c>
      <c r="B1136" s="1" t="s">
        <v>1916</v>
      </c>
      <c r="C1136" s="2">
        <f>DATE(2024,7,13)+TIME(9,49,59)</f>
        <v>45486.409710648149</v>
      </c>
      <c r="F1136" t="e">
        <f>VLOOKUP(Table1[[#This Row],[Company Name]],Sheet1!B:B,1,FALSE)</f>
        <v>#N/A</v>
      </c>
    </row>
    <row r="1137" spans="1:6" ht="17">
      <c r="A1137" s="1" t="s">
        <v>1917</v>
      </c>
      <c r="B1137" s="1" t="s">
        <v>1918</v>
      </c>
      <c r="C1137" s="2">
        <f>DATE(2024,9,12)+TIME(11,40,39)</f>
        <v>45547.486562500002</v>
      </c>
      <c r="F1137" t="e">
        <f>VLOOKUP(Table1[[#This Row],[Company Name]],Sheet1!B:B,1,FALSE)</f>
        <v>#N/A</v>
      </c>
    </row>
  </sheetData>
  <pageMargins left="0.75" right="0.75" top="1" bottom="1" header="0.5" footer="0.5"/>
  <pageSetup orientation="portrait"/>
  <headerFooter alignWithMargin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91E9-7D43-D242-A640-7226AC4EDCFC}">
  <dimension ref="A1:S1161"/>
  <sheetViews>
    <sheetView workbookViewId="0">
      <selection activeCell="C20" sqref="C20"/>
    </sheetView>
  </sheetViews>
  <sheetFormatPr baseColWidth="10" defaultColWidth="11.5" defaultRowHeight="13"/>
  <cols>
    <col min="1" max="1" width="12.6640625" customWidth="1"/>
    <col min="2" max="2" width="56.33203125" customWidth="1"/>
    <col min="3" max="3" width="10.5" customWidth="1"/>
    <col min="4" max="4" width="169.5" customWidth="1"/>
    <col min="5" max="5" width="255" customWidth="1"/>
    <col min="6" max="6" width="227.6640625" customWidth="1"/>
    <col min="7" max="7" width="179" customWidth="1"/>
    <col min="8" max="8" width="225.6640625" customWidth="1"/>
    <col min="9" max="9" width="33.33203125" customWidth="1"/>
    <col min="10" max="10" width="63.6640625" customWidth="1"/>
    <col min="11" max="11" width="32.33203125" customWidth="1"/>
    <col min="12" max="12" width="8.1640625" customWidth="1"/>
    <col min="13" max="13" width="16" customWidth="1"/>
    <col min="14" max="14" width="255" customWidth="1"/>
    <col min="15" max="15" width="95.83203125" customWidth="1"/>
    <col min="16" max="16" width="255" customWidth="1"/>
    <col min="17" max="17" width="24.5" customWidth="1"/>
    <col min="18" max="18" width="21" customWidth="1"/>
    <col min="19" max="19" width="61.5" customWidth="1"/>
    <col min="20" max="256" width="8.83203125" customWidth="1"/>
    <col min="257" max="257" width="12.6640625" customWidth="1"/>
    <col min="258" max="258" width="56.33203125" customWidth="1"/>
    <col min="259" max="259" width="10.5" customWidth="1"/>
    <col min="260" max="260" width="169.5" customWidth="1"/>
    <col min="261" max="261" width="255" customWidth="1"/>
    <col min="262" max="262" width="227.6640625" customWidth="1"/>
    <col min="263" max="263" width="179" customWidth="1"/>
    <col min="264" max="264" width="225.6640625" customWidth="1"/>
    <col min="265" max="265" width="33.33203125" customWidth="1"/>
    <col min="266" max="266" width="63.6640625" customWidth="1"/>
    <col min="267" max="267" width="32.33203125" customWidth="1"/>
    <col min="268" max="268" width="8.1640625" customWidth="1"/>
    <col min="269" max="269" width="16" customWidth="1"/>
    <col min="270" max="270" width="255" customWidth="1"/>
    <col min="271" max="271" width="95.83203125" customWidth="1"/>
    <col min="272" max="272" width="255" customWidth="1"/>
    <col min="273" max="273" width="24.5" customWidth="1"/>
    <col min="274" max="274" width="21" customWidth="1"/>
    <col min="275" max="275" width="61.5" customWidth="1"/>
    <col min="276" max="512" width="8.83203125" customWidth="1"/>
    <col min="513" max="513" width="12.6640625" customWidth="1"/>
    <col min="514" max="514" width="56.33203125" customWidth="1"/>
    <col min="515" max="515" width="10.5" customWidth="1"/>
    <col min="516" max="516" width="169.5" customWidth="1"/>
    <col min="517" max="517" width="255" customWidth="1"/>
    <col min="518" max="518" width="227.6640625" customWidth="1"/>
    <col min="519" max="519" width="179" customWidth="1"/>
    <col min="520" max="520" width="225.6640625" customWidth="1"/>
    <col min="521" max="521" width="33.33203125" customWidth="1"/>
    <col min="522" max="522" width="63.6640625" customWidth="1"/>
    <col min="523" max="523" width="32.33203125" customWidth="1"/>
    <col min="524" max="524" width="8.1640625" customWidth="1"/>
    <col min="525" max="525" width="16" customWidth="1"/>
    <col min="526" max="526" width="255" customWidth="1"/>
    <col min="527" max="527" width="95.83203125" customWidth="1"/>
    <col min="528" max="528" width="255" customWidth="1"/>
    <col min="529" max="529" width="24.5" customWidth="1"/>
    <col min="530" max="530" width="21" customWidth="1"/>
    <col min="531" max="531" width="61.5" customWidth="1"/>
    <col min="532" max="768" width="8.83203125" customWidth="1"/>
    <col min="769" max="769" width="12.6640625" customWidth="1"/>
    <col min="770" max="770" width="56.33203125" customWidth="1"/>
    <col min="771" max="771" width="10.5" customWidth="1"/>
    <col min="772" max="772" width="169.5" customWidth="1"/>
    <col min="773" max="773" width="255" customWidth="1"/>
    <col min="774" max="774" width="227.6640625" customWidth="1"/>
    <col min="775" max="775" width="179" customWidth="1"/>
    <col min="776" max="776" width="225.6640625" customWidth="1"/>
    <col min="777" max="777" width="33.33203125" customWidth="1"/>
    <col min="778" max="778" width="63.6640625" customWidth="1"/>
    <col min="779" max="779" width="32.33203125" customWidth="1"/>
    <col min="780" max="780" width="8.1640625" customWidth="1"/>
    <col min="781" max="781" width="16" customWidth="1"/>
    <col min="782" max="782" width="255" customWidth="1"/>
    <col min="783" max="783" width="95.83203125" customWidth="1"/>
    <col min="784" max="784" width="255" customWidth="1"/>
    <col min="785" max="785" width="24.5" customWidth="1"/>
    <col min="786" max="786" width="21" customWidth="1"/>
    <col min="787" max="787" width="61.5" customWidth="1"/>
    <col min="788" max="1024" width="8.83203125" customWidth="1"/>
    <col min="1025" max="1025" width="12.6640625" customWidth="1"/>
    <col min="1026" max="1026" width="56.33203125" customWidth="1"/>
    <col min="1027" max="1027" width="10.5" customWidth="1"/>
    <col min="1028" max="1028" width="169.5" customWidth="1"/>
    <col min="1029" max="1029" width="255" customWidth="1"/>
    <col min="1030" max="1030" width="227.6640625" customWidth="1"/>
    <col min="1031" max="1031" width="179" customWidth="1"/>
    <col min="1032" max="1032" width="225.6640625" customWidth="1"/>
    <col min="1033" max="1033" width="33.33203125" customWidth="1"/>
    <col min="1034" max="1034" width="63.6640625" customWidth="1"/>
    <col min="1035" max="1035" width="32.33203125" customWidth="1"/>
    <col min="1036" max="1036" width="8.1640625" customWidth="1"/>
    <col min="1037" max="1037" width="16" customWidth="1"/>
    <col min="1038" max="1038" width="255" customWidth="1"/>
    <col min="1039" max="1039" width="95.83203125" customWidth="1"/>
    <col min="1040" max="1040" width="255" customWidth="1"/>
    <col min="1041" max="1041" width="24.5" customWidth="1"/>
    <col min="1042" max="1042" width="21" customWidth="1"/>
    <col min="1043" max="1043" width="61.5" customWidth="1"/>
    <col min="1044" max="1280" width="8.83203125" customWidth="1"/>
    <col min="1281" max="1281" width="12.6640625" customWidth="1"/>
    <col min="1282" max="1282" width="56.33203125" customWidth="1"/>
    <col min="1283" max="1283" width="10.5" customWidth="1"/>
    <col min="1284" max="1284" width="169.5" customWidth="1"/>
    <col min="1285" max="1285" width="255" customWidth="1"/>
    <col min="1286" max="1286" width="227.6640625" customWidth="1"/>
    <col min="1287" max="1287" width="179" customWidth="1"/>
    <col min="1288" max="1288" width="225.6640625" customWidth="1"/>
    <col min="1289" max="1289" width="33.33203125" customWidth="1"/>
    <col min="1290" max="1290" width="63.6640625" customWidth="1"/>
    <col min="1291" max="1291" width="32.33203125" customWidth="1"/>
    <col min="1292" max="1292" width="8.1640625" customWidth="1"/>
    <col min="1293" max="1293" width="16" customWidth="1"/>
    <col min="1294" max="1294" width="255" customWidth="1"/>
    <col min="1295" max="1295" width="95.83203125" customWidth="1"/>
    <col min="1296" max="1296" width="255" customWidth="1"/>
    <col min="1297" max="1297" width="24.5" customWidth="1"/>
    <col min="1298" max="1298" width="21" customWidth="1"/>
    <col min="1299" max="1299" width="61.5" customWidth="1"/>
    <col min="1300" max="1536" width="8.83203125" customWidth="1"/>
    <col min="1537" max="1537" width="12.6640625" customWidth="1"/>
    <col min="1538" max="1538" width="56.33203125" customWidth="1"/>
    <col min="1539" max="1539" width="10.5" customWidth="1"/>
    <col min="1540" max="1540" width="169.5" customWidth="1"/>
    <col min="1541" max="1541" width="255" customWidth="1"/>
    <col min="1542" max="1542" width="227.6640625" customWidth="1"/>
    <col min="1543" max="1543" width="179" customWidth="1"/>
    <col min="1544" max="1544" width="225.6640625" customWidth="1"/>
    <col min="1545" max="1545" width="33.33203125" customWidth="1"/>
    <col min="1546" max="1546" width="63.6640625" customWidth="1"/>
    <col min="1547" max="1547" width="32.33203125" customWidth="1"/>
    <col min="1548" max="1548" width="8.1640625" customWidth="1"/>
    <col min="1549" max="1549" width="16" customWidth="1"/>
    <col min="1550" max="1550" width="255" customWidth="1"/>
    <col min="1551" max="1551" width="95.83203125" customWidth="1"/>
    <col min="1552" max="1552" width="255" customWidth="1"/>
    <col min="1553" max="1553" width="24.5" customWidth="1"/>
    <col min="1554" max="1554" width="21" customWidth="1"/>
    <col min="1555" max="1555" width="61.5" customWidth="1"/>
    <col min="1556" max="1792" width="8.83203125" customWidth="1"/>
    <col min="1793" max="1793" width="12.6640625" customWidth="1"/>
    <col min="1794" max="1794" width="56.33203125" customWidth="1"/>
    <col min="1795" max="1795" width="10.5" customWidth="1"/>
    <col min="1796" max="1796" width="169.5" customWidth="1"/>
    <col min="1797" max="1797" width="255" customWidth="1"/>
    <col min="1798" max="1798" width="227.6640625" customWidth="1"/>
    <col min="1799" max="1799" width="179" customWidth="1"/>
    <col min="1800" max="1800" width="225.6640625" customWidth="1"/>
    <col min="1801" max="1801" width="33.33203125" customWidth="1"/>
    <col min="1802" max="1802" width="63.6640625" customWidth="1"/>
    <col min="1803" max="1803" width="32.33203125" customWidth="1"/>
    <col min="1804" max="1804" width="8.1640625" customWidth="1"/>
    <col min="1805" max="1805" width="16" customWidth="1"/>
    <col min="1806" max="1806" width="255" customWidth="1"/>
    <col min="1807" max="1807" width="95.83203125" customWidth="1"/>
    <col min="1808" max="1808" width="255" customWidth="1"/>
    <col min="1809" max="1809" width="24.5" customWidth="1"/>
    <col min="1810" max="1810" width="21" customWidth="1"/>
    <col min="1811" max="1811" width="61.5" customWidth="1"/>
    <col min="1812" max="2048" width="8.83203125" customWidth="1"/>
    <col min="2049" max="2049" width="12.6640625" customWidth="1"/>
    <col min="2050" max="2050" width="56.33203125" customWidth="1"/>
    <col min="2051" max="2051" width="10.5" customWidth="1"/>
    <col min="2052" max="2052" width="169.5" customWidth="1"/>
    <col min="2053" max="2053" width="255" customWidth="1"/>
    <col min="2054" max="2054" width="227.6640625" customWidth="1"/>
    <col min="2055" max="2055" width="179" customWidth="1"/>
    <col min="2056" max="2056" width="225.6640625" customWidth="1"/>
    <col min="2057" max="2057" width="33.33203125" customWidth="1"/>
    <col min="2058" max="2058" width="63.6640625" customWidth="1"/>
    <col min="2059" max="2059" width="32.33203125" customWidth="1"/>
    <col min="2060" max="2060" width="8.1640625" customWidth="1"/>
    <col min="2061" max="2061" width="16" customWidth="1"/>
    <col min="2062" max="2062" width="255" customWidth="1"/>
    <col min="2063" max="2063" width="95.83203125" customWidth="1"/>
    <col min="2064" max="2064" width="255" customWidth="1"/>
    <col min="2065" max="2065" width="24.5" customWidth="1"/>
    <col min="2066" max="2066" width="21" customWidth="1"/>
    <col min="2067" max="2067" width="61.5" customWidth="1"/>
    <col min="2068" max="2304" width="8.83203125" customWidth="1"/>
    <col min="2305" max="2305" width="12.6640625" customWidth="1"/>
    <col min="2306" max="2306" width="56.33203125" customWidth="1"/>
    <col min="2307" max="2307" width="10.5" customWidth="1"/>
    <col min="2308" max="2308" width="169.5" customWidth="1"/>
    <col min="2309" max="2309" width="255" customWidth="1"/>
    <col min="2310" max="2310" width="227.6640625" customWidth="1"/>
    <col min="2311" max="2311" width="179" customWidth="1"/>
    <col min="2312" max="2312" width="225.6640625" customWidth="1"/>
    <col min="2313" max="2313" width="33.33203125" customWidth="1"/>
    <col min="2314" max="2314" width="63.6640625" customWidth="1"/>
    <col min="2315" max="2315" width="32.33203125" customWidth="1"/>
    <col min="2316" max="2316" width="8.1640625" customWidth="1"/>
    <col min="2317" max="2317" width="16" customWidth="1"/>
    <col min="2318" max="2318" width="255" customWidth="1"/>
    <col min="2319" max="2319" width="95.83203125" customWidth="1"/>
    <col min="2320" max="2320" width="255" customWidth="1"/>
    <col min="2321" max="2321" width="24.5" customWidth="1"/>
    <col min="2322" max="2322" width="21" customWidth="1"/>
    <col min="2323" max="2323" width="61.5" customWidth="1"/>
    <col min="2324" max="2560" width="8.83203125" customWidth="1"/>
    <col min="2561" max="2561" width="12.6640625" customWidth="1"/>
    <col min="2562" max="2562" width="56.33203125" customWidth="1"/>
    <col min="2563" max="2563" width="10.5" customWidth="1"/>
    <col min="2564" max="2564" width="169.5" customWidth="1"/>
    <col min="2565" max="2565" width="255" customWidth="1"/>
    <col min="2566" max="2566" width="227.6640625" customWidth="1"/>
    <col min="2567" max="2567" width="179" customWidth="1"/>
    <col min="2568" max="2568" width="225.6640625" customWidth="1"/>
    <col min="2569" max="2569" width="33.33203125" customWidth="1"/>
    <col min="2570" max="2570" width="63.6640625" customWidth="1"/>
    <col min="2571" max="2571" width="32.33203125" customWidth="1"/>
    <col min="2572" max="2572" width="8.1640625" customWidth="1"/>
    <col min="2573" max="2573" width="16" customWidth="1"/>
    <col min="2574" max="2574" width="255" customWidth="1"/>
    <col min="2575" max="2575" width="95.83203125" customWidth="1"/>
    <col min="2576" max="2576" width="255" customWidth="1"/>
    <col min="2577" max="2577" width="24.5" customWidth="1"/>
    <col min="2578" max="2578" width="21" customWidth="1"/>
    <col min="2579" max="2579" width="61.5" customWidth="1"/>
    <col min="2580" max="2816" width="8.83203125" customWidth="1"/>
    <col min="2817" max="2817" width="12.6640625" customWidth="1"/>
    <col min="2818" max="2818" width="56.33203125" customWidth="1"/>
    <col min="2819" max="2819" width="10.5" customWidth="1"/>
    <col min="2820" max="2820" width="169.5" customWidth="1"/>
    <col min="2821" max="2821" width="255" customWidth="1"/>
    <col min="2822" max="2822" width="227.6640625" customWidth="1"/>
    <col min="2823" max="2823" width="179" customWidth="1"/>
    <col min="2824" max="2824" width="225.6640625" customWidth="1"/>
    <col min="2825" max="2825" width="33.33203125" customWidth="1"/>
    <col min="2826" max="2826" width="63.6640625" customWidth="1"/>
    <col min="2827" max="2827" width="32.33203125" customWidth="1"/>
    <col min="2828" max="2828" width="8.1640625" customWidth="1"/>
    <col min="2829" max="2829" width="16" customWidth="1"/>
    <col min="2830" max="2830" width="255" customWidth="1"/>
    <col min="2831" max="2831" width="95.83203125" customWidth="1"/>
    <col min="2832" max="2832" width="255" customWidth="1"/>
    <col min="2833" max="2833" width="24.5" customWidth="1"/>
    <col min="2834" max="2834" width="21" customWidth="1"/>
    <col min="2835" max="2835" width="61.5" customWidth="1"/>
    <col min="2836" max="3072" width="8.83203125" customWidth="1"/>
    <col min="3073" max="3073" width="12.6640625" customWidth="1"/>
    <col min="3074" max="3074" width="56.33203125" customWidth="1"/>
    <col min="3075" max="3075" width="10.5" customWidth="1"/>
    <col min="3076" max="3076" width="169.5" customWidth="1"/>
    <col min="3077" max="3077" width="255" customWidth="1"/>
    <col min="3078" max="3078" width="227.6640625" customWidth="1"/>
    <col min="3079" max="3079" width="179" customWidth="1"/>
    <col min="3080" max="3080" width="225.6640625" customWidth="1"/>
    <col min="3081" max="3081" width="33.33203125" customWidth="1"/>
    <col min="3082" max="3082" width="63.6640625" customWidth="1"/>
    <col min="3083" max="3083" width="32.33203125" customWidth="1"/>
    <col min="3084" max="3084" width="8.1640625" customWidth="1"/>
    <col min="3085" max="3085" width="16" customWidth="1"/>
    <col min="3086" max="3086" width="255" customWidth="1"/>
    <col min="3087" max="3087" width="95.83203125" customWidth="1"/>
    <col min="3088" max="3088" width="255" customWidth="1"/>
    <col min="3089" max="3089" width="24.5" customWidth="1"/>
    <col min="3090" max="3090" width="21" customWidth="1"/>
    <col min="3091" max="3091" width="61.5" customWidth="1"/>
    <col min="3092" max="3328" width="8.83203125" customWidth="1"/>
    <col min="3329" max="3329" width="12.6640625" customWidth="1"/>
    <col min="3330" max="3330" width="56.33203125" customWidth="1"/>
    <col min="3331" max="3331" width="10.5" customWidth="1"/>
    <col min="3332" max="3332" width="169.5" customWidth="1"/>
    <col min="3333" max="3333" width="255" customWidth="1"/>
    <col min="3334" max="3334" width="227.6640625" customWidth="1"/>
    <col min="3335" max="3335" width="179" customWidth="1"/>
    <col min="3336" max="3336" width="225.6640625" customWidth="1"/>
    <col min="3337" max="3337" width="33.33203125" customWidth="1"/>
    <col min="3338" max="3338" width="63.6640625" customWidth="1"/>
    <col min="3339" max="3339" width="32.33203125" customWidth="1"/>
    <col min="3340" max="3340" width="8.1640625" customWidth="1"/>
    <col min="3341" max="3341" width="16" customWidth="1"/>
    <col min="3342" max="3342" width="255" customWidth="1"/>
    <col min="3343" max="3343" width="95.83203125" customWidth="1"/>
    <col min="3344" max="3344" width="255" customWidth="1"/>
    <col min="3345" max="3345" width="24.5" customWidth="1"/>
    <col min="3346" max="3346" width="21" customWidth="1"/>
    <col min="3347" max="3347" width="61.5" customWidth="1"/>
    <col min="3348" max="3584" width="8.83203125" customWidth="1"/>
    <col min="3585" max="3585" width="12.6640625" customWidth="1"/>
    <col min="3586" max="3586" width="56.33203125" customWidth="1"/>
    <col min="3587" max="3587" width="10.5" customWidth="1"/>
    <col min="3588" max="3588" width="169.5" customWidth="1"/>
    <col min="3589" max="3589" width="255" customWidth="1"/>
    <col min="3590" max="3590" width="227.6640625" customWidth="1"/>
    <col min="3591" max="3591" width="179" customWidth="1"/>
    <col min="3592" max="3592" width="225.6640625" customWidth="1"/>
    <col min="3593" max="3593" width="33.33203125" customWidth="1"/>
    <col min="3594" max="3594" width="63.6640625" customWidth="1"/>
    <col min="3595" max="3595" width="32.33203125" customWidth="1"/>
    <col min="3596" max="3596" width="8.1640625" customWidth="1"/>
    <col min="3597" max="3597" width="16" customWidth="1"/>
    <col min="3598" max="3598" width="255" customWidth="1"/>
    <col min="3599" max="3599" width="95.83203125" customWidth="1"/>
    <col min="3600" max="3600" width="255" customWidth="1"/>
    <col min="3601" max="3601" width="24.5" customWidth="1"/>
    <col min="3602" max="3602" width="21" customWidth="1"/>
    <col min="3603" max="3603" width="61.5" customWidth="1"/>
    <col min="3604" max="3840" width="8.83203125" customWidth="1"/>
    <col min="3841" max="3841" width="12.6640625" customWidth="1"/>
    <col min="3842" max="3842" width="56.33203125" customWidth="1"/>
    <col min="3843" max="3843" width="10.5" customWidth="1"/>
    <col min="3844" max="3844" width="169.5" customWidth="1"/>
    <col min="3845" max="3845" width="255" customWidth="1"/>
    <col min="3846" max="3846" width="227.6640625" customWidth="1"/>
    <col min="3847" max="3847" width="179" customWidth="1"/>
    <col min="3848" max="3848" width="225.6640625" customWidth="1"/>
    <col min="3849" max="3849" width="33.33203125" customWidth="1"/>
    <col min="3850" max="3850" width="63.6640625" customWidth="1"/>
    <col min="3851" max="3851" width="32.33203125" customWidth="1"/>
    <col min="3852" max="3852" width="8.1640625" customWidth="1"/>
    <col min="3853" max="3853" width="16" customWidth="1"/>
    <col min="3854" max="3854" width="255" customWidth="1"/>
    <col min="3855" max="3855" width="95.83203125" customWidth="1"/>
    <col min="3856" max="3856" width="255" customWidth="1"/>
    <col min="3857" max="3857" width="24.5" customWidth="1"/>
    <col min="3858" max="3858" width="21" customWidth="1"/>
    <col min="3859" max="3859" width="61.5" customWidth="1"/>
    <col min="3860" max="4096" width="8.83203125" customWidth="1"/>
    <col min="4097" max="4097" width="12.6640625" customWidth="1"/>
    <col min="4098" max="4098" width="56.33203125" customWidth="1"/>
    <col min="4099" max="4099" width="10.5" customWidth="1"/>
    <col min="4100" max="4100" width="169.5" customWidth="1"/>
    <col min="4101" max="4101" width="255" customWidth="1"/>
    <col min="4102" max="4102" width="227.6640625" customWidth="1"/>
    <col min="4103" max="4103" width="179" customWidth="1"/>
    <col min="4104" max="4104" width="225.6640625" customWidth="1"/>
    <col min="4105" max="4105" width="33.33203125" customWidth="1"/>
    <col min="4106" max="4106" width="63.6640625" customWidth="1"/>
    <col min="4107" max="4107" width="32.33203125" customWidth="1"/>
    <col min="4108" max="4108" width="8.1640625" customWidth="1"/>
    <col min="4109" max="4109" width="16" customWidth="1"/>
    <col min="4110" max="4110" width="255" customWidth="1"/>
    <col min="4111" max="4111" width="95.83203125" customWidth="1"/>
    <col min="4112" max="4112" width="255" customWidth="1"/>
    <col min="4113" max="4113" width="24.5" customWidth="1"/>
    <col min="4114" max="4114" width="21" customWidth="1"/>
    <col min="4115" max="4115" width="61.5" customWidth="1"/>
    <col min="4116" max="4352" width="8.83203125" customWidth="1"/>
    <col min="4353" max="4353" width="12.6640625" customWidth="1"/>
    <col min="4354" max="4354" width="56.33203125" customWidth="1"/>
    <col min="4355" max="4355" width="10.5" customWidth="1"/>
    <col min="4356" max="4356" width="169.5" customWidth="1"/>
    <col min="4357" max="4357" width="255" customWidth="1"/>
    <col min="4358" max="4358" width="227.6640625" customWidth="1"/>
    <col min="4359" max="4359" width="179" customWidth="1"/>
    <col min="4360" max="4360" width="225.6640625" customWidth="1"/>
    <col min="4361" max="4361" width="33.33203125" customWidth="1"/>
    <col min="4362" max="4362" width="63.6640625" customWidth="1"/>
    <col min="4363" max="4363" width="32.33203125" customWidth="1"/>
    <col min="4364" max="4364" width="8.1640625" customWidth="1"/>
    <col min="4365" max="4365" width="16" customWidth="1"/>
    <col min="4366" max="4366" width="255" customWidth="1"/>
    <col min="4367" max="4367" width="95.83203125" customWidth="1"/>
    <col min="4368" max="4368" width="255" customWidth="1"/>
    <col min="4369" max="4369" width="24.5" customWidth="1"/>
    <col min="4370" max="4370" width="21" customWidth="1"/>
    <col min="4371" max="4371" width="61.5" customWidth="1"/>
    <col min="4372" max="4608" width="8.83203125" customWidth="1"/>
    <col min="4609" max="4609" width="12.6640625" customWidth="1"/>
    <col min="4610" max="4610" width="56.33203125" customWidth="1"/>
    <col min="4611" max="4611" width="10.5" customWidth="1"/>
    <col min="4612" max="4612" width="169.5" customWidth="1"/>
    <col min="4613" max="4613" width="255" customWidth="1"/>
    <col min="4614" max="4614" width="227.6640625" customWidth="1"/>
    <col min="4615" max="4615" width="179" customWidth="1"/>
    <col min="4616" max="4616" width="225.6640625" customWidth="1"/>
    <col min="4617" max="4617" width="33.33203125" customWidth="1"/>
    <col min="4618" max="4618" width="63.6640625" customWidth="1"/>
    <col min="4619" max="4619" width="32.33203125" customWidth="1"/>
    <col min="4620" max="4620" width="8.1640625" customWidth="1"/>
    <col min="4621" max="4621" width="16" customWidth="1"/>
    <col min="4622" max="4622" width="255" customWidth="1"/>
    <col min="4623" max="4623" width="95.83203125" customWidth="1"/>
    <col min="4624" max="4624" width="255" customWidth="1"/>
    <col min="4625" max="4625" width="24.5" customWidth="1"/>
    <col min="4626" max="4626" width="21" customWidth="1"/>
    <col min="4627" max="4627" width="61.5" customWidth="1"/>
    <col min="4628" max="4864" width="8.83203125" customWidth="1"/>
    <col min="4865" max="4865" width="12.6640625" customWidth="1"/>
    <col min="4866" max="4866" width="56.33203125" customWidth="1"/>
    <col min="4867" max="4867" width="10.5" customWidth="1"/>
    <col min="4868" max="4868" width="169.5" customWidth="1"/>
    <col min="4869" max="4869" width="255" customWidth="1"/>
    <col min="4870" max="4870" width="227.6640625" customWidth="1"/>
    <col min="4871" max="4871" width="179" customWidth="1"/>
    <col min="4872" max="4872" width="225.6640625" customWidth="1"/>
    <col min="4873" max="4873" width="33.33203125" customWidth="1"/>
    <col min="4874" max="4874" width="63.6640625" customWidth="1"/>
    <col min="4875" max="4875" width="32.33203125" customWidth="1"/>
    <col min="4876" max="4876" width="8.1640625" customWidth="1"/>
    <col min="4877" max="4877" width="16" customWidth="1"/>
    <col min="4878" max="4878" width="255" customWidth="1"/>
    <col min="4879" max="4879" width="95.83203125" customWidth="1"/>
    <col min="4880" max="4880" width="255" customWidth="1"/>
    <col min="4881" max="4881" width="24.5" customWidth="1"/>
    <col min="4882" max="4882" width="21" customWidth="1"/>
    <col min="4883" max="4883" width="61.5" customWidth="1"/>
    <col min="4884" max="5120" width="8.83203125" customWidth="1"/>
    <col min="5121" max="5121" width="12.6640625" customWidth="1"/>
    <col min="5122" max="5122" width="56.33203125" customWidth="1"/>
    <col min="5123" max="5123" width="10.5" customWidth="1"/>
    <col min="5124" max="5124" width="169.5" customWidth="1"/>
    <col min="5125" max="5125" width="255" customWidth="1"/>
    <col min="5126" max="5126" width="227.6640625" customWidth="1"/>
    <col min="5127" max="5127" width="179" customWidth="1"/>
    <col min="5128" max="5128" width="225.6640625" customWidth="1"/>
    <col min="5129" max="5129" width="33.33203125" customWidth="1"/>
    <col min="5130" max="5130" width="63.6640625" customWidth="1"/>
    <col min="5131" max="5131" width="32.33203125" customWidth="1"/>
    <col min="5132" max="5132" width="8.1640625" customWidth="1"/>
    <col min="5133" max="5133" width="16" customWidth="1"/>
    <col min="5134" max="5134" width="255" customWidth="1"/>
    <col min="5135" max="5135" width="95.83203125" customWidth="1"/>
    <col min="5136" max="5136" width="255" customWidth="1"/>
    <col min="5137" max="5137" width="24.5" customWidth="1"/>
    <col min="5138" max="5138" width="21" customWidth="1"/>
    <col min="5139" max="5139" width="61.5" customWidth="1"/>
    <col min="5140" max="5376" width="8.83203125" customWidth="1"/>
    <col min="5377" max="5377" width="12.6640625" customWidth="1"/>
    <col min="5378" max="5378" width="56.33203125" customWidth="1"/>
    <col min="5379" max="5379" width="10.5" customWidth="1"/>
    <col min="5380" max="5380" width="169.5" customWidth="1"/>
    <col min="5381" max="5381" width="255" customWidth="1"/>
    <col min="5382" max="5382" width="227.6640625" customWidth="1"/>
    <col min="5383" max="5383" width="179" customWidth="1"/>
    <col min="5384" max="5384" width="225.6640625" customWidth="1"/>
    <col min="5385" max="5385" width="33.33203125" customWidth="1"/>
    <col min="5386" max="5386" width="63.6640625" customWidth="1"/>
    <col min="5387" max="5387" width="32.33203125" customWidth="1"/>
    <col min="5388" max="5388" width="8.1640625" customWidth="1"/>
    <col min="5389" max="5389" width="16" customWidth="1"/>
    <col min="5390" max="5390" width="255" customWidth="1"/>
    <col min="5391" max="5391" width="95.83203125" customWidth="1"/>
    <col min="5392" max="5392" width="255" customWidth="1"/>
    <col min="5393" max="5393" width="24.5" customWidth="1"/>
    <col min="5394" max="5394" width="21" customWidth="1"/>
    <col min="5395" max="5395" width="61.5" customWidth="1"/>
    <col min="5396" max="5632" width="8.83203125" customWidth="1"/>
    <col min="5633" max="5633" width="12.6640625" customWidth="1"/>
    <col min="5634" max="5634" width="56.33203125" customWidth="1"/>
    <col min="5635" max="5635" width="10.5" customWidth="1"/>
    <col min="5636" max="5636" width="169.5" customWidth="1"/>
    <col min="5637" max="5637" width="255" customWidth="1"/>
    <col min="5638" max="5638" width="227.6640625" customWidth="1"/>
    <col min="5639" max="5639" width="179" customWidth="1"/>
    <col min="5640" max="5640" width="225.6640625" customWidth="1"/>
    <col min="5641" max="5641" width="33.33203125" customWidth="1"/>
    <col min="5642" max="5642" width="63.6640625" customWidth="1"/>
    <col min="5643" max="5643" width="32.33203125" customWidth="1"/>
    <col min="5644" max="5644" width="8.1640625" customWidth="1"/>
    <col min="5645" max="5645" width="16" customWidth="1"/>
    <col min="5646" max="5646" width="255" customWidth="1"/>
    <col min="5647" max="5647" width="95.83203125" customWidth="1"/>
    <col min="5648" max="5648" width="255" customWidth="1"/>
    <col min="5649" max="5649" width="24.5" customWidth="1"/>
    <col min="5650" max="5650" width="21" customWidth="1"/>
    <col min="5651" max="5651" width="61.5" customWidth="1"/>
    <col min="5652" max="5888" width="8.83203125" customWidth="1"/>
    <col min="5889" max="5889" width="12.6640625" customWidth="1"/>
    <col min="5890" max="5890" width="56.33203125" customWidth="1"/>
    <col min="5891" max="5891" width="10.5" customWidth="1"/>
    <col min="5892" max="5892" width="169.5" customWidth="1"/>
    <col min="5893" max="5893" width="255" customWidth="1"/>
    <col min="5894" max="5894" width="227.6640625" customWidth="1"/>
    <col min="5895" max="5895" width="179" customWidth="1"/>
    <col min="5896" max="5896" width="225.6640625" customWidth="1"/>
    <col min="5897" max="5897" width="33.33203125" customWidth="1"/>
    <col min="5898" max="5898" width="63.6640625" customWidth="1"/>
    <col min="5899" max="5899" width="32.33203125" customWidth="1"/>
    <col min="5900" max="5900" width="8.1640625" customWidth="1"/>
    <col min="5901" max="5901" width="16" customWidth="1"/>
    <col min="5902" max="5902" width="255" customWidth="1"/>
    <col min="5903" max="5903" width="95.83203125" customWidth="1"/>
    <col min="5904" max="5904" width="255" customWidth="1"/>
    <col min="5905" max="5905" width="24.5" customWidth="1"/>
    <col min="5906" max="5906" width="21" customWidth="1"/>
    <col min="5907" max="5907" width="61.5" customWidth="1"/>
    <col min="5908" max="6144" width="8.83203125" customWidth="1"/>
    <col min="6145" max="6145" width="12.6640625" customWidth="1"/>
    <col min="6146" max="6146" width="56.33203125" customWidth="1"/>
    <col min="6147" max="6147" width="10.5" customWidth="1"/>
    <col min="6148" max="6148" width="169.5" customWidth="1"/>
    <col min="6149" max="6149" width="255" customWidth="1"/>
    <col min="6150" max="6150" width="227.6640625" customWidth="1"/>
    <col min="6151" max="6151" width="179" customWidth="1"/>
    <col min="6152" max="6152" width="225.6640625" customWidth="1"/>
    <col min="6153" max="6153" width="33.33203125" customWidth="1"/>
    <col min="6154" max="6154" width="63.6640625" customWidth="1"/>
    <col min="6155" max="6155" width="32.33203125" customWidth="1"/>
    <col min="6156" max="6156" width="8.1640625" customWidth="1"/>
    <col min="6157" max="6157" width="16" customWidth="1"/>
    <col min="6158" max="6158" width="255" customWidth="1"/>
    <col min="6159" max="6159" width="95.83203125" customWidth="1"/>
    <col min="6160" max="6160" width="255" customWidth="1"/>
    <col min="6161" max="6161" width="24.5" customWidth="1"/>
    <col min="6162" max="6162" width="21" customWidth="1"/>
    <col min="6163" max="6163" width="61.5" customWidth="1"/>
    <col min="6164" max="6400" width="8.83203125" customWidth="1"/>
    <col min="6401" max="6401" width="12.6640625" customWidth="1"/>
    <col min="6402" max="6402" width="56.33203125" customWidth="1"/>
    <col min="6403" max="6403" width="10.5" customWidth="1"/>
    <col min="6404" max="6404" width="169.5" customWidth="1"/>
    <col min="6405" max="6405" width="255" customWidth="1"/>
    <col min="6406" max="6406" width="227.6640625" customWidth="1"/>
    <col min="6407" max="6407" width="179" customWidth="1"/>
    <col min="6408" max="6408" width="225.6640625" customWidth="1"/>
    <col min="6409" max="6409" width="33.33203125" customWidth="1"/>
    <col min="6410" max="6410" width="63.6640625" customWidth="1"/>
    <col min="6411" max="6411" width="32.33203125" customWidth="1"/>
    <col min="6412" max="6412" width="8.1640625" customWidth="1"/>
    <col min="6413" max="6413" width="16" customWidth="1"/>
    <col min="6414" max="6414" width="255" customWidth="1"/>
    <col min="6415" max="6415" width="95.83203125" customWidth="1"/>
    <col min="6416" max="6416" width="255" customWidth="1"/>
    <col min="6417" max="6417" width="24.5" customWidth="1"/>
    <col min="6418" max="6418" width="21" customWidth="1"/>
    <col min="6419" max="6419" width="61.5" customWidth="1"/>
    <col min="6420" max="6656" width="8.83203125" customWidth="1"/>
    <col min="6657" max="6657" width="12.6640625" customWidth="1"/>
    <col min="6658" max="6658" width="56.33203125" customWidth="1"/>
    <col min="6659" max="6659" width="10.5" customWidth="1"/>
    <col min="6660" max="6660" width="169.5" customWidth="1"/>
    <col min="6661" max="6661" width="255" customWidth="1"/>
    <col min="6662" max="6662" width="227.6640625" customWidth="1"/>
    <col min="6663" max="6663" width="179" customWidth="1"/>
    <col min="6664" max="6664" width="225.6640625" customWidth="1"/>
    <col min="6665" max="6665" width="33.33203125" customWidth="1"/>
    <col min="6666" max="6666" width="63.6640625" customWidth="1"/>
    <col min="6667" max="6667" width="32.33203125" customWidth="1"/>
    <col min="6668" max="6668" width="8.1640625" customWidth="1"/>
    <col min="6669" max="6669" width="16" customWidth="1"/>
    <col min="6670" max="6670" width="255" customWidth="1"/>
    <col min="6671" max="6671" width="95.83203125" customWidth="1"/>
    <col min="6672" max="6672" width="255" customWidth="1"/>
    <col min="6673" max="6673" width="24.5" customWidth="1"/>
    <col min="6674" max="6674" width="21" customWidth="1"/>
    <col min="6675" max="6675" width="61.5" customWidth="1"/>
    <col min="6676" max="6912" width="8.83203125" customWidth="1"/>
    <col min="6913" max="6913" width="12.6640625" customWidth="1"/>
    <col min="6914" max="6914" width="56.33203125" customWidth="1"/>
    <col min="6915" max="6915" width="10.5" customWidth="1"/>
    <col min="6916" max="6916" width="169.5" customWidth="1"/>
    <col min="6917" max="6917" width="255" customWidth="1"/>
    <col min="6918" max="6918" width="227.6640625" customWidth="1"/>
    <col min="6919" max="6919" width="179" customWidth="1"/>
    <col min="6920" max="6920" width="225.6640625" customWidth="1"/>
    <col min="6921" max="6921" width="33.33203125" customWidth="1"/>
    <col min="6922" max="6922" width="63.6640625" customWidth="1"/>
    <col min="6923" max="6923" width="32.33203125" customWidth="1"/>
    <col min="6924" max="6924" width="8.1640625" customWidth="1"/>
    <col min="6925" max="6925" width="16" customWidth="1"/>
    <col min="6926" max="6926" width="255" customWidth="1"/>
    <col min="6927" max="6927" width="95.83203125" customWidth="1"/>
    <col min="6928" max="6928" width="255" customWidth="1"/>
    <col min="6929" max="6929" width="24.5" customWidth="1"/>
    <col min="6930" max="6930" width="21" customWidth="1"/>
    <col min="6931" max="6931" width="61.5" customWidth="1"/>
    <col min="6932" max="7168" width="8.83203125" customWidth="1"/>
    <col min="7169" max="7169" width="12.6640625" customWidth="1"/>
    <col min="7170" max="7170" width="56.33203125" customWidth="1"/>
    <col min="7171" max="7171" width="10.5" customWidth="1"/>
    <col min="7172" max="7172" width="169.5" customWidth="1"/>
    <col min="7173" max="7173" width="255" customWidth="1"/>
    <col min="7174" max="7174" width="227.6640625" customWidth="1"/>
    <col min="7175" max="7175" width="179" customWidth="1"/>
    <col min="7176" max="7176" width="225.6640625" customWidth="1"/>
    <col min="7177" max="7177" width="33.33203125" customWidth="1"/>
    <col min="7178" max="7178" width="63.6640625" customWidth="1"/>
    <col min="7179" max="7179" width="32.33203125" customWidth="1"/>
    <col min="7180" max="7180" width="8.1640625" customWidth="1"/>
    <col min="7181" max="7181" width="16" customWidth="1"/>
    <col min="7182" max="7182" width="255" customWidth="1"/>
    <col min="7183" max="7183" width="95.83203125" customWidth="1"/>
    <col min="7184" max="7184" width="255" customWidth="1"/>
    <col min="7185" max="7185" width="24.5" customWidth="1"/>
    <col min="7186" max="7186" width="21" customWidth="1"/>
    <col min="7187" max="7187" width="61.5" customWidth="1"/>
    <col min="7188" max="7424" width="8.83203125" customWidth="1"/>
    <col min="7425" max="7425" width="12.6640625" customWidth="1"/>
    <col min="7426" max="7426" width="56.33203125" customWidth="1"/>
    <col min="7427" max="7427" width="10.5" customWidth="1"/>
    <col min="7428" max="7428" width="169.5" customWidth="1"/>
    <col min="7429" max="7429" width="255" customWidth="1"/>
    <col min="7430" max="7430" width="227.6640625" customWidth="1"/>
    <col min="7431" max="7431" width="179" customWidth="1"/>
    <col min="7432" max="7432" width="225.6640625" customWidth="1"/>
    <col min="7433" max="7433" width="33.33203125" customWidth="1"/>
    <col min="7434" max="7434" width="63.6640625" customWidth="1"/>
    <col min="7435" max="7435" width="32.33203125" customWidth="1"/>
    <col min="7436" max="7436" width="8.1640625" customWidth="1"/>
    <col min="7437" max="7437" width="16" customWidth="1"/>
    <col min="7438" max="7438" width="255" customWidth="1"/>
    <col min="7439" max="7439" width="95.83203125" customWidth="1"/>
    <col min="7440" max="7440" width="255" customWidth="1"/>
    <col min="7441" max="7441" width="24.5" customWidth="1"/>
    <col min="7442" max="7442" width="21" customWidth="1"/>
    <col min="7443" max="7443" width="61.5" customWidth="1"/>
    <col min="7444" max="7680" width="8.83203125" customWidth="1"/>
    <col min="7681" max="7681" width="12.6640625" customWidth="1"/>
    <col min="7682" max="7682" width="56.33203125" customWidth="1"/>
    <col min="7683" max="7683" width="10.5" customWidth="1"/>
    <col min="7684" max="7684" width="169.5" customWidth="1"/>
    <col min="7685" max="7685" width="255" customWidth="1"/>
    <col min="7686" max="7686" width="227.6640625" customWidth="1"/>
    <col min="7687" max="7687" width="179" customWidth="1"/>
    <col min="7688" max="7688" width="225.6640625" customWidth="1"/>
    <col min="7689" max="7689" width="33.33203125" customWidth="1"/>
    <col min="7690" max="7690" width="63.6640625" customWidth="1"/>
    <col min="7691" max="7691" width="32.33203125" customWidth="1"/>
    <col min="7692" max="7692" width="8.1640625" customWidth="1"/>
    <col min="7693" max="7693" width="16" customWidth="1"/>
    <col min="7694" max="7694" width="255" customWidth="1"/>
    <col min="7695" max="7695" width="95.83203125" customWidth="1"/>
    <col min="7696" max="7696" width="255" customWidth="1"/>
    <col min="7697" max="7697" width="24.5" customWidth="1"/>
    <col min="7698" max="7698" width="21" customWidth="1"/>
    <col min="7699" max="7699" width="61.5" customWidth="1"/>
    <col min="7700" max="7936" width="8.83203125" customWidth="1"/>
    <col min="7937" max="7937" width="12.6640625" customWidth="1"/>
    <col min="7938" max="7938" width="56.33203125" customWidth="1"/>
    <col min="7939" max="7939" width="10.5" customWidth="1"/>
    <col min="7940" max="7940" width="169.5" customWidth="1"/>
    <col min="7941" max="7941" width="255" customWidth="1"/>
    <col min="7942" max="7942" width="227.6640625" customWidth="1"/>
    <col min="7943" max="7943" width="179" customWidth="1"/>
    <col min="7944" max="7944" width="225.6640625" customWidth="1"/>
    <col min="7945" max="7945" width="33.33203125" customWidth="1"/>
    <col min="7946" max="7946" width="63.6640625" customWidth="1"/>
    <col min="7947" max="7947" width="32.33203125" customWidth="1"/>
    <col min="7948" max="7948" width="8.1640625" customWidth="1"/>
    <col min="7949" max="7949" width="16" customWidth="1"/>
    <col min="7950" max="7950" width="255" customWidth="1"/>
    <col min="7951" max="7951" width="95.83203125" customWidth="1"/>
    <col min="7952" max="7952" width="255" customWidth="1"/>
    <col min="7953" max="7953" width="24.5" customWidth="1"/>
    <col min="7954" max="7954" width="21" customWidth="1"/>
    <col min="7955" max="7955" width="61.5" customWidth="1"/>
    <col min="7956" max="8192" width="8.83203125" customWidth="1"/>
    <col min="8193" max="8193" width="12.6640625" customWidth="1"/>
    <col min="8194" max="8194" width="56.33203125" customWidth="1"/>
    <col min="8195" max="8195" width="10.5" customWidth="1"/>
    <col min="8196" max="8196" width="169.5" customWidth="1"/>
    <col min="8197" max="8197" width="255" customWidth="1"/>
    <col min="8198" max="8198" width="227.6640625" customWidth="1"/>
    <col min="8199" max="8199" width="179" customWidth="1"/>
    <col min="8200" max="8200" width="225.6640625" customWidth="1"/>
    <col min="8201" max="8201" width="33.33203125" customWidth="1"/>
    <col min="8202" max="8202" width="63.6640625" customWidth="1"/>
    <col min="8203" max="8203" width="32.33203125" customWidth="1"/>
    <col min="8204" max="8204" width="8.1640625" customWidth="1"/>
    <col min="8205" max="8205" width="16" customWidth="1"/>
    <col min="8206" max="8206" width="255" customWidth="1"/>
    <col min="8207" max="8207" width="95.83203125" customWidth="1"/>
    <col min="8208" max="8208" width="255" customWidth="1"/>
    <col min="8209" max="8209" width="24.5" customWidth="1"/>
    <col min="8210" max="8210" width="21" customWidth="1"/>
    <col min="8211" max="8211" width="61.5" customWidth="1"/>
    <col min="8212" max="8448" width="8.83203125" customWidth="1"/>
    <col min="8449" max="8449" width="12.6640625" customWidth="1"/>
    <col min="8450" max="8450" width="56.33203125" customWidth="1"/>
    <col min="8451" max="8451" width="10.5" customWidth="1"/>
    <col min="8452" max="8452" width="169.5" customWidth="1"/>
    <col min="8453" max="8453" width="255" customWidth="1"/>
    <col min="8454" max="8454" width="227.6640625" customWidth="1"/>
    <col min="8455" max="8455" width="179" customWidth="1"/>
    <col min="8456" max="8456" width="225.6640625" customWidth="1"/>
    <col min="8457" max="8457" width="33.33203125" customWidth="1"/>
    <col min="8458" max="8458" width="63.6640625" customWidth="1"/>
    <col min="8459" max="8459" width="32.33203125" customWidth="1"/>
    <col min="8460" max="8460" width="8.1640625" customWidth="1"/>
    <col min="8461" max="8461" width="16" customWidth="1"/>
    <col min="8462" max="8462" width="255" customWidth="1"/>
    <col min="8463" max="8463" width="95.83203125" customWidth="1"/>
    <col min="8464" max="8464" width="255" customWidth="1"/>
    <col min="8465" max="8465" width="24.5" customWidth="1"/>
    <col min="8466" max="8466" width="21" customWidth="1"/>
    <col min="8467" max="8467" width="61.5" customWidth="1"/>
    <col min="8468" max="8704" width="8.83203125" customWidth="1"/>
    <col min="8705" max="8705" width="12.6640625" customWidth="1"/>
    <col min="8706" max="8706" width="56.33203125" customWidth="1"/>
    <col min="8707" max="8707" width="10.5" customWidth="1"/>
    <col min="8708" max="8708" width="169.5" customWidth="1"/>
    <col min="8709" max="8709" width="255" customWidth="1"/>
    <col min="8710" max="8710" width="227.6640625" customWidth="1"/>
    <col min="8711" max="8711" width="179" customWidth="1"/>
    <col min="8712" max="8712" width="225.6640625" customWidth="1"/>
    <col min="8713" max="8713" width="33.33203125" customWidth="1"/>
    <col min="8714" max="8714" width="63.6640625" customWidth="1"/>
    <col min="8715" max="8715" width="32.33203125" customWidth="1"/>
    <col min="8716" max="8716" width="8.1640625" customWidth="1"/>
    <col min="8717" max="8717" width="16" customWidth="1"/>
    <col min="8718" max="8718" width="255" customWidth="1"/>
    <col min="8719" max="8719" width="95.83203125" customWidth="1"/>
    <col min="8720" max="8720" width="255" customWidth="1"/>
    <col min="8721" max="8721" width="24.5" customWidth="1"/>
    <col min="8722" max="8722" width="21" customWidth="1"/>
    <col min="8723" max="8723" width="61.5" customWidth="1"/>
    <col min="8724" max="8960" width="8.83203125" customWidth="1"/>
    <col min="8961" max="8961" width="12.6640625" customWidth="1"/>
    <col min="8962" max="8962" width="56.33203125" customWidth="1"/>
    <col min="8963" max="8963" width="10.5" customWidth="1"/>
    <col min="8964" max="8964" width="169.5" customWidth="1"/>
    <col min="8965" max="8965" width="255" customWidth="1"/>
    <col min="8966" max="8966" width="227.6640625" customWidth="1"/>
    <col min="8967" max="8967" width="179" customWidth="1"/>
    <col min="8968" max="8968" width="225.6640625" customWidth="1"/>
    <col min="8969" max="8969" width="33.33203125" customWidth="1"/>
    <col min="8970" max="8970" width="63.6640625" customWidth="1"/>
    <col min="8971" max="8971" width="32.33203125" customWidth="1"/>
    <col min="8972" max="8972" width="8.1640625" customWidth="1"/>
    <col min="8973" max="8973" width="16" customWidth="1"/>
    <col min="8974" max="8974" width="255" customWidth="1"/>
    <col min="8975" max="8975" width="95.83203125" customWidth="1"/>
    <col min="8976" max="8976" width="255" customWidth="1"/>
    <col min="8977" max="8977" width="24.5" customWidth="1"/>
    <col min="8978" max="8978" width="21" customWidth="1"/>
    <col min="8979" max="8979" width="61.5" customWidth="1"/>
    <col min="8980" max="9216" width="8.83203125" customWidth="1"/>
    <col min="9217" max="9217" width="12.6640625" customWidth="1"/>
    <col min="9218" max="9218" width="56.33203125" customWidth="1"/>
    <col min="9219" max="9219" width="10.5" customWidth="1"/>
    <col min="9220" max="9220" width="169.5" customWidth="1"/>
    <col min="9221" max="9221" width="255" customWidth="1"/>
    <col min="9222" max="9222" width="227.6640625" customWidth="1"/>
    <col min="9223" max="9223" width="179" customWidth="1"/>
    <col min="9224" max="9224" width="225.6640625" customWidth="1"/>
    <col min="9225" max="9225" width="33.33203125" customWidth="1"/>
    <col min="9226" max="9226" width="63.6640625" customWidth="1"/>
    <col min="9227" max="9227" width="32.33203125" customWidth="1"/>
    <col min="9228" max="9228" width="8.1640625" customWidth="1"/>
    <col min="9229" max="9229" width="16" customWidth="1"/>
    <col min="9230" max="9230" width="255" customWidth="1"/>
    <col min="9231" max="9231" width="95.83203125" customWidth="1"/>
    <col min="9232" max="9232" width="255" customWidth="1"/>
    <col min="9233" max="9233" width="24.5" customWidth="1"/>
    <col min="9234" max="9234" width="21" customWidth="1"/>
    <col min="9235" max="9235" width="61.5" customWidth="1"/>
    <col min="9236" max="9472" width="8.83203125" customWidth="1"/>
    <col min="9473" max="9473" width="12.6640625" customWidth="1"/>
    <col min="9474" max="9474" width="56.33203125" customWidth="1"/>
    <col min="9475" max="9475" width="10.5" customWidth="1"/>
    <col min="9476" max="9476" width="169.5" customWidth="1"/>
    <col min="9477" max="9477" width="255" customWidth="1"/>
    <col min="9478" max="9478" width="227.6640625" customWidth="1"/>
    <col min="9479" max="9479" width="179" customWidth="1"/>
    <col min="9480" max="9480" width="225.6640625" customWidth="1"/>
    <col min="9481" max="9481" width="33.33203125" customWidth="1"/>
    <col min="9482" max="9482" width="63.6640625" customWidth="1"/>
    <col min="9483" max="9483" width="32.33203125" customWidth="1"/>
    <col min="9484" max="9484" width="8.1640625" customWidth="1"/>
    <col min="9485" max="9485" width="16" customWidth="1"/>
    <col min="9486" max="9486" width="255" customWidth="1"/>
    <col min="9487" max="9487" width="95.83203125" customWidth="1"/>
    <col min="9488" max="9488" width="255" customWidth="1"/>
    <col min="9489" max="9489" width="24.5" customWidth="1"/>
    <col min="9490" max="9490" width="21" customWidth="1"/>
    <col min="9491" max="9491" width="61.5" customWidth="1"/>
    <col min="9492" max="9728" width="8.83203125" customWidth="1"/>
    <col min="9729" max="9729" width="12.6640625" customWidth="1"/>
    <col min="9730" max="9730" width="56.33203125" customWidth="1"/>
    <col min="9731" max="9731" width="10.5" customWidth="1"/>
    <col min="9732" max="9732" width="169.5" customWidth="1"/>
    <col min="9733" max="9733" width="255" customWidth="1"/>
    <col min="9734" max="9734" width="227.6640625" customWidth="1"/>
    <col min="9735" max="9735" width="179" customWidth="1"/>
    <col min="9736" max="9736" width="225.6640625" customWidth="1"/>
    <col min="9737" max="9737" width="33.33203125" customWidth="1"/>
    <col min="9738" max="9738" width="63.6640625" customWidth="1"/>
    <col min="9739" max="9739" width="32.33203125" customWidth="1"/>
    <col min="9740" max="9740" width="8.1640625" customWidth="1"/>
    <col min="9741" max="9741" width="16" customWidth="1"/>
    <col min="9742" max="9742" width="255" customWidth="1"/>
    <col min="9743" max="9743" width="95.83203125" customWidth="1"/>
    <col min="9744" max="9744" width="255" customWidth="1"/>
    <col min="9745" max="9745" width="24.5" customWidth="1"/>
    <col min="9746" max="9746" width="21" customWidth="1"/>
    <col min="9747" max="9747" width="61.5" customWidth="1"/>
    <col min="9748" max="9984" width="8.83203125" customWidth="1"/>
    <col min="9985" max="9985" width="12.6640625" customWidth="1"/>
    <col min="9986" max="9986" width="56.33203125" customWidth="1"/>
    <col min="9987" max="9987" width="10.5" customWidth="1"/>
    <col min="9988" max="9988" width="169.5" customWidth="1"/>
    <col min="9989" max="9989" width="255" customWidth="1"/>
    <col min="9990" max="9990" width="227.6640625" customWidth="1"/>
    <col min="9991" max="9991" width="179" customWidth="1"/>
    <col min="9992" max="9992" width="225.6640625" customWidth="1"/>
    <col min="9993" max="9993" width="33.33203125" customWidth="1"/>
    <col min="9994" max="9994" width="63.6640625" customWidth="1"/>
    <col min="9995" max="9995" width="32.33203125" customWidth="1"/>
    <col min="9996" max="9996" width="8.1640625" customWidth="1"/>
    <col min="9997" max="9997" width="16" customWidth="1"/>
    <col min="9998" max="9998" width="255" customWidth="1"/>
    <col min="9999" max="9999" width="95.83203125" customWidth="1"/>
    <col min="10000" max="10000" width="255" customWidth="1"/>
    <col min="10001" max="10001" width="24.5" customWidth="1"/>
    <col min="10002" max="10002" width="21" customWidth="1"/>
    <col min="10003" max="10003" width="61.5" customWidth="1"/>
    <col min="10004" max="10240" width="8.83203125" customWidth="1"/>
    <col min="10241" max="10241" width="12.6640625" customWidth="1"/>
    <col min="10242" max="10242" width="56.33203125" customWidth="1"/>
    <col min="10243" max="10243" width="10.5" customWidth="1"/>
    <col min="10244" max="10244" width="169.5" customWidth="1"/>
    <col min="10245" max="10245" width="255" customWidth="1"/>
    <col min="10246" max="10246" width="227.6640625" customWidth="1"/>
    <col min="10247" max="10247" width="179" customWidth="1"/>
    <col min="10248" max="10248" width="225.6640625" customWidth="1"/>
    <col min="10249" max="10249" width="33.33203125" customWidth="1"/>
    <col min="10250" max="10250" width="63.6640625" customWidth="1"/>
    <col min="10251" max="10251" width="32.33203125" customWidth="1"/>
    <col min="10252" max="10252" width="8.1640625" customWidth="1"/>
    <col min="10253" max="10253" width="16" customWidth="1"/>
    <col min="10254" max="10254" width="255" customWidth="1"/>
    <col min="10255" max="10255" width="95.83203125" customWidth="1"/>
    <col min="10256" max="10256" width="255" customWidth="1"/>
    <col min="10257" max="10257" width="24.5" customWidth="1"/>
    <col min="10258" max="10258" width="21" customWidth="1"/>
    <col min="10259" max="10259" width="61.5" customWidth="1"/>
    <col min="10260" max="10496" width="8.83203125" customWidth="1"/>
    <col min="10497" max="10497" width="12.6640625" customWidth="1"/>
    <col min="10498" max="10498" width="56.33203125" customWidth="1"/>
    <col min="10499" max="10499" width="10.5" customWidth="1"/>
    <col min="10500" max="10500" width="169.5" customWidth="1"/>
    <col min="10501" max="10501" width="255" customWidth="1"/>
    <col min="10502" max="10502" width="227.6640625" customWidth="1"/>
    <col min="10503" max="10503" width="179" customWidth="1"/>
    <col min="10504" max="10504" width="225.6640625" customWidth="1"/>
    <col min="10505" max="10505" width="33.33203125" customWidth="1"/>
    <col min="10506" max="10506" width="63.6640625" customWidth="1"/>
    <col min="10507" max="10507" width="32.33203125" customWidth="1"/>
    <col min="10508" max="10508" width="8.1640625" customWidth="1"/>
    <col min="10509" max="10509" width="16" customWidth="1"/>
    <col min="10510" max="10510" width="255" customWidth="1"/>
    <col min="10511" max="10511" width="95.83203125" customWidth="1"/>
    <col min="10512" max="10512" width="255" customWidth="1"/>
    <col min="10513" max="10513" width="24.5" customWidth="1"/>
    <col min="10514" max="10514" width="21" customWidth="1"/>
    <col min="10515" max="10515" width="61.5" customWidth="1"/>
    <col min="10516" max="10752" width="8.83203125" customWidth="1"/>
    <col min="10753" max="10753" width="12.6640625" customWidth="1"/>
    <col min="10754" max="10754" width="56.33203125" customWidth="1"/>
    <col min="10755" max="10755" width="10.5" customWidth="1"/>
    <col min="10756" max="10756" width="169.5" customWidth="1"/>
    <col min="10757" max="10757" width="255" customWidth="1"/>
    <col min="10758" max="10758" width="227.6640625" customWidth="1"/>
    <col min="10759" max="10759" width="179" customWidth="1"/>
    <col min="10760" max="10760" width="225.6640625" customWidth="1"/>
    <col min="10761" max="10761" width="33.33203125" customWidth="1"/>
    <col min="10762" max="10762" width="63.6640625" customWidth="1"/>
    <col min="10763" max="10763" width="32.33203125" customWidth="1"/>
    <col min="10764" max="10764" width="8.1640625" customWidth="1"/>
    <col min="10765" max="10765" width="16" customWidth="1"/>
    <col min="10766" max="10766" width="255" customWidth="1"/>
    <col min="10767" max="10767" width="95.83203125" customWidth="1"/>
    <col min="10768" max="10768" width="255" customWidth="1"/>
    <col min="10769" max="10769" width="24.5" customWidth="1"/>
    <col min="10770" max="10770" width="21" customWidth="1"/>
    <col min="10771" max="10771" width="61.5" customWidth="1"/>
    <col min="10772" max="11008" width="8.83203125" customWidth="1"/>
    <col min="11009" max="11009" width="12.6640625" customWidth="1"/>
    <col min="11010" max="11010" width="56.33203125" customWidth="1"/>
    <col min="11011" max="11011" width="10.5" customWidth="1"/>
    <col min="11012" max="11012" width="169.5" customWidth="1"/>
    <col min="11013" max="11013" width="255" customWidth="1"/>
    <col min="11014" max="11014" width="227.6640625" customWidth="1"/>
    <col min="11015" max="11015" width="179" customWidth="1"/>
    <col min="11016" max="11016" width="225.6640625" customWidth="1"/>
    <col min="11017" max="11017" width="33.33203125" customWidth="1"/>
    <col min="11018" max="11018" width="63.6640625" customWidth="1"/>
    <col min="11019" max="11019" width="32.33203125" customWidth="1"/>
    <col min="11020" max="11020" width="8.1640625" customWidth="1"/>
    <col min="11021" max="11021" width="16" customWidth="1"/>
    <col min="11022" max="11022" width="255" customWidth="1"/>
    <col min="11023" max="11023" width="95.83203125" customWidth="1"/>
    <col min="11024" max="11024" width="255" customWidth="1"/>
    <col min="11025" max="11025" width="24.5" customWidth="1"/>
    <col min="11026" max="11026" width="21" customWidth="1"/>
    <col min="11027" max="11027" width="61.5" customWidth="1"/>
    <col min="11028" max="11264" width="8.83203125" customWidth="1"/>
    <col min="11265" max="11265" width="12.6640625" customWidth="1"/>
    <col min="11266" max="11266" width="56.33203125" customWidth="1"/>
    <col min="11267" max="11267" width="10.5" customWidth="1"/>
    <col min="11268" max="11268" width="169.5" customWidth="1"/>
    <col min="11269" max="11269" width="255" customWidth="1"/>
    <col min="11270" max="11270" width="227.6640625" customWidth="1"/>
    <col min="11271" max="11271" width="179" customWidth="1"/>
    <col min="11272" max="11272" width="225.6640625" customWidth="1"/>
    <col min="11273" max="11273" width="33.33203125" customWidth="1"/>
    <col min="11274" max="11274" width="63.6640625" customWidth="1"/>
    <col min="11275" max="11275" width="32.33203125" customWidth="1"/>
    <col min="11276" max="11276" width="8.1640625" customWidth="1"/>
    <col min="11277" max="11277" width="16" customWidth="1"/>
    <col min="11278" max="11278" width="255" customWidth="1"/>
    <col min="11279" max="11279" width="95.83203125" customWidth="1"/>
    <col min="11280" max="11280" width="255" customWidth="1"/>
    <col min="11281" max="11281" width="24.5" customWidth="1"/>
    <col min="11282" max="11282" width="21" customWidth="1"/>
    <col min="11283" max="11283" width="61.5" customWidth="1"/>
    <col min="11284" max="11520" width="8.83203125" customWidth="1"/>
    <col min="11521" max="11521" width="12.6640625" customWidth="1"/>
    <col min="11522" max="11522" width="56.33203125" customWidth="1"/>
    <col min="11523" max="11523" width="10.5" customWidth="1"/>
    <col min="11524" max="11524" width="169.5" customWidth="1"/>
    <col min="11525" max="11525" width="255" customWidth="1"/>
    <col min="11526" max="11526" width="227.6640625" customWidth="1"/>
    <col min="11527" max="11527" width="179" customWidth="1"/>
    <col min="11528" max="11528" width="225.6640625" customWidth="1"/>
    <col min="11529" max="11529" width="33.33203125" customWidth="1"/>
    <col min="11530" max="11530" width="63.6640625" customWidth="1"/>
    <col min="11531" max="11531" width="32.33203125" customWidth="1"/>
    <col min="11532" max="11532" width="8.1640625" customWidth="1"/>
    <col min="11533" max="11533" width="16" customWidth="1"/>
    <col min="11534" max="11534" width="255" customWidth="1"/>
    <col min="11535" max="11535" width="95.83203125" customWidth="1"/>
    <col min="11536" max="11536" width="255" customWidth="1"/>
    <col min="11537" max="11537" width="24.5" customWidth="1"/>
    <col min="11538" max="11538" width="21" customWidth="1"/>
    <col min="11539" max="11539" width="61.5" customWidth="1"/>
    <col min="11540" max="11776" width="8.83203125" customWidth="1"/>
    <col min="11777" max="11777" width="12.6640625" customWidth="1"/>
    <col min="11778" max="11778" width="56.33203125" customWidth="1"/>
    <col min="11779" max="11779" width="10.5" customWidth="1"/>
    <col min="11780" max="11780" width="169.5" customWidth="1"/>
    <col min="11781" max="11781" width="255" customWidth="1"/>
    <col min="11782" max="11782" width="227.6640625" customWidth="1"/>
    <col min="11783" max="11783" width="179" customWidth="1"/>
    <col min="11784" max="11784" width="225.6640625" customWidth="1"/>
    <col min="11785" max="11785" width="33.33203125" customWidth="1"/>
    <col min="11786" max="11786" width="63.6640625" customWidth="1"/>
    <col min="11787" max="11787" width="32.33203125" customWidth="1"/>
    <col min="11788" max="11788" width="8.1640625" customWidth="1"/>
    <col min="11789" max="11789" width="16" customWidth="1"/>
    <col min="11790" max="11790" width="255" customWidth="1"/>
    <col min="11791" max="11791" width="95.83203125" customWidth="1"/>
    <col min="11792" max="11792" width="255" customWidth="1"/>
    <col min="11793" max="11793" width="24.5" customWidth="1"/>
    <col min="11794" max="11794" width="21" customWidth="1"/>
    <col min="11795" max="11795" width="61.5" customWidth="1"/>
    <col min="11796" max="12032" width="8.83203125" customWidth="1"/>
    <col min="12033" max="12033" width="12.6640625" customWidth="1"/>
    <col min="12034" max="12034" width="56.33203125" customWidth="1"/>
    <col min="12035" max="12035" width="10.5" customWidth="1"/>
    <col min="12036" max="12036" width="169.5" customWidth="1"/>
    <col min="12037" max="12037" width="255" customWidth="1"/>
    <col min="12038" max="12038" width="227.6640625" customWidth="1"/>
    <col min="12039" max="12039" width="179" customWidth="1"/>
    <col min="12040" max="12040" width="225.6640625" customWidth="1"/>
    <col min="12041" max="12041" width="33.33203125" customWidth="1"/>
    <col min="12042" max="12042" width="63.6640625" customWidth="1"/>
    <col min="12043" max="12043" width="32.33203125" customWidth="1"/>
    <col min="12044" max="12044" width="8.1640625" customWidth="1"/>
    <col min="12045" max="12045" width="16" customWidth="1"/>
    <col min="12046" max="12046" width="255" customWidth="1"/>
    <col min="12047" max="12047" width="95.83203125" customWidth="1"/>
    <col min="12048" max="12048" width="255" customWidth="1"/>
    <col min="12049" max="12049" width="24.5" customWidth="1"/>
    <col min="12050" max="12050" width="21" customWidth="1"/>
    <col min="12051" max="12051" width="61.5" customWidth="1"/>
    <col min="12052" max="12288" width="8.83203125" customWidth="1"/>
    <col min="12289" max="12289" width="12.6640625" customWidth="1"/>
    <col min="12290" max="12290" width="56.33203125" customWidth="1"/>
    <col min="12291" max="12291" width="10.5" customWidth="1"/>
    <col min="12292" max="12292" width="169.5" customWidth="1"/>
    <col min="12293" max="12293" width="255" customWidth="1"/>
    <col min="12294" max="12294" width="227.6640625" customWidth="1"/>
    <col min="12295" max="12295" width="179" customWidth="1"/>
    <col min="12296" max="12296" width="225.6640625" customWidth="1"/>
    <col min="12297" max="12297" width="33.33203125" customWidth="1"/>
    <col min="12298" max="12298" width="63.6640625" customWidth="1"/>
    <col min="12299" max="12299" width="32.33203125" customWidth="1"/>
    <col min="12300" max="12300" width="8.1640625" customWidth="1"/>
    <col min="12301" max="12301" width="16" customWidth="1"/>
    <col min="12302" max="12302" width="255" customWidth="1"/>
    <col min="12303" max="12303" width="95.83203125" customWidth="1"/>
    <col min="12304" max="12304" width="255" customWidth="1"/>
    <col min="12305" max="12305" width="24.5" customWidth="1"/>
    <col min="12306" max="12306" width="21" customWidth="1"/>
    <col min="12307" max="12307" width="61.5" customWidth="1"/>
    <col min="12308" max="12544" width="8.83203125" customWidth="1"/>
    <col min="12545" max="12545" width="12.6640625" customWidth="1"/>
    <col min="12546" max="12546" width="56.33203125" customWidth="1"/>
    <col min="12547" max="12547" width="10.5" customWidth="1"/>
    <col min="12548" max="12548" width="169.5" customWidth="1"/>
    <col min="12549" max="12549" width="255" customWidth="1"/>
    <col min="12550" max="12550" width="227.6640625" customWidth="1"/>
    <col min="12551" max="12551" width="179" customWidth="1"/>
    <col min="12552" max="12552" width="225.6640625" customWidth="1"/>
    <col min="12553" max="12553" width="33.33203125" customWidth="1"/>
    <col min="12554" max="12554" width="63.6640625" customWidth="1"/>
    <col min="12555" max="12555" width="32.33203125" customWidth="1"/>
    <col min="12556" max="12556" width="8.1640625" customWidth="1"/>
    <col min="12557" max="12557" width="16" customWidth="1"/>
    <col min="12558" max="12558" width="255" customWidth="1"/>
    <col min="12559" max="12559" width="95.83203125" customWidth="1"/>
    <col min="12560" max="12560" width="255" customWidth="1"/>
    <col min="12561" max="12561" width="24.5" customWidth="1"/>
    <col min="12562" max="12562" width="21" customWidth="1"/>
    <col min="12563" max="12563" width="61.5" customWidth="1"/>
    <col min="12564" max="12800" width="8.83203125" customWidth="1"/>
    <col min="12801" max="12801" width="12.6640625" customWidth="1"/>
    <col min="12802" max="12802" width="56.33203125" customWidth="1"/>
    <col min="12803" max="12803" width="10.5" customWidth="1"/>
    <col min="12804" max="12804" width="169.5" customWidth="1"/>
    <col min="12805" max="12805" width="255" customWidth="1"/>
    <col min="12806" max="12806" width="227.6640625" customWidth="1"/>
    <col min="12807" max="12807" width="179" customWidth="1"/>
    <col min="12808" max="12808" width="225.6640625" customWidth="1"/>
    <col min="12809" max="12809" width="33.33203125" customWidth="1"/>
    <col min="12810" max="12810" width="63.6640625" customWidth="1"/>
    <col min="12811" max="12811" width="32.33203125" customWidth="1"/>
    <col min="12812" max="12812" width="8.1640625" customWidth="1"/>
    <col min="12813" max="12813" width="16" customWidth="1"/>
    <col min="12814" max="12814" width="255" customWidth="1"/>
    <col min="12815" max="12815" width="95.83203125" customWidth="1"/>
    <col min="12816" max="12816" width="255" customWidth="1"/>
    <col min="12817" max="12817" width="24.5" customWidth="1"/>
    <col min="12818" max="12818" width="21" customWidth="1"/>
    <col min="12819" max="12819" width="61.5" customWidth="1"/>
    <col min="12820" max="13056" width="8.83203125" customWidth="1"/>
    <col min="13057" max="13057" width="12.6640625" customWidth="1"/>
    <col min="13058" max="13058" width="56.33203125" customWidth="1"/>
    <col min="13059" max="13059" width="10.5" customWidth="1"/>
    <col min="13060" max="13060" width="169.5" customWidth="1"/>
    <col min="13061" max="13061" width="255" customWidth="1"/>
    <col min="13062" max="13062" width="227.6640625" customWidth="1"/>
    <col min="13063" max="13063" width="179" customWidth="1"/>
    <col min="13064" max="13064" width="225.6640625" customWidth="1"/>
    <col min="13065" max="13065" width="33.33203125" customWidth="1"/>
    <col min="13066" max="13066" width="63.6640625" customWidth="1"/>
    <col min="13067" max="13067" width="32.33203125" customWidth="1"/>
    <col min="13068" max="13068" width="8.1640625" customWidth="1"/>
    <col min="13069" max="13069" width="16" customWidth="1"/>
    <col min="13070" max="13070" width="255" customWidth="1"/>
    <col min="13071" max="13071" width="95.83203125" customWidth="1"/>
    <col min="13072" max="13072" width="255" customWidth="1"/>
    <col min="13073" max="13073" width="24.5" customWidth="1"/>
    <col min="13074" max="13074" width="21" customWidth="1"/>
    <col min="13075" max="13075" width="61.5" customWidth="1"/>
    <col min="13076" max="13312" width="8.83203125" customWidth="1"/>
    <col min="13313" max="13313" width="12.6640625" customWidth="1"/>
    <col min="13314" max="13314" width="56.33203125" customWidth="1"/>
    <col min="13315" max="13315" width="10.5" customWidth="1"/>
    <col min="13316" max="13316" width="169.5" customWidth="1"/>
    <col min="13317" max="13317" width="255" customWidth="1"/>
    <col min="13318" max="13318" width="227.6640625" customWidth="1"/>
    <col min="13319" max="13319" width="179" customWidth="1"/>
    <col min="13320" max="13320" width="225.6640625" customWidth="1"/>
    <col min="13321" max="13321" width="33.33203125" customWidth="1"/>
    <col min="13322" max="13322" width="63.6640625" customWidth="1"/>
    <col min="13323" max="13323" width="32.33203125" customWidth="1"/>
    <col min="13324" max="13324" width="8.1640625" customWidth="1"/>
    <col min="13325" max="13325" width="16" customWidth="1"/>
    <col min="13326" max="13326" width="255" customWidth="1"/>
    <col min="13327" max="13327" width="95.83203125" customWidth="1"/>
    <col min="13328" max="13328" width="255" customWidth="1"/>
    <col min="13329" max="13329" width="24.5" customWidth="1"/>
    <col min="13330" max="13330" width="21" customWidth="1"/>
    <col min="13331" max="13331" width="61.5" customWidth="1"/>
    <col min="13332" max="13568" width="8.83203125" customWidth="1"/>
    <col min="13569" max="13569" width="12.6640625" customWidth="1"/>
    <col min="13570" max="13570" width="56.33203125" customWidth="1"/>
    <col min="13571" max="13571" width="10.5" customWidth="1"/>
    <col min="13572" max="13572" width="169.5" customWidth="1"/>
    <col min="13573" max="13573" width="255" customWidth="1"/>
    <col min="13574" max="13574" width="227.6640625" customWidth="1"/>
    <col min="13575" max="13575" width="179" customWidth="1"/>
    <col min="13576" max="13576" width="225.6640625" customWidth="1"/>
    <col min="13577" max="13577" width="33.33203125" customWidth="1"/>
    <col min="13578" max="13578" width="63.6640625" customWidth="1"/>
    <col min="13579" max="13579" width="32.33203125" customWidth="1"/>
    <col min="13580" max="13580" width="8.1640625" customWidth="1"/>
    <col min="13581" max="13581" width="16" customWidth="1"/>
    <col min="13582" max="13582" width="255" customWidth="1"/>
    <col min="13583" max="13583" width="95.83203125" customWidth="1"/>
    <col min="13584" max="13584" width="255" customWidth="1"/>
    <col min="13585" max="13585" width="24.5" customWidth="1"/>
    <col min="13586" max="13586" width="21" customWidth="1"/>
    <col min="13587" max="13587" width="61.5" customWidth="1"/>
    <col min="13588" max="13824" width="8.83203125" customWidth="1"/>
    <col min="13825" max="13825" width="12.6640625" customWidth="1"/>
    <col min="13826" max="13826" width="56.33203125" customWidth="1"/>
    <col min="13827" max="13827" width="10.5" customWidth="1"/>
    <col min="13828" max="13828" width="169.5" customWidth="1"/>
    <col min="13829" max="13829" width="255" customWidth="1"/>
    <col min="13830" max="13830" width="227.6640625" customWidth="1"/>
    <col min="13831" max="13831" width="179" customWidth="1"/>
    <col min="13832" max="13832" width="225.6640625" customWidth="1"/>
    <col min="13833" max="13833" width="33.33203125" customWidth="1"/>
    <col min="13834" max="13834" width="63.6640625" customWidth="1"/>
    <col min="13835" max="13835" width="32.33203125" customWidth="1"/>
    <col min="13836" max="13836" width="8.1640625" customWidth="1"/>
    <col min="13837" max="13837" width="16" customWidth="1"/>
    <col min="13838" max="13838" width="255" customWidth="1"/>
    <col min="13839" max="13839" width="95.83203125" customWidth="1"/>
    <col min="13840" max="13840" width="255" customWidth="1"/>
    <col min="13841" max="13841" width="24.5" customWidth="1"/>
    <col min="13842" max="13842" width="21" customWidth="1"/>
    <col min="13843" max="13843" width="61.5" customWidth="1"/>
    <col min="13844" max="14080" width="8.83203125" customWidth="1"/>
    <col min="14081" max="14081" width="12.6640625" customWidth="1"/>
    <col min="14082" max="14082" width="56.33203125" customWidth="1"/>
    <col min="14083" max="14083" width="10.5" customWidth="1"/>
    <col min="14084" max="14084" width="169.5" customWidth="1"/>
    <col min="14085" max="14085" width="255" customWidth="1"/>
    <col min="14086" max="14086" width="227.6640625" customWidth="1"/>
    <col min="14087" max="14087" width="179" customWidth="1"/>
    <col min="14088" max="14088" width="225.6640625" customWidth="1"/>
    <col min="14089" max="14089" width="33.33203125" customWidth="1"/>
    <col min="14090" max="14090" width="63.6640625" customWidth="1"/>
    <col min="14091" max="14091" width="32.33203125" customWidth="1"/>
    <col min="14092" max="14092" width="8.1640625" customWidth="1"/>
    <col min="14093" max="14093" width="16" customWidth="1"/>
    <col min="14094" max="14094" width="255" customWidth="1"/>
    <col min="14095" max="14095" width="95.83203125" customWidth="1"/>
    <col min="14096" max="14096" width="255" customWidth="1"/>
    <col min="14097" max="14097" width="24.5" customWidth="1"/>
    <col min="14098" max="14098" width="21" customWidth="1"/>
    <col min="14099" max="14099" width="61.5" customWidth="1"/>
    <col min="14100" max="14336" width="8.83203125" customWidth="1"/>
    <col min="14337" max="14337" width="12.6640625" customWidth="1"/>
    <col min="14338" max="14338" width="56.33203125" customWidth="1"/>
    <col min="14339" max="14339" width="10.5" customWidth="1"/>
    <col min="14340" max="14340" width="169.5" customWidth="1"/>
    <col min="14341" max="14341" width="255" customWidth="1"/>
    <col min="14342" max="14342" width="227.6640625" customWidth="1"/>
    <col min="14343" max="14343" width="179" customWidth="1"/>
    <col min="14344" max="14344" width="225.6640625" customWidth="1"/>
    <col min="14345" max="14345" width="33.33203125" customWidth="1"/>
    <col min="14346" max="14346" width="63.6640625" customWidth="1"/>
    <col min="14347" max="14347" width="32.33203125" customWidth="1"/>
    <col min="14348" max="14348" width="8.1640625" customWidth="1"/>
    <col min="14349" max="14349" width="16" customWidth="1"/>
    <col min="14350" max="14350" width="255" customWidth="1"/>
    <col min="14351" max="14351" width="95.83203125" customWidth="1"/>
    <col min="14352" max="14352" width="255" customWidth="1"/>
    <col min="14353" max="14353" width="24.5" customWidth="1"/>
    <col min="14354" max="14354" width="21" customWidth="1"/>
    <col min="14355" max="14355" width="61.5" customWidth="1"/>
    <col min="14356" max="14592" width="8.83203125" customWidth="1"/>
    <col min="14593" max="14593" width="12.6640625" customWidth="1"/>
    <col min="14594" max="14594" width="56.33203125" customWidth="1"/>
    <col min="14595" max="14595" width="10.5" customWidth="1"/>
    <col min="14596" max="14596" width="169.5" customWidth="1"/>
    <col min="14597" max="14597" width="255" customWidth="1"/>
    <col min="14598" max="14598" width="227.6640625" customWidth="1"/>
    <col min="14599" max="14599" width="179" customWidth="1"/>
    <col min="14600" max="14600" width="225.6640625" customWidth="1"/>
    <col min="14601" max="14601" width="33.33203125" customWidth="1"/>
    <col min="14602" max="14602" width="63.6640625" customWidth="1"/>
    <col min="14603" max="14603" width="32.33203125" customWidth="1"/>
    <col min="14604" max="14604" width="8.1640625" customWidth="1"/>
    <col min="14605" max="14605" width="16" customWidth="1"/>
    <col min="14606" max="14606" width="255" customWidth="1"/>
    <col min="14607" max="14607" width="95.83203125" customWidth="1"/>
    <col min="14608" max="14608" width="255" customWidth="1"/>
    <col min="14609" max="14609" width="24.5" customWidth="1"/>
    <col min="14610" max="14610" width="21" customWidth="1"/>
    <col min="14611" max="14611" width="61.5" customWidth="1"/>
    <col min="14612" max="14848" width="8.83203125" customWidth="1"/>
    <col min="14849" max="14849" width="12.6640625" customWidth="1"/>
    <col min="14850" max="14850" width="56.33203125" customWidth="1"/>
    <col min="14851" max="14851" width="10.5" customWidth="1"/>
    <col min="14852" max="14852" width="169.5" customWidth="1"/>
    <col min="14853" max="14853" width="255" customWidth="1"/>
    <col min="14854" max="14854" width="227.6640625" customWidth="1"/>
    <col min="14855" max="14855" width="179" customWidth="1"/>
    <col min="14856" max="14856" width="225.6640625" customWidth="1"/>
    <col min="14857" max="14857" width="33.33203125" customWidth="1"/>
    <col min="14858" max="14858" width="63.6640625" customWidth="1"/>
    <col min="14859" max="14859" width="32.33203125" customWidth="1"/>
    <col min="14860" max="14860" width="8.1640625" customWidth="1"/>
    <col min="14861" max="14861" width="16" customWidth="1"/>
    <col min="14862" max="14862" width="255" customWidth="1"/>
    <col min="14863" max="14863" width="95.83203125" customWidth="1"/>
    <col min="14864" max="14864" width="255" customWidth="1"/>
    <col min="14865" max="14865" width="24.5" customWidth="1"/>
    <col min="14866" max="14866" width="21" customWidth="1"/>
    <col min="14867" max="14867" width="61.5" customWidth="1"/>
    <col min="14868" max="15104" width="8.83203125" customWidth="1"/>
    <col min="15105" max="15105" width="12.6640625" customWidth="1"/>
    <col min="15106" max="15106" width="56.33203125" customWidth="1"/>
    <col min="15107" max="15107" width="10.5" customWidth="1"/>
    <col min="15108" max="15108" width="169.5" customWidth="1"/>
    <col min="15109" max="15109" width="255" customWidth="1"/>
    <col min="15110" max="15110" width="227.6640625" customWidth="1"/>
    <col min="15111" max="15111" width="179" customWidth="1"/>
    <col min="15112" max="15112" width="225.6640625" customWidth="1"/>
    <col min="15113" max="15113" width="33.33203125" customWidth="1"/>
    <col min="15114" max="15114" width="63.6640625" customWidth="1"/>
    <col min="15115" max="15115" width="32.33203125" customWidth="1"/>
    <col min="15116" max="15116" width="8.1640625" customWidth="1"/>
    <col min="15117" max="15117" width="16" customWidth="1"/>
    <col min="15118" max="15118" width="255" customWidth="1"/>
    <col min="15119" max="15119" width="95.83203125" customWidth="1"/>
    <col min="15120" max="15120" width="255" customWidth="1"/>
    <col min="15121" max="15121" width="24.5" customWidth="1"/>
    <col min="15122" max="15122" width="21" customWidth="1"/>
    <col min="15123" max="15123" width="61.5" customWidth="1"/>
    <col min="15124" max="15360" width="8.83203125" customWidth="1"/>
    <col min="15361" max="15361" width="12.6640625" customWidth="1"/>
    <col min="15362" max="15362" width="56.33203125" customWidth="1"/>
    <col min="15363" max="15363" width="10.5" customWidth="1"/>
    <col min="15364" max="15364" width="169.5" customWidth="1"/>
    <col min="15365" max="15365" width="255" customWidth="1"/>
    <col min="15366" max="15366" width="227.6640625" customWidth="1"/>
    <col min="15367" max="15367" width="179" customWidth="1"/>
    <col min="15368" max="15368" width="225.6640625" customWidth="1"/>
    <col min="15369" max="15369" width="33.33203125" customWidth="1"/>
    <col min="15370" max="15370" width="63.6640625" customWidth="1"/>
    <col min="15371" max="15371" width="32.33203125" customWidth="1"/>
    <col min="15372" max="15372" width="8.1640625" customWidth="1"/>
    <col min="15373" max="15373" width="16" customWidth="1"/>
    <col min="15374" max="15374" width="255" customWidth="1"/>
    <col min="15375" max="15375" width="95.83203125" customWidth="1"/>
    <col min="15376" max="15376" width="255" customWidth="1"/>
    <col min="15377" max="15377" width="24.5" customWidth="1"/>
    <col min="15378" max="15378" width="21" customWidth="1"/>
    <col min="15379" max="15379" width="61.5" customWidth="1"/>
    <col min="15380" max="15616" width="8.83203125" customWidth="1"/>
    <col min="15617" max="15617" width="12.6640625" customWidth="1"/>
    <col min="15618" max="15618" width="56.33203125" customWidth="1"/>
    <col min="15619" max="15619" width="10.5" customWidth="1"/>
    <col min="15620" max="15620" width="169.5" customWidth="1"/>
    <col min="15621" max="15621" width="255" customWidth="1"/>
    <col min="15622" max="15622" width="227.6640625" customWidth="1"/>
    <col min="15623" max="15623" width="179" customWidth="1"/>
    <col min="15624" max="15624" width="225.6640625" customWidth="1"/>
    <col min="15625" max="15625" width="33.33203125" customWidth="1"/>
    <col min="15626" max="15626" width="63.6640625" customWidth="1"/>
    <col min="15627" max="15627" width="32.33203125" customWidth="1"/>
    <col min="15628" max="15628" width="8.1640625" customWidth="1"/>
    <col min="15629" max="15629" width="16" customWidth="1"/>
    <col min="15630" max="15630" width="255" customWidth="1"/>
    <col min="15631" max="15631" width="95.83203125" customWidth="1"/>
    <col min="15632" max="15632" width="255" customWidth="1"/>
    <col min="15633" max="15633" width="24.5" customWidth="1"/>
    <col min="15634" max="15634" width="21" customWidth="1"/>
    <col min="15635" max="15635" width="61.5" customWidth="1"/>
    <col min="15636" max="15872" width="8.83203125" customWidth="1"/>
    <col min="15873" max="15873" width="12.6640625" customWidth="1"/>
    <col min="15874" max="15874" width="56.33203125" customWidth="1"/>
    <col min="15875" max="15875" width="10.5" customWidth="1"/>
    <col min="15876" max="15876" width="169.5" customWidth="1"/>
    <col min="15877" max="15877" width="255" customWidth="1"/>
    <col min="15878" max="15878" width="227.6640625" customWidth="1"/>
    <col min="15879" max="15879" width="179" customWidth="1"/>
    <col min="15880" max="15880" width="225.6640625" customWidth="1"/>
    <col min="15881" max="15881" width="33.33203125" customWidth="1"/>
    <col min="15882" max="15882" width="63.6640625" customWidth="1"/>
    <col min="15883" max="15883" width="32.33203125" customWidth="1"/>
    <col min="15884" max="15884" width="8.1640625" customWidth="1"/>
    <col min="15885" max="15885" width="16" customWidth="1"/>
    <col min="15886" max="15886" width="255" customWidth="1"/>
    <col min="15887" max="15887" width="95.83203125" customWidth="1"/>
    <col min="15888" max="15888" width="255" customWidth="1"/>
    <col min="15889" max="15889" width="24.5" customWidth="1"/>
    <col min="15890" max="15890" width="21" customWidth="1"/>
    <col min="15891" max="15891" width="61.5" customWidth="1"/>
    <col min="15892" max="16128" width="8.83203125" customWidth="1"/>
    <col min="16129" max="16129" width="12.6640625" customWidth="1"/>
    <col min="16130" max="16130" width="56.33203125" customWidth="1"/>
    <col min="16131" max="16131" width="10.5" customWidth="1"/>
    <col min="16132" max="16132" width="169.5" customWidth="1"/>
    <col min="16133" max="16133" width="255" customWidth="1"/>
    <col min="16134" max="16134" width="227.6640625" customWidth="1"/>
    <col min="16135" max="16135" width="179" customWidth="1"/>
    <col min="16136" max="16136" width="225.6640625" customWidth="1"/>
    <col min="16137" max="16137" width="33.33203125" customWidth="1"/>
    <col min="16138" max="16138" width="63.6640625" customWidth="1"/>
    <col min="16139" max="16139" width="32.33203125" customWidth="1"/>
    <col min="16140" max="16140" width="8.1640625" customWidth="1"/>
    <col min="16141" max="16141" width="16" customWidth="1"/>
    <col min="16142" max="16142" width="255" customWidth="1"/>
    <col min="16143" max="16143" width="95.83203125" customWidth="1"/>
    <col min="16144" max="16144" width="255" customWidth="1"/>
    <col min="16145" max="16145" width="24.5" customWidth="1"/>
    <col min="16146" max="16146" width="21" customWidth="1"/>
    <col min="16147" max="16147" width="61.5" customWidth="1"/>
    <col min="16148" max="16384" width="8.83203125" customWidth="1"/>
  </cols>
  <sheetData>
    <row r="1" spans="1:19">
      <c r="A1" t="s">
        <v>2381</v>
      </c>
      <c r="B1" t="s">
        <v>2382</v>
      </c>
      <c r="C1" t="s">
        <v>2383</v>
      </c>
      <c r="D1" t="s">
        <v>2384</v>
      </c>
      <c r="E1" t="s">
        <v>2385</v>
      </c>
      <c r="F1" t="s">
        <v>2386</v>
      </c>
      <c r="G1" t="s">
        <v>2387</v>
      </c>
      <c r="H1" t="s">
        <v>2388</v>
      </c>
      <c r="I1" t="s">
        <v>2389</v>
      </c>
      <c r="J1" t="s">
        <v>2390</v>
      </c>
      <c r="K1" t="s">
        <v>2391</v>
      </c>
      <c r="L1" t="s">
        <v>2392</v>
      </c>
      <c r="M1" t="s">
        <v>2393</v>
      </c>
      <c r="N1" t="s">
        <v>2394</v>
      </c>
      <c r="O1" t="s">
        <v>2395</v>
      </c>
      <c r="P1" t="s">
        <v>2396</v>
      </c>
      <c r="Q1" t="s">
        <v>2397</v>
      </c>
      <c r="R1" t="s">
        <v>2398</v>
      </c>
      <c r="S1" t="s">
        <v>2399</v>
      </c>
    </row>
    <row r="2" spans="1:19">
      <c r="A2" t="s">
        <v>2400</v>
      </c>
      <c r="B2" t="s">
        <v>2401</v>
      </c>
      <c r="C2" t="s">
        <v>2401</v>
      </c>
      <c r="D2" t="s">
        <v>2401</v>
      </c>
      <c r="E2" t="s">
        <v>2401</v>
      </c>
      <c r="F2" t="s">
        <v>2401</v>
      </c>
      <c r="G2" t="s">
        <v>2401</v>
      </c>
      <c r="H2" t="s">
        <v>2401</v>
      </c>
      <c r="I2" t="s">
        <v>2401</v>
      </c>
      <c r="J2" t="s">
        <v>2402</v>
      </c>
      <c r="K2" t="s">
        <v>2401</v>
      </c>
      <c r="L2" t="s">
        <v>2401</v>
      </c>
      <c r="M2" s="14">
        <v>45517.415972222225</v>
      </c>
      <c r="N2" t="s">
        <v>2401</v>
      </c>
      <c r="O2" t="s">
        <v>2401</v>
      </c>
      <c r="P2" t="s">
        <v>2401</v>
      </c>
      <c r="Q2" t="s">
        <v>2401</v>
      </c>
      <c r="R2" t="s">
        <v>2401</v>
      </c>
      <c r="S2" t="s">
        <v>2401</v>
      </c>
    </row>
    <row r="3" spans="1:19">
      <c r="A3" t="s">
        <v>2403</v>
      </c>
      <c r="B3" t="s">
        <v>2404</v>
      </c>
      <c r="C3" t="s">
        <v>2401</v>
      </c>
      <c r="D3" t="s">
        <v>2401</v>
      </c>
      <c r="E3" t="s">
        <v>2401</v>
      </c>
      <c r="F3" t="s">
        <v>2401</v>
      </c>
      <c r="G3" t="s">
        <v>2401</v>
      </c>
      <c r="H3" t="s">
        <v>2401</v>
      </c>
      <c r="I3" t="s">
        <v>2401</v>
      </c>
      <c r="J3" t="s">
        <v>2405</v>
      </c>
      <c r="K3" t="s">
        <v>2406</v>
      </c>
      <c r="L3" t="s">
        <v>2401</v>
      </c>
      <c r="M3" s="14">
        <v>45471.566666666666</v>
      </c>
      <c r="N3" t="s">
        <v>2407</v>
      </c>
      <c r="O3" t="s">
        <v>2401</v>
      </c>
      <c r="P3" t="s">
        <v>2401</v>
      </c>
      <c r="Q3" t="s">
        <v>2401</v>
      </c>
      <c r="R3" t="s">
        <v>2401</v>
      </c>
      <c r="S3" t="s">
        <v>2401</v>
      </c>
    </row>
    <row r="4" spans="1:19">
      <c r="A4" t="s">
        <v>2408</v>
      </c>
      <c r="B4" t="s">
        <v>2409</v>
      </c>
      <c r="C4" t="s">
        <v>2401</v>
      </c>
      <c r="D4" t="s">
        <v>2401</v>
      </c>
      <c r="E4" t="s">
        <v>2401</v>
      </c>
      <c r="F4" t="s">
        <v>2401</v>
      </c>
      <c r="G4" t="s">
        <v>2401</v>
      </c>
      <c r="H4" t="s">
        <v>2401</v>
      </c>
      <c r="I4" t="s">
        <v>2401</v>
      </c>
      <c r="J4" t="s">
        <v>2410</v>
      </c>
      <c r="K4" t="s">
        <v>2411</v>
      </c>
      <c r="L4" t="s">
        <v>2401</v>
      </c>
      <c r="M4" s="14">
        <v>45534.874305555553</v>
      </c>
      <c r="N4" t="s">
        <v>2412</v>
      </c>
      <c r="O4" t="s">
        <v>2413</v>
      </c>
      <c r="P4" t="s">
        <v>2401</v>
      </c>
      <c r="Q4" t="s">
        <v>2401</v>
      </c>
      <c r="R4" t="s">
        <v>2401</v>
      </c>
      <c r="S4" t="s">
        <v>2401</v>
      </c>
    </row>
    <row r="5" spans="1:19">
      <c r="A5" t="s">
        <v>2414</v>
      </c>
      <c r="B5" t="s">
        <v>2409</v>
      </c>
      <c r="C5" t="s">
        <v>2401</v>
      </c>
      <c r="D5" t="s">
        <v>2401</v>
      </c>
      <c r="E5" t="s">
        <v>2401</v>
      </c>
      <c r="F5" t="s">
        <v>2401</v>
      </c>
      <c r="G5" t="s">
        <v>2401</v>
      </c>
      <c r="H5" t="s">
        <v>2401</v>
      </c>
      <c r="I5" t="s">
        <v>2401</v>
      </c>
      <c r="J5" t="s">
        <v>2415</v>
      </c>
      <c r="K5" t="s">
        <v>2411</v>
      </c>
      <c r="L5" t="s">
        <v>2401</v>
      </c>
      <c r="M5" s="14">
        <v>45390.607638888891</v>
      </c>
      <c r="N5" t="s">
        <v>2416</v>
      </c>
      <c r="O5" t="s">
        <v>2417</v>
      </c>
      <c r="P5" t="s">
        <v>2401</v>
      </c>
      <c r="Q5" t="s">
        <v>2401</v>
      </c>
      <c r="R5" t="s">
        <v>2401</v>
      </c>
      <c r="S5" t="s">
        <v>2401</v>
      </c>
    </row>
    <row r="6" spans="1:19">
      <c r="A6" t="s">
        <v>2418</v>
      </c>
      <c r="B6" t="s">
        <v>2419</v>
      </c>
      <c r="C6" t="s">
        <v>2401</v>
      </c>
      <c r="D6" t="s">
        <v>2401</v>
      </c>
      <c r="E6" t="s">
        <v>2401</v>
      </c>
      <c r="F6" t="s">
        <v>2401</v>
      </c>
      <c r="G6" t="s">
        <v>2401</v>
      </c>
      <c r="H6" t="s">
        <v>2401</v>
      </c>
      <c r="I6" t="s">
        <v>61</v>
      </c>
      <c r="J6" t="s">
        <v>2420</v>
      </c>
      <c r="K6" t="s">
        <v>2421</v>
      </c>
      <c r="L6" t="s">
        <v>2401</v>
      </c>
      <c r="M6" s="14">
        <v>45390.607638888891</v>
      </c>
      <c r="N6" t="s">
        <v>2422</v>
      </c>
      <c r="O6" t="s">
        <v>2423</v>
      </c>
      <c r="P6" t="s">
        <v>2401</v>
      </c>
      <c r="Q6" t="s">
        <v>2401</v>
      </c>
      <c r="R6" t="s">
        <v>2401</v>
      </c>
      <c r="S6" t="s">
        <v>2401</v>
      </c>
    </row>
    <row r="7" spans="1:19">
      <c r="A7" t="s">
        <v>2424</v>
      </c>
      <c r="B7" t="s">
        <v>2425</v>
      </c>
      <c r="C7" t="s">
        <v>2401</v>
      </c>
      <c r="D7" t="s">
        <v>2401</v>
      </c>
      <c r="E7" t="s">
        <v>2401</v>
      </c>
      <c r="F7" t="s">
        <v>2401</v>
      </c>
      <c r="G7" t="s">
        <v>2401</v>
      </c>
      <c r="H7" t="s">
        <v>2401</v>
      </c>
      <c r="I7" t="s">
        <v>61</v>
      </c>
      <c r="J7" t="s">
        <v>2426</v>
      </c>
      <c r="K7" t="s">
        <v>2427</v>
      </c>
      <c r="L7" t="s">
        <v>2401</v>
      </c>
      <c r="M7" s="14">
        <v>45390.607638888891</v>
      </c>
      <c r="N7" t="s">
        <v>2428</v>
      </c>
      <c r="O7" t="s">
        <v>2429</v>
      </c>
      <c r="P7" t="s">
        <v>2401</v>
      </c>
      <c r="Q7" t="s">
        <v>2401</v>
      </c>
      <c r="R7" t="s">
        <v>2401</v>
      </c>
      <c r="S7" t="s">
        <v>2401</v>
      </c>
    </row>
    <row r="8" spans="1:19">
      <c r="A8" t="s">
        <v>2430</v>
      </c>
      <c r="B8" t="s">
        <v>2431</v>
      </c>
      <c r="C8" t="s">
        <v>2401</v>
      </c>
      <c r="D8" t="s">
        <v>2401</v>
      </c>
      <c r="E8" t="s">
        <v>2401</v>
      </c>
      <c r="F8" t="s">
        <v>2401</v>
      </c>
      <c r="G8" t="s">
        <v>2401</v>
      </c>
      <c r="H8" t="s">
        <v>2401</v>
      </c>
      <c r="I8" t="s">
        <v>2401</v>
      </c>
      <c r="J8" t="s">
        <v>2432</v>
      </c>
      <c r="K8" t="s">
        <v>2433</v>
      </c>
      <c r="L8" t="s">
        <v>2401</v>
      </c>
      <c r="M8" s="14">
        <v>45565.656944444447</v>
      </c>
      <c r="N8" t="s">
        <v>2434</v>
      </c>
      <c r="O8" t="s">
        <v>2401</v>
      </c>
      <c r="P8" t="s">
        <v>2401</v>
      </c>
      <c r="Q8" t="s">
        <v>2401</v>
      </c>
      <c r="R8" t="s">
        <v>2401</v>
      </c>
      <c r="S8" t="s">
        <v>2401</v>
      </c>
    </row>
    <row r="9" spans="1:19">
      <c r="A9" t="s">
        <v>2435</v>
      </c>
      <c r="B9" t="s">
        <v>2436</v>
      </c>
      <c r="C9" t="s">
        <v>2401</v>
      </c>
      <c r="D9" t="s">
        <v>2401</v>
      </c>
      <c r="E9" t="s">
        <v>2401</v>
      </c>
      <c r="F9" t="s">
        <v>2401</v>
      </c>
      <c r="G9" t="s">
        <v>2401</v>
      </c>
      <c r="H9" t="s">
        <v>2401</v>
      </c>
      <c r="I9" t="s">
        <v>2401</v>
      </c>
      <c r="J9" t="s">
        <v>2437</v>
      </c>
      <c r="K9" t="s">
        <v>2438</v>
      </c>
      <c r="L9" t="s">
        <v>2401</v>
      </c>
      <c r="M9" s="14">
        <v>45565.693055555559</v>
      </c>
      <c r="N9" t="s">
        <v>2439</v>
      </c>
      <c r="O9" t="s">
        <v>2440</v>
      </c>
      <c r="P9" t="s">
        <v>2401</v>
      </c>
      <c r="Q9" t="s">
        <v>2401</v>
      </c>
      <c r="R9" t="s">
        <v>2401</v>
      </c>
      <c r="S9" t="s">
        <v>2401</v>
      </c>
    </row>
    <row r="10" spans="1:19">
      <c r="A10" t="s">
        <v>2441</v>
      </c>
      <c r="B10" t="s">
        <v>2442</v>
      </c>
      <c r="C10" t="s">
        <v>2401</v>
      </c>
      <c r="D10" t="s">
        <v>2401</v>
      </c>
      <c r="E10" t="s">
        <v>2401</v>
      </c>
      <c r="F10" t="s">
        <v>2401</v>
      </c>
      <c r="G10" t="s">
        <v>2401</v>
      </c>
      <c r="H10" t="s">
        <v>2401</v>
      </c>
      <c r="I10" t="s">
        <v>2401</v>
      </c>
      <c r="J10" t="s">
        <v>2443</v>
      </c>
      <c r="K10" t="s">
        <v>2438</v>
      </c>
      <c r="L10" t="s">
        <v>2401</v>
      </c>
      <c r="M10" s="14">
        <v>45565.693055555559</v>
      </c>
      <c r="N10" t="s">
        <v>2444</v>
      </c>
      <c r="O10" t="s">
        <v>2401</v>
      </c>
      <c r="P10" t="s">
        <v>2401</v>
      </c>
      <c r="Q10" t="s">
        <v>2401</v>
      </c>
      <c r="R10" t="s">
        <v>2401</v>
      </c>
      <c r="S10" t="s">
        <v>2401</v>
      </c>
    </row>
    <row r="11" spans="1:19">
      <c r="A11" t="s">
        <v>2445</v>
      </c>
      <c r="B11" t="s">
        <v>2446</v>
      </c>
      <c r="C11" t="s">
        <v>2401</v>
      </c>
      <c r="D11" t="s">
        <v>2401</v>
      </c>
      <c r="E11" t="s">
        <v>2401</v>
      </c>
      <c r="F11" t="s">
        <v>2401</v>
      </c>
      <c r="G11" t="s">
        <v>2401</v>
      </c>
      <c r="H11" t="s">
        <v>2401</v>
      </c>
      <c r="I11" t="s">
        <v>2401</v>
      </c>
      <c r="J11" t="s">
        <v>2447</v>
      </c>
      <c r="K11" t="s">
        <v>2448</v>
      </c>
      <c r="L11" t="s">
        <v>2401</v>
      </c>
      <c r="M11" s="14">
        <v>45384.561805555553</v>
      </c>
      <c r="N11" t="s">
        <v>2449</v>
      </c>
      <c r="O11" t="s">
        <v>2401</v>
      </c>
      <c r="P11" t="s">
        <v>2450</v>
      </c>
      <c r="Q11">
        <v>1</v>
      </c>
      <c r="R11" t="s">
        <v>2401</v>
      </c>
      <c r="S11" t="s">
        <v>2451</v>
      </c>
    </row>
    <row r="12" spans="1:19">
      <c r="A12" t="s">
        <v>2452</v>
      </c>
      <c r="B12" t="s">
        <v>2453</v>
      </c>
      <c r="C12" t="s">
        <v>2401</v>
      </c>
      <c r="D12" t="s">
        <v>2401</v>
      </c>
      <c r="E12" t="s">
        <v>2401</v>
      </c>
      <c r="F12" t="s">
        <v>2401</v>
      </c>
      <c r="G12" t="s">
        <v>2401</v>
      </c>
      <c r="H12" t="s">
        <v>2401</v>
      </c>
      <c r="I12" t="s">
        <v>61</v>
      </c>
      <c r="J12" t="s">
        <v>2454</v>
      </c>
      <c r="K12" t="s">
        <v>2455</v>
      </c>
      <c r="L12" t="s">
        <v>2401</v>
      </c>
      <c r="M12" s="14">
        <v>45399.554861111108</v>
      </c>
      <c r="N12" t="s">
        <v>2456</v>
      </c>
      <c r="O12" t="s">
        <v>2457</v>
      </c>
      <c r="P12" t="s">
        <v>2401</v>
      </c>
      <c r="Q12" t="s">
        <v>2401</v>
      </c>
      <c r="R12" t="s">
        <v>2401</v>
      </c>
      <c r="S12" t="s">
        <v>2401</v>
      </c>
    </row>
    <row r="13" spans="1:19">
      <c r="A13" t="s">
        <v>2458</v>
      </c>
      <c r="B13" t="s">
        <v>974</v>
      </c>
      <c r="C13" t="s">
        <v>2401</v>
      </c>
      <c r="D13" t="s">
        <v>2401</v>
      </c>
      <c r="E13" t="s">
        <v>2401</v>
      </c>
      <c r="F13" t="s">
        <v>2401</v>
      </c>
      <c r="G13" t="s">
        <v>2401</v>
      </c>
      <c r="H13" t="s">
        <v>2401</v>
      </c>
      <c r="I13" t="s">
        <v>2401</v>
      </c>
      <c r="J13" t="s">
        <v>2459</v>
      </c>
      <c r="K13" t="s">
        <v>2460</v>
      </c>
      <c r="L13" t="s">
        <v>2401</v>
      </c>
      <c r="M13" s="14">
        <v>45554.479166666664</v>
      </c>
      <c r="N13" t="s">
        <v>2461</v>
      </c>
      <c r="O13" t="s">
        <v>2401</v>
      </c>
      <c r="P13" t="s">
        <v>2401</v>
      </c>
      <c r="Q13" t="s">
        <v>2401</v>
      </c>
      <c r="R13" t="s">
        <v>2401</v>
      </c>
      <c r="S13" t="s">
        <v>2401</v>
      </c>
    </row>
    <row r="14" spans="1:19">
      <c r="A14" t="s">
        <v>2462</v>
      </c>
      <c r="B14" t="s">
        <v>974</v>
      </c>
      <c r="C14" t="s">
        <v>2401</v>
      </c>
      <c r="D14" t="s">
        <v>2401</v>
      </c>
      <c r="E14" t="s">
        <v>2401</v>
      </c>
      <c r="F14" t="s">
        <v>2401</v>
      </c>
      <c r="G14" t="s">
        <v>2401</v>
      </c>
      <c r="H14" t="s">
        <v>2401</v>
      </c>
      <c r="I14" t="s">
        <v>2401</v>
      </c>
      <c r="J14" t="s">
        <v>2401</v>
      </c>
      <c r="K14" t="s">
        <v>2401</v>
      </c>
      <c r="L14" t="s">
        <v>2401</v>
      </c>
      <c r="M14" s="14">
        <v>45422.895833333336</v>
      </c>
      <c r="N14" t="s">
        <v>2401</v>
      </c>
      <c r="O14" t="s">
        <v>2401</v>
      </c>
      <c r="P14" t="s">
        <v>2401</v>
      </c>
      <c r="Q14" t="s">
        <v>2401</v>
      </c>
      <c r="R14" t="s">
        <v>2401</v>
      </c>
      <c r="S14" t="s">
        <v>2401</v>
      </c>
    </row>
    <row r="15" spans="1:19">
      <c r="A15" t="s">
        <v>2463</v>
      </c>
      <c r="B15" t="s">
        <v>2464</v>
      </c>
      <c r="C15" t="s">
        <v>2401</v>
      </c>
      <c r="D15" t="s">
        <v>2401</v>
      </c>
      <c r="E15" t="s">
        <v>2401</v>
      </c>
      <c r="F15" t="s">
        <v>2401</v>
      </c>
      <c r="G15" t="s">
        <v>2401</v>
      </c>
      <c r="H15" t="s">
        <v>2401</v>
      </c>
      <c r="I15" t="s">
        <v>2401</v>
      </c>
      <c r="J15" t="s">
        <v>2401</v>
      </c>
      <c r="K15" t="s">
        <v>2401</v>
      </c>
      <c r="L15" t="s">
        <v>2401</v>
      </c>
      <c r="M15" s="14">
        <v>45422.895833333336</v>
      </c>
      <c r="N15" t="s">
        <v>2401</v>
      </c>
      <c r="O15" t="s">
        <v>2401</v>
      </c>
      <c r="P15" t="s">
        <v>2401</v>
      </c>
      <c r="Q15" t="s">
        <v>2401</v>
      </c>
      <c r="R15" t="s">
        <v>2401</v>
      </c>
      <c r="S15" t="s">
        <v>2401</v>
      </c>
    </row>
    <row r="16" spans="1:19">
      <c r="A16" t="s">
        <v>2465</v>
      </c>
      <c r="B16" t="s">
        <v>2466</v>
      </c>
      <c r="C16" t="s">
        <v>2401</v>
      </c>
      <c r="D16" t="s">
        <v>2401</v>
      </c>
      <c r="E16" t="s">
        <v>2401</v>
      </c>
      <c r="F16" t="s">
        <v>2401</v>
      </c>
      <c r="G16" t="s">
        <v>2401</v>
      </c>
      <c r="H16" t="s">
        <v>2401</v>
      </c>
      <c r="I16" t="s">
        <v>61</v>
      </c>
      <c r="J16" t="s">
        <v>2401</v>
      </c>
      <c r="K16" t="s">
        <v>2401</v>
      </c>
      <c r="L16" t="s">
        <v>2401</v>
      </c>
      <c r="M16" s="14">
        <v>45399.554861111108</v>
      </c>
      <c r="N16" t="s">
        <v>2401</v>
      </c>
      <c r="O16" t="s">
        <v>2401</v>
      </c>
      <c r="P16" t="s">
        <v>2401</v>
      </c>
      <c r="Q16" t="s">
        <v>2401</v>
      </c>
      <c r="R16" t="s">
        <v>2401</v>
      </c>
      <c r="S16" t="s">
        <v>2401</v>
      </c>
    </row>
    <row r="17" spans="1:19">
      <c r="A17" t="s">
        <v>2467</v>
      </c>
      <c r="B17" t="s">
        <v>2468</v>
      </c>
      <c r="C17" t="s">
        <v>2401</v>
      </c>
      <c r="D17" t="s">
        <v>2401</v>
      </c>
      <c r="E17" t="s">
        <v>2401</v>
      </c>
      <c r="F17" t="s">
        <v>2401</v>
      </c>
      <c r="G17" t="s">
        <v>2401</v>
      </c>
      <c r="H17" t="s">
        <v>2401</v>
      </c>
      <c r="I17" t="s">
        <v>2401</v>
      </c>
      <c r="J17" t="s">
        <v>2469</v>
      </c>
      <c r="K17" t="s">
        <v>2401</v>
      </c>
      <c r="L17" t="s">
        <v>2401</v>
      </c>
      <c r="M17" s="14">
        <v>45390.607638888891</v>
      </c>
      <c r="N17" t="s">
        <v>2470</v>
      </c>
      <c r="O17" t="s">
        <v>2471</v>
      </c>
      <c r="P17" t="s">
        <v>2401</v>
      </c>
      <c r="Q17" t="s">
        <v>2401</v>
      </c>
      <c r="R17" t="s">
        <v>2401</v>
      </c>
      <c r="S17" t="s">
        <v>2401</v>
      </c>
    </row>
    <row r="18" spans="1:19">
      <c r="A18" t="s">
        <v>2472</v>
      </c>
      <c r="B18" t="s">
        <v>2473</v>
      </c>
      <c r="C18" t="s">
        <v>2474</v>
      </c>
      <c r="D18" t="s">
        <v>2401</v>
      </c>
      <c r="E18" t="s">
        <v>2401</v>
      </c>
      <c r="F18" t="s">
        <v>2401</v>
      </c>
      <c r="G18" t="s">
        <v>2401</v>
      </c>
      <c r="H18" t="s">
        <v>2401</v>
      </c>
      <c r="I18" t="s">
        <v>2401</v>
      </c>
      <c r="J18" t="s">
        <v>2475</v>
      </c>
      <c r="K18" t="s">
        <v>2406</v>
      </c>
      <c r="L18" t="s">
        <v>2401</v>
      </c>
      <c r="M18" s="14">
        <v>45534.956250000003</v>
      </c>
      <c r="N18" t="s">
        <v>2476</v>
      </c>
      <c r="O18" t="s">
        <v>2477</v>
      </c>
      <c r="P18" t="s">
        <v>2401</v>
      </c>
      <c r="Q18" t="s">
        <v>2401</v>
      </c>
      <c r="R18" t="s">
        <v>2401</v>
      </c>
      <c r="S18" t="s">
        <v>2401</v>
      </c>
    </row>
    <row r="19" spans="1:19">
      <c r="A19" t="s">
        <v>2478</v>
      </c>
      <c r="B19" t="s">
        <v>2479</v>
      </c>
      <c r="C19" t="s">
        <v>2401</v>
      </c>
      <c r="D19" t="s">
        <v>2401</v>
      </c>
      <c r="E19" t="s">
        <v>2401</v>
      </c>
      <c r="F19" t="s">
        <v>2401</v>
      </c>
      <c r="G19" t="s">
        <v>2401</v>
      </c>
      <c r="H19" t="s">
        <v>2401</v>
      </c>
      <c r="I19" t="s">
        <v>2401</v>
      </c>
      <c r="J19" t="s">
        <v>2480</v>
      </c>
      <c r="K19" t="s">
        <v>2406</v>
      </c>
      <c r="L19" t="s">
        <v>2401</v>
      </c>
      <c r="M19" s="14">
        <v>45390.607638888891</v>
      </c>
      <c r="N19" t="s">
        <v>2481</v>
      </c>
      <c r="O19" t="s">
        <v>2482</v>
      </c>
      <c r="P19" t="s">
        <v>2401</v>
      </c>
      <c r="Q19" t="s">
        <v>2401</v>
      </c>
      <c r="R19" t="s">
        <v>2401</v>
      </c>
      <c r="S19" t="s">
        <v>2401</v>
      </c>
    </row>
    <row r="20" spans="1:19">
      <c r="A20" t="s">
        <v>2483</v>
      </c>
      <c r="B20" t="s">
        <v>2484</v>
      </c>
      <c r="C20" t="s">
        <v>2401</v>
      </c>
      <c r="D20" t="s">
        <v>2401</v>
      </c>
      <c r="E20" t="s">
        <v>2401</v>
      </c>
      <c r="F20" t="s">
        <v>2401</v>
      </c>
      <c r="G20" t="s">
        <v>2401</v>
      </c>
      <c r="H20" t="s">
        <v>2401</v>
      </c>
      <c r="I20" t="s">
        <v>61</v>
      </c>
      <c r="J20" t="s">
        <v>2485</v>
      </c>
      <c r="K20" t="s">
        <v>2486</v>
      </c>
      <c r="L20" t="s">
        <v>2401</v>
      </c>
      <c r="M20" s="14">
        <v>45399.554861111108</v>
      </c>
      <c r="N20" t="s">
        <v>2487</v>
      </c>
      <c r="O20" t="s">
        <v>2488</v>
      </c>
      <c r="P20" t="s">
        <v>2401</v>
      </c>
      <c r="Q20" t="s">
        <v>2401</v>
      </c>
      <c r="R20" t="s">
        <v>2401</v>
      </c>
      <c r="S20" t="s">
        <v>2401</v>
      </c>
    </row>
    <row r="21" spans="1:19">
      <c r="A21" t="s">
        <v>2489</v>
      </c>
      <c r="B21" t="s">
        <v>2490</v>
      </c>
      <c r="C21" t="s">
        <v>2401</v>
      </c>
      <c r="D21" t="s">
        <v>2401</v>
      </c>
      <c r="E21" t="s">
        <v>2401</v>
      </c>
      <c r="F21" t="s">
        <v>2401</v>
      </c>
      <c r="G21" t="s">
        <v>2401</v>
      </c>
      <c r="H21" t="s">
        <v>2401</v>
      </c>
      <c r="I21" t="s">
        <v>2401</v>
      </c>
      <c r="J21" t="s">
        <v>2491</v>
      </c>
      <c r="K21" t="s">
        <v>2492</v>
      </c>
      <c r="L21" t="s">
        <v>2401</v>
      </c>
      <c r="M21" s="14">
        <v>45565.656944444447</v>
      </c>
      <c r="N21" t="s">
        <v>2493</v>
      </c>
      <c r="O21" t="s">
        <v>2401</v>
      </c>
      <c r="P21" t="s">
        <v>2401</v>
      </c>
      <c r="Q21" t="s">
        <v>2401</v>
      </c>
      <c r="R21" t="s">
        <v>2401</v>
      </c>
      <c r="S21" t="s">
        <v>2401</v>
      </c>
    </row>
    <row r="22" spans="1:19">
      <c r="A22" t="s">
        <v>2494</v>
      </c>
      <c r="B22" t="s">
        <v>2495</v>
      </c>
      <c r="C22" t="s">
        <v>2401</v>
      </c>
      <c r="D22" t="s">
        <v>2401</v>
      </c>
      <c r="E22" t="s">
        <v>2401</v>
      </c>
      <c r="F22" t="s">
        <v>2401</v>
      </c>
      <c r="G22" t="s">
        <v>2401</v>
      </c>
      <c r="H22" t="s">
        <v>2401</v>
      </c>
      <c r="I22" t="s">
        <v>2401</v>
      </c>
      <c r="J22" t="s">
        <v>2495</v>
      </c>
      <c r="K22" t="s">
        <v>2401</v>
      </c>
      <c r="L22" t="s">
        <v>2401</v>
      </c>
      <c r="M22" s="14">
        <v>45565.566666666666</v>
      </c>
      <c r="N22" t="s">
        <v>2401</v>
      </c>
      <c r="O22" t="s">
        <v>2401</v>
      </c>
      <c r="P22" t="s">
        <v>2401</v>
      </c>
      <c r="Q22" t="s">
        <v>2401</v>
      </c>
      <c r="R22" t="s">
        <v>2401</v>
      </c>
      <c r="S22" t="s">
        <v>2401</v>
      </c>
    </row>
    <row r="23" spans="1:19">
      <c r="A23" t="s">
        <v>2496</v>
      </c>
      <c r="B23" t="s">
        <v>2497</v>
      </c>
      <c r="C23" t="s">
        <v>2401</v>
      </c>
      <c r="D23" t="s">
        <v>2401</v>
      </c>
      <c r="E23" t="s">
        <v>2401</v>
      </c>
      <c r="F23" t="s">
        <v>2401</v>
      </c>
      <c r="G23" t="s">
        <v>2401</v>
      </c>
      <c r="H23" t="s">
        <v>2401</v>
      </c>
      <c r="I23" t="s">
        <v>2401</v>
      </c>
      <c r="J23" t="s">
        <v>2498</v>
      </c>
      <c r="K23" t="s">
        <v>2499</v>
      </c>
      <c r="L23" t="s">
        <v>2401</v>
      </c>
      <c r="M23" s="14">
        <v>45390.607638888891</v>
      </c>
      <c r="N23" t="s">
        <v>2500</v>
      </c>
      <c r="O23" t="s">
        <v>2501</v>
      </c>
      <c r="P23" t="s">
        <v>2401</v>
      </c>
      <c r="Q23" t="s">
        <v>2401</v>
      </c>
      <c r="R23" t="s">
        <v>2401</v>
      </c>
      <c r="S23" t="s">
        <v>2401</v>
      </c>
    </row>
    <row r="24" spans="1:19">
      <c r="A24" t="s">
        <v>2502</v>
      </c>
      <c r="B24" t="s">
        <v>2503</v>
      </c>
      <c r="C24" t="s">
        <v>2401</v>
      </c>
      <c r="D24" t="s">
        <v>2401</v>
      </c>
      <c r="E24" t="s">
        <v>2401</v>
      </c>
      <c r="F24" t="s">
        <v>2401</v>
      </c>
      <c r="G24" t="s">
        <v>2401</v>
      </c>
      <c r="H24" t="s">
        <v>2401</v>
      </c>
      <c r="I24" t="s">
        <v>2401</v>
      </c>
      <c r="J24" t="s">
        <v>2504</v>
      </c>
      <c r="K24" t="s">
        <v>2406</v>
      </c>
      <c r="L24" t="s">
        <v>2401</v>
      </c>
      <c r="M24" s="14">
        <v>45540.806250000001</v>
      </c>
      <c r="N24" t="s">
        <v>2505</v>
      </c>
      <c r="O24" t="s">
        <v>2401</v>
      </c>
      <c r="P24" t="s">
        <v>2401</v>
      </c>
      <c r="Q24" t="s">
        <v>2401</v>
      </c>
      <c r="R24" t="s">
        <v>2401</v>
      </c>
      <c r="S24" t="s">
        <v>2401</v>
      </c>
    </row>
    <row r="25" spans="1:19">
      <c r="A25" t="s">
        <v>2506</v>
      </c>
      <c r="B25" t="s">
        <v>2507</v>
      </c>
      <c r="C25" t="s">
        <v>2401</v>
      </c>
      <c r="D25" t="s">
        <v>2401</v>
      </c>
      <c r="E25" t="s">
        <v>2401</v>
      </c>
      <c r="F25" t="s">
        <v>2401</v>
      </c>
      <c r="G25" t="s">
        <v>2401</v>
      </c>
      <c r="H25" t="s">
        <v>2401</v>
      </c>
      <c r="I25" t="s">
        <v>2401</v>
      </c>
      <c r="J25" t="s">
        <v>2508</v>
      </c>
      <c r="K25" t="s">
        <v>2448</v>
      </c>
      <c r="L25" t="s">
        <v>2401</v>
      </c>
      <c r="M25" s="14">
        <v>45509.718055555553</v>
      </c>
      <c r="N25" t="s">
        <v>2449</v>
      </c>
      <c r="O25" t="s">
        <v>2401</v>
      </c>
      <c r="P25" t="s">
        <v>2401</v>
      </c>
      <c r="Q25" t="s">
        <v>2401</v>
      </c>
      <c r="R25" t="s">
        <v>2401</v>
      </c>
      <c r="S25" t="s">
        <v>2401</v>
      </c>
    </row>
    <row r="26" spans="1:19">
      <c r="A26" t="s">
        <v>2509</v>
      </c>
      <c r="B26" t="s">
        <v>2507</v>
      </c>
      <c r="C26" t="s">
        <v>2401</v>
      </c>
      <c r="D26" t="s">
        <v>2401</v>
      </c>
      <c r="E26" t="s">
        <v>2401</v>
      </c>
      <c r="F26" t="s">
        <v>2401</v>
      </c>
      <c r="G26" t="s">
        <v>2401</v>
      </c>
      <c r="H26" t="s">
        <v>2401</v>
      </c>
      <c r="I26" t="s">
        <v>2401</v>
      </c>
      <c r="J26" t="s">
        <v>2401</v>
      </c>
      <c r="K26" t="s">
        <v>2401</v>
      </c>
      <c r="L26" t="s">
        <v>2401</v>
      </c>
      <c r="M26" s="14">
        <v>45509.718055555553</v>
      </c>
      <c r="N26" t="s">
        <v>2401</v>
      </c>
      <c r="O26" t="s">
        <v>2401</v>
      </c>
      <c r="P26" t="s">
        <v>2401</v>
      </c>
      <c r="Q26" t="s">
        <v>2401</v>
      </c>
      <c r="R26" t="s">
        <v>2401</v>
      </c>
      <c r="S26" t="s">
        <v>2401</v>
      </c>
    </row>
    <row r="27" spans="1:19">
      <c r="A27" t="s">
        <v>2510</v>
      </c>
      <c r="B27" t="s">
        <v>2511</v>
      </c>
      <c r="C27" t="s">
        <v>2401</v>
      </c>
      <c r="D27" t="s">
        <v>2401</v>
      </c>
      <c r="E27" t="s">
        <v>2401</v>
      </c>
      <c r="F27" t="s">
        <v>2401</v>
      </c>
      <c r="G27" t="s">
        <v>2401</v>
      </c>
      <c r="H27" t="s">
        <v>2401</v>
      </c>
      <c r="I27" t="s">
        <v>61</v>
      </c>
      <c r="J27" t="s">
        <v>2512</v>
      </c>
      <c r="K27" t="s">
        <v>2499</v>
      </c>
      <c r="L27" t="s">
        <v>2401</v>
      </c>
      <c r="M27" s="14">
        <v>45399.554861111108</v>
      </c>
      <c r="N27" t="s">
        <v>2513</v>
      </c>
      <c r="O27" t="s">
        <v>2514</v>
      </c>
      <c r="P27" t="s">
        <v>2401</v>
      </c>
      <c r="Q27" t="s">
        <v>2401</v>
      </c>
      <c r="R27" t="s">
        <v>2401</v>
      </c>
      <c r="S27" t="s">
        <v>2401</v>
      </c>
    </row>
    <row r="28" spans="1:19">
      <c r="A28" t="s">
        <v>2515</v>
      </c>
      <c r="B28" t="s">
        <v>2516</v>
      </c>
      <c r="C28" t="s">
        <v>2401</v>
      </c>
      <c r="D28" t="s">
        <v>2401</v>
      </c>
      <c r="E28" t="s">
        <v>2401</v>
      </c>
      <c r="F28" t="s">
        <v>2401</v>
      </c>
      <c r="G28" t="s">
        <v>2401</v>
      </c>
      <c r="H28" t="s">
        <v>2401</v>
      </c>
      <c r="I28" t="s">
        <v>2401</v>
      </c>
      <c r="J28" t="s">
        <v>2517</v>
      </c>
      <c r="K28" t="s">
        <v>2448</v>
      </c>
      <c r="L28" t="s">
        <v>2401</v>
      </c>
      <c r="M28" s="14">
        <v>45509.718055555553</v>
      </c>
      <c r="N28" t="s">
        <v>2449</v>
      </c>
      <c r="O28" t="s">
        <v>2401</v>
      </c>
      <c r="P28" t="s">
        <v>2401</v>
      </c>
      <c r="Q28" t="s">
        <v>2401</v>
      </c>
      <c r="R28" t="s">
        <v>2401</v>
      </c>
      <c r="S28" t="s">
        <v>2401</v>
      </c>
    </row>
    <row r="29" spans="1:19">
      <c r="A29" t="s">
        <v>2518</v>
      </c>
      <c r="B29" t="s">
        <v>2519</v>
      </c>
      <c r="C29" t="s">
        <v>2401</v>
      </c>
      <c r="D29" t="s">
        <v>2401</v>
      </c>
      <c r="E29" t="s">
        <v>2401</v>
      </c>
      <c r="F29" t="s">
        <v>2401</v>
      </c>
      <c r="G29" t="s">
        <v>2401</v>
      </c>
      <c r="H29" t="s">
        <v>2401</v>
      </c>
      <c r="I29" t="s">
        <v>2401</v>
      </c>
      <c r="J29" t="s">
        <v>2517</v>
      </c>
      <c r="K29" t="s">
        <v>2448</v>
      </c>
      <c r="L29" t="s">
        <v>2401</v>
      </c>
      <c r="M29" s="14">
        <v>45509.718055555553</v>
      </c>
      <c r="N29" t="s">
        <v>2449</v>
      </c>
      <c r="O29" t="s">
        <v>2401</v>
      </c>
      <c r="P29" t="s">
        <v>2401</v>
      </c>
      <c r="Q29" t="s">
        <v>2401</v>
      </c>
      <c r="R29" t="s">
        <v>2401</v>
      </c>
      <c r="S29" t="s">
        <v>2401</v>
      </c>
    </row>
    <row r="30" spans="1:19">
      <c r="A30" t="s">
        <v>2520</v>
      </c>
      <c r="B30" t="s">
        <v>2521</v>
      </c>
      <c r="C30" t="s">
        <v>2401</v>
      </c>
      <c r="D30" t="s">
        <v>2401</v>
      </c>
      <c r="E30" t="s">
        <v>2401</v>
      </c>
      <c r="F30" t="s">
        <v>2401</v>
      </c>
      <c r="G30" t="s">
        <v>2401</v>
      </c>
      <c r="H30" t="s">
        <v>2401</v>
      </c>
      <c r="I30" t="s">
        <v>2401</v>
      </c>
      <c r="J30" t="s">
        <v>2401</v>
      </c>
      <c r="K30" t="s">
        <v>2401</v>
      </c>
      <c r="L30" t="s">
        <v>2401</v>
      </c>
      <c r="M30" s="14">
        <v>45509.718055555553</v>
      </c>
      <c r="N30" t="s">
        <v>2401</v>
      </c>
      <c r="O30" t="s">
        <v>2401</v>
      </c>
      <c r="P30" t="s">
        <v>2401</v>
      </c>
      <c r="Q30" t="s">
        <v>2401</v>
      </c>
      <c r="R30" t="s">
        <v>2401</v>
      </c>
      <c r="S30" t="s">
        <v>2401</v>
      </c>
    </row>
    <row r="31" spans="1:19">
      <c r="A31" t="s">
        <v>2522</v>
      </c>
      <c r="B31" t="s">
        <v>2521</v>
      </c>
      <c r="C31" t="s">
        <v>2401</v>
      </c>
      <c r="D31" t="s">
        <v>2401</v>
      </c>
      <c r="E31" t="s">
        <v>2401</v>
      </c>
      <c r="F31" t="s">
        <v>2401</v>
      </c>
      <c r="G31" t="s">
        <v>2401</v>
      </c>
      <c r="H31" t="s">
        <v>2401</v>
      </c>
      <c r="I31" t="s">
        <v>2401</v>
      </c>
      <c r="J31" t="s">
        <v>2401</v>
      </c>
      <c r="K31" t="s">
        <v>2401</v>
      </c>
      <c r="L31" t="s">
        <v>2401</v>
      </c>
      <c r="M31" s="14">
        <v>45509.718055555553</v>
      </c>
      <c r="N31" t="s">
        <v>2401</v>
      </c>
      <c r="O31" t="s">
        <v>2401</v>
      </c>
      <c r="P31" t="s">
        <v>2401</v>
      </c>
      <c r="Q31" t="s">
        <v>2401</v>
      </c>
      <c r="R31" t="s">
        <v>2401</v>
      </c>
      <c r="S31" t="s">
        <v>2401</v>
      </c>
    </row>
    <row r="32" spans="1:19">
      <c r="A32" t="s">
        <v>2523</v>
      </c>
      <c r="B32" t="s">
        <v>2524</v>
      </c>
      <c r="C32" t="s">
        <v>2401</v>
      </c>
      <c r="D32" t="s">
        <v>2401</v>
      </c>
      <c r="E32" t="s">
        <v>2401</v>
      </c>
      <c r="F32" t="s">
        <v>2401</v>
      </c>
      <c r="G32" t="s">
        <v>2401</v>
      </c>
      <c r="H32" t="s">
        <v>2401</v>
      </c>
      <c r="I32" t="s">
        <v>2401</v>
      </c>
      <c r="J32" t="s">
        <v>2401</v>
      </c>
      <c r="K32" t="s">
        <v>2401</v>
      </c>
      <c r="L32" t="s">
        <v>2401</v>
      </c>
      <c r="M32" s="14">
        <v>45509.718055555553</v>
      </c>
      <c r="N32" t="s">
        <v>2401</v>
      </c>
      <c r="O32" t="s">
        <v>2401</v>
      </c>
      <c r="P32" t="s">
        <v>2401</v>
      </c>
      <c r="Q32" t="s">
        <v>2401</v>
      </c>
      <c r="R32" t="s">
        <v>2401</v>
      </c>
      <c r="S32" t="s">
        <v>2401</v>
      </c>
    </row>
    <row r="33" spans="1:19">
      <c r="A33" t="s">
        <v>2525</v>
      </c>
      <c r="B33" t="s">
        <v>2526</v>
      </c>
      <c r="C33" t="s">
        <v>2401</v>
      </c>
      <c r="D33" t="s">
        <v>2401</v>
      </c>
      <c r="E33" t="s">
        <v>2401</v>
      </c>
      <c r="F33" t="s">
        <v>2401</v>
      </c>
      <c r="G33" t="s">
        <v>2401</v>
      </c>
      <c r="H33" t="s">
        <v>2401</v>
      </c>
      <c r="I33" t="s">
        <v>2401</v>
      </c>
      <c r="J33" t="s">
        <v>2401</v>
      </c>
      <c r="K33" t="s">
        <v>2401</v>
      </c>
      <c r="L33" t="s">
        <v>2401</v>
      </c>
      <c r="M33" s="14">
        <v>45509.718055555553</v>
      </c>
      <c r="N33" t="s">
        <v>2401</v>
      </c>
      <c r="O33" t="s">
        <v>2401</v>
      </c>
      <c r="P33" t="s">
        <v>2401</v>
      </c>
      <c r="Q33" t="s">
        <v>2401</v>
      </c>
      <c r="R33" t="s">
        <v>2401</v>
      </c>
      <c r="S33" t="s">
        <v>2401</v>
      </c>
    </row>
    <row r="34" spans="1:19">
      <c r="A34" t="s">
        <v>2527</v>
      </c>
      <c r="B34" t="s">
        <v>2528</v>
      </c>
      <c r="C34" t="s">
        <v>2401</v>
      </c>
      <c r="D34" t="s">
        <v>2401</v>
      </c>
      <c r="E34" t="s">
        <v>2401</v>
      </c>
      <c r="F34" t="s">
        <v>2401</v>
      </c>
      <c r="G34" t="s">
        <v>2401</v>
      </c>
      <c r="H34" t="s">
        <v>2401</v>
      </c>
      <c r="I34" t="s">
        <v>2401</v>
      </c>
      <c r="J34" t="s">
        <v>2401</v>
      </c>
      <c r="K34" t="s">
        <v>2401</v>
      </c>
      <c r="L34" t="s">
        <v>2401</v>
      </c>
      <c r="M34" s="14">
        <v>45509.718055555553</v>
      </c>
      <c r="N34" t="s">
        <v>2401</v>
      </c>
      <c r="O34" t="s">
        <v>2401</v>
      </c>
      <c r="P34" t="s">
        <v>2401</v>
      </c>
      <c r="Q34" t="s">
        <v>2401</v>
      </c>
      <c r="R34" t="s">
        <v>2401</v>
      </c>
      <c r="S34" t="s">
        <v>2401</v>
      </c>
    </row>
    <row r="35" spans="1:19">
      <c r="A35" t="s">
        <v>2529</v>
      </c>
      <c r="B35" t="s">
        <v>2530</v>
      </c>
      <c r="C35" t="s">
        <v>2401</v>
      </c>
      <c r="D35" t="s">
        <v>2401</v>
      </c>
      <c r="E35" t="s">
        <v>2401</v>
      </c>
      <c r="F35" t="s">
        <v>2401</v>
      </c>
      <c r="G35" t="s">
        <v>2401</v>
      </c>
      <c r="H35" t="s">
        <v>2401</v>
      </c>
      <c r="I35" t="s">
        <v>2401</v>
      </c>
      <c r="J35" t="s">
        <v>2401</v>
      </c>
      <c r="K35" t="s">
        <v>2401</v>
      </c>
      <c r="L35" t="s">
        <v>2401</v>
      </c>
      <c r="M35" s="14">
        <v>45509.718055555553</v>
      </c>
      <c r="N35" t="s">
        <v>2401</v>
      </c>
      <c r="O35" t="s">
        <v>2401</v>
      </c>
      <c r="P35" t="s">
        <v>2401</v>
      </c>
      <c r="Q35" t="s">
        <v>2401</v>
      </c>
      <c r="R35" t="s">
        <v>2401</v>
      </c>
      <c r="S35" t="s">
        <v>2401</v>
      </c>
    </row>
    <row r="36" spans="1:19">
      <c r="A36" t="s">
        <v>2531</v>
      </c>
      <c r="B36" t="s">
        <v>2532</v>
      </c>
      <c r="C36" t="s">
        <v>2401</v>
      </c>
      <c r="D36" t="s">
        <v>2401</v>
      </c>
      <c r="E36" t="s">
        <v>2401</v>
      </c>
      <c r="F36" t="s">
        <v>2401</v>
      </c>
      <c r="G36" t="s">
        <v>2401</v>
      </c>
      <c r="H36" t="s">
        <v>2401</v>
      </c>
      <c r="I36" t="s">
        <v>2401</v>
      </c>
      <c r="J36" t="s">
        <v>2401</v>
      </c>
      <c r="K36" t="s">
        <v>2401</v>
      </c>
      <c r="L36" t="s">
        <v>2401</v>
      </c>
      <c r="M36" s="14">
        <v>45509.718055555553</v>
      </c>
      <c r="N36" t="s">
        <v>2401</v>
      </c>
      <c r="O36" t="s">
        <v>2401</v>
      </c>
      <c r="P36" t="s">
        <v>2401</v>
      </c>
      <c r="Q36" t="s">
        <v>2401</v>
      </c>
      <c r="R36" t="s">
        <v>2401</v>
      </c>
      <c r="S36" t="s">
        <v>2401</v>
      </c>
    </row>
    <row r="37" spans="1:19">
      <c r="A37" t="s">
        <v>2533</v>
      </c>
      <c r="B37" t="s">
        <v>2534</v>
      </c>
      <c r="C37" t="s">
        <v>2401</v>
      </c>
      <c r="D37" t="s">
        <v>2401</v>
      </c>
      <c r="E37" t="s">
        <v>2401</v>
      </c>
      <c r="F37" t="s">
        <v>2401</v>
      </c>
      <c r="G37" t="s">
        <v>2401</v>
      </c>
      <c r="H37" t="s">
        <v>2401</v>
      </c>
      <c r="I37" t="s">
        <v>2401</v>
      </c>
      <c r="J37" t="s">
        <v>2401</v>
      </c>
      <c r="K37" t="s">
        <v>2401</v>
      </c>
      <c r="L37" t="s">
        <v>2401</v>
      </c>
      <c r="M37" s="14">
        <v>45509.718055555553</v>
      </c>
      <c r="N37" t="s">
        <v>2401</v>
      </c>
      <c r="O37" t="s">
        <v>2401</v>
      </c>
      <c r="P37" t="s">
        <v>2401</v>
      </c>
      <c r="Q37" t="s">
        <v>2401</v>
      </c>
      <c r="R37" t="s">
        <v>2401</v>
      </c>
      <c r="S37" t="s">
        <v>2401</v>
      </c>
    </row>
    <row r="38" spans="1:19">
      <c r="A38" t="s">
        <v>2535</v>
      </c>
      <c r="B38" t="s">
        <v>2536</v>
      </c>
      <c r="C38" t="s">
        <v>2401</v>
      </c>
      <c r="D38" t="s">
        <v>2401</v>
      </c>
      <c r="E38" t="s">
        <v>2401</v>
      </c>
      <c r="F38" t="s">
        <v>2401</v>
      </c>
      <c r="G38" t="s">
        <v>2401</v>
      </c>
      <c r="H38" t="s">
        <v>2401</v>
      </c>
      <c r="I38" t="s">
        <v>2401</v>
      </c>
      <c r="J38" t="s">
        <v>2537</v>
      </c>
      <c r="K38" t="s">
        <v>2448</v>
      </c>
      <c r="L38" t="s">
        <v>2538</v>
      </c>
      <c r="M38" s="14">
        <v>45089.45208333333</v>
      </c>
      <c r="N38" t="s">
        <v>2539</v>
      </c>
      <c r="O38" t="s">
        <v>2540</v>
      </c>
      <c r="P38" t="s">
        <v>2541</v>
      </c>
      <c r="Q38">
        <v>1</v>
      </c>
      <c r="R38" t="s">
        <v>2542</v>
      </c>
      <c r="S38" t="s">
        <v>2543</v>
      </c>
    </row>
    <row r="39" spans="1:19">
      <c r="A39" t="s">
        <v>2544</v>
      </c>
      <c r="B39" t="s">
        <v>2545</v>
      </c>
      <c r="C39" t="s">
        <v>2401</v>
      </c>
      <c r="D39" t="s">
        <v>2401</v>
      </c>
      <c r="E39" t="s">
        <v>2401</v>
      </c>
      <c r="F39" t="s">
        <v>2401</v>
      </c>
      <c r="G39" t="s">
        <v>2401</v>
      </c>
      <c r="H39" t="s">
        <v>2401</v>
      </c>
      <c r="I39" t="s">
        <v>2401</v>
      </c>
      <c r="J39" t="s">
        <v>2537</v>
      </c>
      <c r="K39" t="s">
        <v>2448</v>
      </c>
      <c r="L39" t="s">
        <v>2538</v>
      </c>
      <c r="M39" s="14">
        <v>45422.912499999999</v>
      </c>
      <c r="N39" t="s">
        <v>2449</v>
      </c>
      <c r="O39" t="s">
        <v>2401</v>
      </c>
      <c r="P39" t="s">
        <v>2401</v>
      </c>
      <c r="Q39" t="s">
        <v>2401</v>
      </c>
      <c r="R39" t="s">
        <v>2401</v>
      </c>
      <c r="S39" t="s">
        <v>2401</v>
      </c>
    </row>
    <row r="40" spans="1:19">
      <c r="A40" t="s">
        <v>2546</v>
      </c>
      <c r="B40" t="s">
        <v>2547</v>
      </c>
      <c r="C40" t="s">
        <v>2401</v>
      </c>
      <c r="D40" t="s">
        <v>2401</v>
      </c>
      <c r="E40" t="s">
        <v>2401</v>
      </c>
      <c r="F40" t="s">
        <v>2401</v>
      </c>
      <c r="G40" t="s">
        <v>2401</v>
      </c>
      <c r="H40" t="s">
        <v>2401</v>
      </c>
      <c r="I40" t="s">
        <v>2401</v>
      </c>
      <c r="J40" t="s">
        <v>2537</v>
      </c>
      <c r="K40" t="s">
        <v>2548</v>
      </c>
      <c r="L40" t="s">
        <v>2549</v>
      </c>
      <c r="M40" s="14">
        <v>45299.325694444444</v>
      </c>
      <c r="N40" t="s">
        <v>2550</v>
      </c>
      <c r="O40" t="s">
        <v>2540</v>
      </c>
      <c r="P40" t="s">
        <v>2401</v>
      </c>
      <c r="Q40" t="s">
        <v>2401</v>
      </c>
      <c r="R40" t="s">
        <v>2401</v>
      </c>
      <c r="S40" t="s">
        <v>2401</v>
      </c>
    </row>
    <row r="41" spans="1:19">
      <c r="A41" t="s">
        <v>2551</v>
      </c>
      <c r="B41" t="s">
        <v>2552</v>
      </c>
      <c r="C41" t="s">
        <v>2401</v>
      </c>
      <c r="D41" t="s">
        <v>2401</v>
      </c>
      <c r="E41" t="s">
        <v>2401</v>
      </c>
      <c r="F41" t="s">
        <v>2401</v>
      </c>
      <c r="G41" t="s">
        <v>2401</v>
      </c>
      <c r="H41" t="s">
        <v>2401</v>
      </c>
      <c r="I41" t="s">
        <v>2401</v>
      </c>
      <c r="J41" t="s">
        <v>2537</v>
      </c>
      <c r="K41" t="s">
        <v>2448</v>
      </c>
      <c r="L41" t="s">
        <v>2538</v>
      </c>
      <c r="M41" s="14">
        <v>45091.40625</v>
      </c>
      <c r="N41" t="s">
        <v>2553</v>
      </c>
      <c r="O41" t="s">
        <v>2540</v>
      </c>
      <c r="P41" t="s">
        <v>2554</v>
      </c>
      <c r="Q41">
        <v>1</v>
      </c>
      <c r="R41" t="s">
        <v>2401</v>
      </c>
      <c r="S41" t="s">
        <v>2555</v>
      </c>
    </row>
    <row r="42" spans="1:19">
      <c r="A42" t="s">
        <v>2556</v>
      </c>
      <c r="B42" t="s">
        <v>2557</v>
      </c>
      <c r="C42" t="s">
        <v>2401</v>
      </c>
      <c r="D42" t="s">
        <v>2401</v>
      </c>
      <c r="E42" t="s">
        <v>2401</v>
      </c>
      <c r="F42" t="s">
        <v>2401</v>
      </c>
      <c r="G42" t="s">
        <v>2401</v>
      </c>
      <c r="H42" t="s">
        <v>2401</v>
      </c>
      <c r="I42" t="s">
        <v>2401</v>
      </c>
      <c r="J42" t="s">
        <v>2401</v>
      </c>
      <c r="K42" t="s">
        <v>2401</v>
      </c>
      <c r="L42" t="s">
        <v>2401</v>
      </c>
      <c r="M42" s="14">
        <v>45509.718055555553</v>
      </c>
      <c r="N42" t="s">
        <v>2401</v>
      </c>
      <c r="O42" t="s">
        <v>2401</v>
      </c>
      <c r="P42" t="s">
        <v>2401</v>
      </c>
      <c r="Q42" t="s">
        <v>2401</v>
      </c>
      <c r="R42" t="s">
        <v>2401</v>
      </c>
      <c r="S42" t="s">
        <v>2401</v>
      </c>
    </row>
    <row r="43" spans="1:19">
      <c r="A43" t="s">
        <v>2558</v>
      </c>
      <c r="B43" t="s">
        <v>2559</v>
      </c>
      <c r="C43" t="s">
        <v>2401</v>
      </c>
      <c r="D43" t="s">
        <v>2401</v>
      </c>
      <c r="E43" t="s">
        <v>2401</v>
      </c>
      <c r="F43" t="s">
        <v>2401</v>
      </c>
      <c r="G43" t="s">
        <v>2401</v>
      </c>
      <c r="H43" t="s">
        <v>2401</v>
      </c>
      <c r="I43" t="s">
        <v>2401</v>
      </c>
      <c r="J43" t="s">
        <v>2401</v>
      </c>
      <c r="K43" t="s">
        <v>2401</v>
      </c>
      <c r="L43" t="s">
        <v>2401</v>
      </c>
      <c r="M43" s="14">
        <v>45509.718055555553</v>
      </c>
      <c r="N43" t="s">
        <v>2401</v>
      </c>
      <c r="O43" t="s">
        <v>2401</v>
      </c>
      <c r="P43" t="s">
        <v>2401</v>
      </c>
      <c r="Q43" t="s">
        <v>2401</v>
      </c>
      <c r="R43" t="s">
        <v>2401</v>
      </c>
      <c r="S43" t="s">
        <v>2401</v>
      </c>
    </row>
    <row r="44" spans="1:19">
      <c r="A44" t="s">
        <v>2560</v>
      </c>
      <c r="B44" t="s">
        <v>2561</v>
      </c>
      <c r="C44" t="s">
        <v>2401</v>
      </c>
      <c r="D44" t="s">
        <v>2401</v>
      </c>
      <c r="E44" t="s">
        <v>2401</v>
      </c>
      <c r="F44" t="s">
        <v>2401</v>
      </c>
      <c r="G44" t="s">
        <v>2401</v>
      </c>
      <c r="H44" t="s">
        <v>2401</v>
      </c>
      <c r="I44" t="s">
        <v>2401</v>
      </c>
      <c r="J44" t="s">
        <v>2401</v>
      </c>
      <c r="K44" t="s">
        <v>2401</v>
      </c>
      <c r="L44" t="s">
        <v>2401</v>
      </c>
      <c r="M44" s="14">
        <v>45509.718055555553</v>
      </c>
      <c r="N44" t="s">
        <v>2401</v>
      </c>
      <c r="O44" t="s">
        <v>2401</v>
      </c>
      <c r="P44" t="s">
        <v>2401</v>
      </c>
      <c r="Q44" t="s">
        <v>2401</v>
      </c>
      <c r="R44" t="s">
        <v>2401</v>
      </c>
      <c r="S44" t="s">
        <v>2401</v>
      </c>
    </row>
    <row r="45" spans="1:19">
      <c r="A45" t="s">
        <v>2562</v>
      </c>
      <c r="B45" t="s">
        <v>2563</v>
      </c>
      <c r="C45" t="s">
        <v>2564</v>
      </c>
      <c r="D45" t="s">
        <v>2565</v>
      </c>
      <c r="E45" t="s">
        <v>2401</v>
      </c>
      <c r="F45" t="s">
        <v>2401</v>
      </c>
      <c r="G45" t="s">
        <v>2401</v>
      </c>
      <c r="H45" t="s">
        <v>2401</v>
      </c>
      <c r="I45" t="s">
        <v>2401</v>
      </c>
      <c r="J45" t="s">
        <v>2566</v>
      </c>
      <c r="K45" t="s">
        <v>2567</v>
      </c>
      <c r="L45" t="s">
        <v>2401</v>
      </c>
      <c r="M45" s="14">
        <v>45167.669444444444</v>
      </c>
      <c r="N45" t="s">
        <v>2568</v>
      </c>
      <c r="O45" t="s">
        <v>2401</v>
      </c>
      <c r="P45" t="s">
        <v>2401</v>
      </c>
      <c r="Q45" t="s">
        <v>2401</v>
      </c>
      <c r="R45" t="s">
        <v>2401</v>
      </c>
      <c r="S45" t="s">
        <v>2401</v>
      </c>
    </row>
    <row r="46" spans="1:19">
      <c r="A46" t="s">
        <v>2569</v>
      </c>
      <c r="B46" t="s">
        <v>1025</v>
      </c>
      <c r="C46" t="s">
        <v>2401</v>
      </c>
      <c r="D46" t="s">
        <v>2401</v>
      </c>
      <c r="E46" t="s">
        <v>2401</v>
      </c>
      <c r="F46" t="s">
        <v>2401</v>
      </c>
      <c r="G46" t="s">
        <v>2401</v>
      </c>
      <c r="H46" t="s">
        <v>2401</v>
      </c>
      <c r="I46" t="s">
        <v>2401</v>
      </c>
      <c r="J46" t="s">
        <v>2570</v>
      </c>
      <c r="K46" t="s">
        <v>2571</v>
      </c>
      <c r="L46" t="s">
        <v>2401</v>
      </c>
      <c r="M46" s="14">
        <v>45426.492361111108</v>
      </c>
      <c r="N46" t="s">
        <v>2572</v>
      </c>
      <c r="O46" t="s">
        <v>2401</v>
      </c>
      <c r="P46" t="s">
        <v>2573</v>
      </c>
      <c r="Q46">
        <v>1</v>
      </c>
      <c r="R46" t="s">
        <v>2401</v>
      </c>
      <c r="S46" t="s">
        <v>2574</v>
      </c>
    </row>
    <row r="47" spans="1:19">
      <c r="A47" t="s">
        <v>2575</v>
      </c>
      <c r="B47" t="s">
        <v>2576</v>
      </c>
      <c r="C47" t="s">
        <v>2401</v>
      </c>
      <c r="D47" t="s">
        <v>2401</v>
      </c>
      <c r="E47" t="s">
        <v>2401</v>
      </c>
      <c r="F47" t="s">
        <v>2401</v>
      </c>
      <c r="G47" t="s">
        <v>2401</v>
      </c>
      <c r="H47" t="s">
        <v>2401</v>
      </c>
      <c r="I47" t="s">
        <v>2401</v>
      </c>
      <c r="J47" t="s">
        <v>2577</v>
      </c>
      <c r="K47" t="s">
        <v>2401</v>
      </c>
      <c r="L47" t="s">
        <v>2401</v>
      </c>
      <c r="M47" s="14">
        <v>45399.554861111108</v>
      </c>
      <c r="N47" t="s">
        <v>2578</v>
      </c>
      <c r="O47" t="s">
        <v>2401</v>
      </c>
      <c r="P47" t="s">
        <v>2401</v>
      </c>
      <c r="Q47" t="s">
        <v>2401</v>
      </c>
      <c r="R47" t="s">
        <v>2401</v>
      </c>
      <c r="S47" t="s">
        <v>2401</v>
      </c>
    </row>
    <row r="48" spans="1:19">
      <c r="A48" t="s">
        <v>2579</v>
      </c>
      <c r="B48" t="s">
        <v>2580</v>
      </c>
      <c r="C48" t="s">
        <v>2401</v>
      </c>
      <c r="D48" t="s">
        <v>2401</v>
      </c>
      <c r="E48" t="s">
        <v>2401</v>
      </c>
      <c r="F48" t="s">
        <v>2401</v>
      </c>
      <c r="G48" t="s">
        <v>2401</v>
      </c>
      <c r="H48" t="s">
        <v>2401</v>
      </c>
      <c r="I48" t="s">
        <v>61</v>
      </c>
      <c r="J48" t="s">
        <v>2581</v>
      </c>
      <c r="K48" t="s">
        <v>2406</v>
      </c>
      <c r="L48" t="s">
        <v>2401</v>
      </c>
      <c r="M48" s="14">
        <v>45399.554861111108</v>
      </c>
      <c r="N48" t="s">
        <v>2582</v>
      </c>
      <c r="O48" t="s">
        <v>2401</v>
      </c>
      <c r="P48" t="s">
        <v>2401</v>
      </c>
      <c r="Q48" t="s">
        <v>2401</v>
      </c>
      <c r="R48" t="s">
        <v>2401</v>
      </c>
      <c r="S48" t="s">
        <v>2401</v>
      </c>
    </row>
    <row r="49" spans="1:19">
      <c r="A49" t="s">
        <v>2583</v>
      </c>
      <c r="B49" t="s">
        <v>2580</v>
      </c>
      <c r="C49" t="s">
        <v>2401</v>
      </c>
      <c r="D49" t="s">
        <v>2401</v>
      </c>
      <c r="E49" t="s">
        <v>2401</v>
      </c>
      <c r="F49" t="s">
        <v>2401</v>
      </c>
      <c r="G49" t="s">
        <v>2401</v>
      </c>
      <c r="H49" t="s">
        <v>2401</v>
      </c>
      <c r="I49" t="s">
        <v>2401</v>
      </c>
      <c r="J49" t="s">
        <v>2584</v>
      </c>
      <c r="K49" t="s">
        <v>2499</v>
      </c>
      <c r="L49" t="s">
        <v>2401</v>
      </c>
      <c r="M49" s="14">
        <v>45390.607638888891</v>
      </c>
      <c r="N49" t="s">
        <v>2585</v>
      </c>
      <c r="O49" t="s">
        <v>2586</v>
      </c>
      <c r="P49" t="s">
        <v>2401</v>
      </c>
      <c r="Q49" t="s">
        <v>2401</v>
      </c>
      <c r="R49" t="s">
        <v>2401</v>
      </c>
      <c r="S49" t="s">
        <v>2401</v>
      </c>
    </row>
    <row r="50" spans="1:19">
      <c r="A50" t="s">
        <v>2587</v>
      </c>
      <c r="B50" t="s">
        <v>2588</v>
      </c>
      <c r="C50" t="s">
        <v>2401</v>
      </c>
      <c r="D50" t="s">
        <v>2401</v>
      </c>
      <c r="E50" t="s">
        <v>2401</v>
      </c>
      <c r="F50" t="s">
        <v>2401</v>
      </c>
      <c r="G50" t="s">
        <v>2401</v>
      </c>
      <c r="H50" t="s">
        <v>2401</v>
      </c>
      <c r="I50" t="s">
        <v>2401</v>
      </c>
      <c r="J50" t="s">
        <v>2589</v>
      </c>
      <c r="K50" t="s">
        <v>2548</v>
      </c>
      <c r="L50" t="s">
        <v>2538</v>
      </c>
      <c r="M50" s="14">
        <v>45097.645138888889</v>
      </c>
      <c r="N50" t="s">
        <v>2553</v>
      </c>
      <c r="O50" t="s">
        <v>2540</v>
      </c>
      <c r="P50" t="s">
        <v>2590</v>
      </c>
      <c r="Q50">
        <v>1</v>
      </c>
      <c r="R50" t="s">
        <v>2401</v>
      </c>
      <c r="S50" t="s">
        <v>2591</v>
      </c>
    </row>
    <row r="51" spans="1:19">
      <c r="A51" t="s">
        <v>2592</v>
      </c>
      <c r="B51" t="s">
        <v>2542</v>
      </c>
      <c r="C51" t="s">
        <v>2401</v>
      </c>
      <c r="D51" t="s">
        <v>2401</v>
      </c>
      <c r="E51" t="s">
        <v>2401</v>
      </c>
      <c r="F51" t="s">
        <v>2401</v>
      </c>
      <c r="G51" t="s">
        <v>2401</v>
      </c>
      <c r="H51" t="s">
        <v>2401</v>
      </c>
      <c r="I51" t="s">
        <v>2401</v>
      </c>
      <c r="J51" t="s">
        <v>2593</v>
      </c>
      <c r="K51" t="s">
        <v>2448</v>
      </c>
      <c r="L51" t="s">
        <v>2538</v>
      </c>
      <c r="M51" s="14">
        <v>45072.713194444441</v>
      </c>
      <c r="N51" t="s">
        <v>2449</v>
      </c>
      <c r="O51" t="s">
        <v>2401</v>
      </c>
      <c r="P51" t="s">
        <v>2594</v>
      </c>
      <c r="Q51">
        <v>1</v>
      </c>
      <c r="R51" t="s">
        <v>2401</v>
      </c>
      <c r="S51" t="s">
        <v>2595</v>
      </c>
    </row>
    <row r="52" spans="1:19">
      <c r="A52" t="s">
        <v>2596</v>
      </c>
      <c r="B52" t="s">
        <v>2597</v>
      </c>
      <c r="C52" t="s">
        <v>2401</v>
      </c>
      <c r="D52" t="s">
        <v>2401</v>
      </c>
      <c r="E52" t="s">
        <v>2401</v>
      </c>
      <c r="F52" t="s">
        <v>2401</v>
      </c>
      <c r="G52" t="s">
        <v>2401</v>
      </c>
      <c r="H52" t="s">
        <v>2401</v>
      </c>
      <c r="I52" t="s">
        <v>2401</v>
      </c>
      <c r="J52" t="s">
        <v>2598</v>
      </c>
      <c r="K52" t="s">
        <v>2599</v>
      </c>
      <c r="L52" t="s">
        <v>2401</v>
      </c>
      <c r="M52" s="14">
        <v>45390.607638888891</v>
      </c>
      <c r="N52" t="s">
        <v>2600</v>
      </c>
      <c r="O52" t="s">
        <v>2601</v>
      </c>
      <c r="P52" t="s">
        <v>2401</v>
      </c>
      <c r="Q52" t="s">
        <v>2401</v>
      </c>
      <c r="R52" t="s">
        <v>2401</v>
      </c>
      <c r="S52" t="s">
        <v>2401</v>
      </c>
    </row>
    <row r="53" spans="1:19">
      <c r="A53" t="s">
        <v>2602</v>
      </c>
      <c r="B53" t="s">
        <v>2603</v>
      </c>
      <c r="C53" t="s">
        <v>2401</v>
      </c>
      <c r="D53" t="s">
        <v>2401</v>
      </c>
      <c r="E53" t="s">
        <v>2401</v>
      </c>
      <c r="F53" t="s">
        <v>2401</v>
      </c>
      <c r="G53" t="s">
        <v>2401</v>
      </c>
      <c r="H53" t="s">
        <v>2401</v>
      </c>
      <c r="I53" t="s">
        <v>2401</v>
      </c>
      <c r="J53" t="s">
        <v>2604</v>
      </c>
      <c r="K53" t="s">
        <v>2406</v>
      </c>
      <c r="L53" t="s">
        <v>2401</v>
      </c>
      <c r="M53" s="14">
        <v>45390.607638888891</v>
      </c>
      <c r="N53" t="s">
        <v>2605</v>
      </c>
      <c r="O53" t="s">
        <v>2606</v>
      </c>
      <c r="P53" t="s">
        <v>2401</v>
      </c>
      <c r="Q53" t="s">
        <v>2401</v>
      </c>
      <c r="R53" t="s">
        <v>2401</v>
      </c>
      <c r="S53" t="s">
        <v>2401</v>
      </c>
    </row>
    <row r="54" spans="1:19">
      <c r="A54" t="s">
        <v>2607</v>
      </c>
      <c r="B54" t="s">
        <v>2608</v>
      </c>
      <c r="C54" t="s">
        <v>2401</v>
      </c>
      <c r="D54" t="s">
        <v>2401</v>
      </c>
      <c r="E54" t="s">
        <v>2401</v>
      </c>
      <c r="F54" t="s">
        <v>2401</v>
      </c>
      <c r="G54" t="s">
        <v>2401</v>
      </c>
      <c r="H54" t="s">
        <v>2401</v>
      </c>
      <c r="I54" t="s">
        <v>2401</v>
      </c>
      <c r="J54" t="s">
        <v>2609</v>
      </c>
      <c r="K54" t="s">
        <v>2610</v>
      </c>
      <c r="L54" t="s">
        <v>2401</v>
      </c>
      <c r="M54" s="14">
        <v>45390.607638888891</v>
      </c>
      <c r="N54" t="s">
        <v>2611</v>
      </c>
      <c r="O54" t="s">
        <v>2401</v>
      </c>
      <c r="P54" t="s">
        <v>2401</v>
      </c>
      <c r="Q54" t="s">
        <v>2401</v>
      </c>
      <c r="R54" t="s">
        <v>2401</v>
      </c>
      <c r="S54" t="s">
        <v>2401</v>
      </c>
    </row>
    <row r="55" spans="1:19">
      <c r="A55" t="s">
        <v>2612</v>
      </c>
      <c r="B55" t="s">
        <v>2613</v>
      </c>
      <c r="C55" t="s">
        <v>2401</v>
      </c>
      <c r="D55" t="s">
        <v>2401</v>
      </c>
      <c r="E55" t="s">
        <v>2401</v>
      </c>
      <c r="F55" t="s">
        <v>2401</v>
      </c>
      <c r="G55" t="s">
        <v>2401</v>
      </c>
      <c r="H55" t="s">
        <v>2401</v>
      </c>
      <c r="I55" t="s">
        <v>2401</v>
      </c>
      <c r="J55" t="s">
        <v>2614</v>
      </c>
      <c r="K55" t="s">
        <v>2615</v>
      </c>
      <c r="L55" t="s">
        <v>2401</v>
      </c>
      <c r="M55" s="14">
        <v>45399.554861111108</v>
      </c>
      <c r="N55" t="s">
        <v>2616</v>
      </c>
      <c r="O55" t="s">
        <v>2617</v>
      </c>
      <c r="P55" t="s">
        <v>2401</v>
      </c>
      <c r="Q55" t="s">
        <v>2401</v>
      </c>
      <c r="R55" t="s">
        <v>2401</v>
      </c>
      <c r="S55" t="s">
        <v>2401</v>
      </c>
    </row>
    <row r="56" spans="1:19">
      <c r="A56" t="s">
        <v>2618</v>
      </c>
      <c r="B56" t="s">
        <v>2619</v>
      </c>
      <c r="C56" t="s">
        <v>2401</v>
      </c>
      <c r="D56" t="s">
        <v>2401</v>
      </c>
      <c r="E56" t="s">
        <v>2401</v>
      </c>
      <c r="F56" t="s">
        <v>2401</v>
      </c>
      <c r="G56" t="s">
        <v>2401</v>
      </c>
      <c r="H56" t="s">
        <v>2401</v>
      </c>
      <c r="I56" t="s">
        <v>2401</v>
      </c>
      <c r="J56" t="s">
        <v>2620</v>
      </c>
      <c r="K56" t="s">
        <v>2406</v>
      </c>
      <c r="L56" t="s">
        <v>2401</v>
      </c>
      <c r="M56" s="14">
        <v>45554.475694444445</v>
      </c>
      <c r="N56" t="s">
        <v>2621</v>
      </c>
      <c r="O56" t="s">
        <v>2622</v>
      </c>
      <c r="P56" t="s">
        <v>2401</v>
      </c>
      <c r="Q56" t="s">
        <v>2401</v>
      </c>
      <c r="R56" t="s">
        <v>2401</v>
      </c>
      <c r="S56" t="s">
        <v>2401</v>
      </c>
    </row>
    <row r="57" spans="1:19">
      <c r="A57" t="s">
        <v>2623</v>
      </c>
      <c r="B57" t="s">
        <v>2624</v>
      </c>
      <c r="C57" t="s">
        <v>2401</v>
      </c>
      <c r="D57" t="s">
        <v>2401</v>
      </c>
      <c r="E57" t="s">
        <v>2401</v>
      </c>
      <c r="F57" t="s">
        <v>2401</v>
      </c>
      <c r="G57" t="s">
        <v>2401</v>
      </c>
      <c r="H57" t="s">
        <v>2401</v>
      </c>
      <c r="I57" t="s">
        <v>2401</v>
      </c>
      <c r="J57" t="s">
        <v>2625</v>
      </c>
      <c r="K57" t="s">
        <v>2401</v>
      </c>
      <c r="L57" t="s">
        <v>2401</v>
      </c>
      <c r="M57" s="14">
        <v>45565.570833333331</v>
      </c>
      <c r="N57" t="s">
        <v>2626</v>
      </c>
      <c r="O57" t="s">
        <v>2401</v>
      </c>
      <c r="P57" t="s">
        <v>2401</v>
      </c>
      <c r="Q57" t="s">
        <v>2401</v>
      </c>
      <c r="R57" t="s">
        <v>2401</v>
      </c>
      <c r="S57" t="s">
        <v>2401</v>
      </c>
    </row>
    <row r="58" spans="1:19">
      <c r="A58" t="s">
        <v>2627</v>
      </c>
      <c r="B58" t="s">
        <v>2628</v>
      </c>
      <c r="C58" t="s">
        <v>2401</v>
      </c>
      <c r="D58" t="s">
        <v>2401</v>
      </c>
      <c r="E58" t="s">
        <v>2401</v>
      </c>
      <c r="F58" t="s">
        <v>2401</v>
      </c>
      <c r="G58" t="s">
        <v>2401</v>
      </c>
      <c r="H58" t="s">
        <v>2401</v>
      </c>
      <c r="I58" t="s">
        <v>2401</v>
      </c>
      <c r="J58" t="s">
        <v>2629</v>
      </c>
      <c r="K58" t="s">
        <v>2599</v>
      </c>
      <c r="L58" t="s">
        <v>2401</v>
      </c>
      <c r="M58" s="14">
        <v>45399.554861111108</v>
      </c>
      <c r="N58" t="s">
        <v>2630</v>
      </c>
      <c r="O58" t="s">
        <v>2631</v>
      </c>
      <c r="P58" t="s">
        <v>2401</v>
      </c>
      <c r="Q58" t="s">
        <v>2401</v>
      </c>
      <c r="R58" t="s">
        <v>2401</v>
      </c>
      <c r="S58" t="s">
        <v>2401</v>
      </c>
    </row>
    <row r="59" spans="1:19">
      <c r="A59" t="s">
        <v>2632</v>
      </c>
      <c r="B59" t="s">
        <v>2633</v>
      </c>
      <c r="C59" t="s">
        <v>2401</v>
      </c>
      <c r="D59" t="s">
        <v>2401</v>
      </c>
      <c r="E59" t="s">
        <v>2401</v>
      </c>
      <c r="F59" t="s">
        <v>2401</v>
      </c>
      <c r="G59" t="s">
        <v>2401</v>
      </c>
      <c r="H59" t="s">
        <v>2401</v>
      </c>
      <c r="I59" t="s">
        <v>2401</v>
      </c>
      <c r="J59" t="s">
        <v>2634</v>
      </c>
      <c r="K59" t="s">
        <v>2635</v>
      </c>
      <c r="L59" t="s">
        <v>2401</v>
      </c>
      <c r="M59" s="14">
        <v>45399.554861111108</v>
      </c>
      <c r="N59" t="s">
        <v>2636</v>
      </c>
      <c r="O59" t="s">
        <v>2637</v>
      </c>
      <c r="P59" t="s">
        <v>2401</v>
      </c>
      <c r="Q59" t="s">
        <v>2401</v>
      </c>
      <c r="R59" t="s">
        <v>2401</v>
      </c>
      <c r="S59" t="s">
        <v>2401</v>
      </c>
    </row>
    <row r="60" spans="1:19">
      <c r="A60" t="s">
        <v>2638</v>
      </c>
      <c r="B60" t="s">
        <v>2639</v>
      </c>
      <c r="C60" t="s">
        <v>2401</v>
      </c>
      <c r="D60" t="s">
        <v>2401</v>
      </c>
      <c r="E60" t="s">
        <v>2401</v>
      </c>
      <c r="F60" t="s">
        <v>2401</v>
      </c>
      <c r="G60" t="s">
        <v>2401</v>
      </c>
      <c r="H60" t="s">
        <v>2401</v>
      </c>
      <c r="I60" t="s">
        <v>2401</v>
      </c>
      <c r="J60" t="s">
        <v>2640</v>
      </c>
      <c r="K60" t="s">
        <v>2433</v>
      </c>
      <c r="L60" t="s">
        <v>2401</v>
      </c>
      <c r="M60" s="14">
        <v>45565.697222222225</v>
      </c>
      <c r="N60" t="s">
        <v>2641</v>
      </c>
      <c r="O60" t="s">
        <v>2642</v>
      </c>
      <c r="P60" t="s">
        <v>2401</v>
      </c>
      <c r="Q60" t="s">
        <v>2401</v>
      </c>
      <c r="R60" t="s">
        <v>2401</v>
      </c>
      <c r="S60" t="s">
        <v>2401</v>
      </c>
    </row>
    <row r="61" spans="1:19">
      <c r="A61" t="s">
        <v>2643</v>
      </c>
      <c r="B61" t="s">
        <v>2644</v>
      </c>
      <c r="C61" t="s">
        <v>2401</v>
      </c>
      <c r="D61" t="s">
        <v>2401</v>
      </c>
      <c r="E61" t="s">
        <v>2401</v>
      </c>
      <c r="F61" t="s">
        <v>2401</v>
      </c>
      <c r="G61" t="s">
        <v>2401</v>
      </c>
      <c r="H61" t="s">
        <v>2401</v>
      </c>
      <c r="I61" t="s">
        <v>2401</v>
      </c>
      <c r="J61" t="s">
        <v>2645</v>
      </c>
      <c r="K61" t="s">
        <v>2406</v>
      </c>
      <c r="L61" t="s">
        <v>2401</v>
      </c>
      <c r="M61" s="14">
        <v>45565.697222222225</v>
      </c>
      <c r="N61" t="s">
        <v>2646</v>
      </c>
      <c r="O61" t="s">
        <v>2642</v>
      </c>
      <c r="P61" t="s">
        <v>2401</v>
      </c>
      <c r="Q61" t="s">
        <v>2401</v>
      </c>
      <c r="R61" t="s">
        <v>2401</v>
      </c>
      <c r="S61" t="s">
        <v>2401</v>
      </c>
    </row>
    <row r="62" spans="1:19">
      <c r="A62" t="s">
        <v>2647</v>
      </c>
      <c r="B62" t="s">
        <v>2648</v>
      </c>
      <c r="C62" t="s">
        <v>2401</v>
      </c>
      <c r="D62" t="s">
        <v>2401</v>
      </c>
      <c r="E62" t="s">
        <v>2401</v>
      </c>
      <c r="F62" t="s">
        <v>2401</v>
      </c>
      <c r="G62" t="s">
        <v>2401</v>
      </c>
      <c r="H62" t="s">
        <v>2401</v>
      </c>
      <c r="I62" t="s">
        <v>2401</v>
      </c>
      <c r="J62" t="s">
        <v>2649</v>
      </c>
      <c r="K62" t="s">
        <v>2438</v>
      </c>
      <c r="L62" t="s">
        <v>1031</v>
      </c>
      <c r="M62" s="14">
        <v>45518.830555555556</v>
      </c>
      <c r="N62" t="s">
        <v>2650</v>
      </c>
      <c r="O62" t="s">
        <v>2401</v>
      </c>
      <c r="P62" t="s">
        <v>2401</v>
      </c>
      <c r="Q62" t="s">
        <v>2401</v>
      </c>
      <c r="R62" t="s">
        <v>2401</v>
      </c>
      <c r="S62" t="s">
        <v>2401</v>
      </c>
    </row>
    <row r="63" spans="1:19">
      <c r="A63" t="s">
        <v>2651</v>
      </c>
      <c r="B63" t="s">
        <v>2652</v>
      </c>
      <c r="C63" t="s">
        <v>2401</v>
      </c>
      <c r="D63" t="s">
        <v>2401</v>
      </c>
      <c r="E63" t="s">
        <v>2401</v>
      </c>
      <c r="F63" t="s">
        <v>2401</v>
      </c>
      <c r="G63" t="s">
        <v>2401</v>
      </c>
      <c r="H63" t="s">
        <v>2401</v>
      </c>
      <c r="I63" t="s">
        <v>2401</v>
      </c>
      <c r="J63" t="s">
        <v>2653</v>
      </c>
      <c r="K63" t="s">
        <v>2492</v>
      </c>
      <c r="L63" t="s">
        <v>2401</v>
      </c>
      <c r="M63" s="14">
        <v>45565.699305555558</v>
      </c>
      <c r="N63" t="s">
        <v>2654</v>
      </c>
      <c r="O63" t="s">
        <v>2655</v>
      </c>
      <c r="P63" t="s">
        <v>2401</v>
      </c>
      <c r="Q63" t="s">
        <v>2401</v>
      </c>
      <c r="R63" t="s">
        <v>2401</v>
      </c>
      <c r="S63" t="s">
        <v>2401</v>
      </c>
    </row>
    <row r="64" spans="1:19">
      <c r="A64" t="s">
        <v>2656</v>
      </c>
      <c r="B64" t="s">
        <v>2657</v>
      </c>
      <c r="C64" t="s">
        <v>2401</v>
      </c>
      <c r="D64" t="s">
        <v>2401</v>
      </c>
      <c r="E64" t="s">
        <v>2401</v>
      </c>
      <c r="F64" t="s">
        <v>2401</v>
      </c>
      <c r="G64" t="s">
        <v>2401</v>
      </c>
      <c r="H64" t="s">
        <v>2401</v>
      </c>
      <c r="I64" t="s">
        <v>2401</v>
      </c>
      <c r="J64" t="s">
        <v>2401</v>
      </c>
      <c r="K64" t="s">
        <v>2401</v>
      </c>
      <c r="L64" t="s">
        <v>2401</v>
      </c>
      <c r="M64" s="14">
        <v>45399.554861111108</v>
      </c>
      <c r="N64" t="s">
        <v>2401</v>
      </c>
      <c r="O64" t="s">
        <v>2401</v>
      </c>
      <c r="P64" t="s">
        <v>2401</v>
      </c>
      <c r="Q64" t="s">
        <v>2401</v>
      </c>
      <c r="R64" t="s">
        <v>2401</v>
      </c>
      <c r="S64" t="s">
        <v>2401</v>
      </c>
    </row>
    <row r="65" spans="1:19">
      <c r="A65" t="s">
        <v>2658</v>
      </c>
      <c r="B65" t="s">
        <v>2659</v>
      </c>
      <c r="C65" t="s">
        <v>2401</v>
      </c>
      <c r="D65" t="s">
        <v>2401</v>
      </c>
      <c r="E65" t="s">
        <v>2401</v>
      </c>
      <c r="F65" t="s">
        <v>2401</v>
      </c>
      <c r="G65" t="s">
        <v>2401</v>
      </c>
      <c r="H65" t="s">
        <v>2401</v>
      </c>
      <c r="I65" t="s">
        <v>2401</v>
      </c>
      <c r="J65" t="s">
        <v>2660</v>
      </c>
      <c r="K65" t="s">
        <v>2499</v>
      </c>
      <c r="L65" t="s">
        <v>2401</v>
      </c>
      <c r="M65" s="14">
        <v>45565.645138888889</v>
      </c>
      <c r="N65" t="s">
        <v>2661</v>
      </c>
      <c r="O65" t="s">
        <v>2662</v>
      </c>
      <c r="P65" t="s">
        <v>2401</v>
      </c>
      <c r="Q65" t="s">
        <v>2401</v>
      </c>
      <c r="R65" t="s">
        <v>2401</v>
      </c>
      <c r="S65" t="s">
        <v>2401</v>
      </c>
    </row>
    <row r="66" spans="1:19">
      <c r="A66" t="s">
        <v>2663</v>
      </c>
      <c r="B66" t="s">
        <v>2664</v>
      </c>
      <c r="C66" t="s">
        <v>2401</v>
      </c>
      <c r="D66" t="s">
        <v>2401</v>
      </c>
      <c r="E66" t="s">
        <v>2401</v>
      </c>
      <c r="F66" t="s">
        <v>2401</v>
      </c>
      <c r="G66" t="s">
        <v>2401</v>
      </c>
      <c r="H66" t="s">
        <v>2401</v>
      </c>
      <c r="I66" t="s">
        <v>61</v>
      </c>
      <c r="J66" t="s">
        <v>2665</v>
      </c>
      <c r="K66" t="s">
        <v>2499</v>
      </c>
      <c r="L66" t="s">
        <v>2401</v>
      </c>
      <c r="M66" s="14">
        <v>45390.607638888891</v>
      </c>
      <c r="N66" t="s">
        <v>2666</v>
      </c>
      <c r="O66" t="s">
        <v>2667</v>
      </c>
      <c r="P66" t="s">
        <v>2401</v>
      </c>
      <c r="Q66" t="s">
        <v>2401</v>
      </c>
      <c r="R66" t="s">
        <v>2401</v>
      </c>
      <c r="S66" t="s">
        <v>2401</v>
      </c>
    </row>
    <row r="67" spans="1:19">
      <c r="A67" t="s">
        <v>2668</v>
      </c>
      <c r="B67" t="s">
        <v>2669</v>
      </c>
      <c r="C67" t="s">
        <v>2401</v>
      </c>
      <c r="D67" t="s">
        <v>2401</v>
      </c>
      <c r="E67" t="s">
        <v>2401</v>
      </c>
      <c r="F67" t="s">
        <v>2401</v>
      </c>
      <c r="G67" t="s">
        <v>2401</v>
      </c>
      <c r="H67" t="s">
        <v>2401</v>
      </c>
      <c r="I67" t="s">
        <v>2401</v>
      </c>
      <c r="J67" t="s">
        <v>2670</v>
      </c>
      <c r="K67" t="s">
        <v>2433</v>
      </c>
      <c r="L67" t="s">
        <v>2401</v>
      </c>
      <c r="M67" s="14">
        <v>45565.65</v>
      </c>
      <c r="N67" t="s">
        <v>2671</v>
      </c>
      <c r="O67" t="s">
        <v>2672</v>
      </c>
      <c r="P67" t="s">
        <v>2401</v>
      </c>
      <c r="Q67" t="s">
        <v>2401</v>
      </c>
      <c r="R67" t="s">
        <v>2401</v>
      </c>
      <c r="S67" t="s">
        <v>2401</v>
      </c>
    </row>
    <row r="68" spans="1:19">
      <c r="A68" t="s">
        <v>2673</v>
      </c>
      <c r="B68" t="s">
        <v>2674</v>
      </c>
      <c r="C68" t="s">
        <v>2401</v>
      </c>
      <c r="D68" t="s">
        <v>2401</v>
      </c>
      <c r="E68" t="s">
        <v>2401</v>
      </c>
      <c r="F68" t="s">
        <v>2401</v>
      </c>
      <c r="G68" t="s">
        <v>2401</v>
      </c>
      <c r="H68" t="s">
        <v>2401</v>
      </c>
      <c r="I68" t="s">
        <v>2401</v>
      </c>
      <c r="J68" t="s">
        <v>2401</v>
      </c>
      <c r="K68" t="s">
        <v>2401</v>
      </c>
      <c r="L68" t="s">
        <v>2401</v>
      </c>
      <c r="M68" s="14">
        <v>45390.607638888891</v>
      </c>
      <c r="N68" t="s">
        <v>2401</v>
      </c>
      <c r="O68" t="s">
        <v>2675</v>
      </c>
      <c r="P68" t="s">
        <v>2401</v>
      </c>
      <c r="Q68" t="s">
        <v>2401</v>
      </c>
      <c r="R68" t="s">
        <v>2401</v>
      </c>
      <c r="S68" t="s">
        <v>2401</v>
      </c>
    </row>
    <row r="69" spans="1:19">
      <c r="A69" t="s">
        <v>2676</v>
      </c>
      <c r="B69" t="s">
        <v>2677</v>
      </c>
      <c r="C69" t="s">
        <v>2401</v>
      </c>
      <c r="D69" t="s">
        <v>2401</v>
      </c>
      <c r="E69" t="s">
        <v>2401</v>
      </c>
      <c r="F69" t="s">
        <v>2401</v>
      </c>
      <c r="G69" t="s">
        <v>2401</v>
      </c>
      <c r="H69" t="s">
        <v>2401</v>
      </c>
      <c r="I69" t="s">
        <v>61</v>
      </c>
      <c r="J69" t="s">
        <v>2678</v>
      </c>
      <c r="K69" t="s">
        <v>2679</v>
      </c>
      <c r="L69" t="s">
        <v>2401</v>
      </c>
      <c r="M69" s="14">
        <v>45399.554861111108</v>
      </c>
      <c r="N69" t="s">
        <v>2680</v>
      </c>
      <c r="O69" t="s">
        <v>2681</v>
      </c>
      <c r="P69" t="s">
        <v>2401</v>
      </c>
      <c r="Q69" t="s">
        <v>2401</v>
      </c>
      <c r="R69" t="s">
        <v>2401</v>
      </c>
      <c r="S69" t="s">
        <v>2401</v>
      </c>
    </row>
    <row r="70" spans="1:19">
      <c r="A70" t="s">
        <v>2682</v>
      </c>
      <c r="B70" t="s">
        <v>2683</v>
      </c>
      <c r="C70" t="s">
        <v>2401</v>
      </c>
      <c r="D70" t="s">
        <v>2401</v>
      </c>
      <c r="E70" t="s">
        <v>2401</v>
      </c>
      <c r="F70" t="s">
        <v>2401</v>
      </c>
      <c r="G70" t="s">
        <v>2401</v>
      </c>
      <c r="H70" t="s">
        <v>2401</v>
      </c>
      <c r="I70" t="s">
        <v>2401</v>
      </c>
      <c r="J70" t="s">
        <v>2401</v>
      </c>
      <c r="K70" t="s">
        <v>2406</v>
      </c>
      <c r="L70" t="s">
        <v>2401</v>
      </c>
      <c r="M70" s="14">
        <v>45390.607638888891</v>
      </c>
      <c r="N70" t="s">
        <v>2401</v>
      </c>
      <c r="O70" t="s">
        <v>2684</v>
      </c>
      <c r="P70" t="s">
        <v>2401</v>
      </c>
      <c r="Q70" t="s">
        <v>2401</v>
      </c>
      <c r="R70" t="s">
        <v>2401</v>
      </c>
      <c r="S70" t="s">
        <v>2401</v>
      </c>
    </row>
    <row r="71" spans="1:19">
      <c r="A71" t="s">
        <v>2685</v>
      </c>
      <c r="B71" t="s">
        <v>2686</v>
      </c>
      <c r="C71" t="s">
        <v>2401</v>
      </c>
      <c r="D71" t="s">
        <v>2401</v>
      </c>
      <c r="E71" t="s">
        <v>2401</v>
      </c>
      <c r="F71" t="s">
        <v>2401</v>
      </c>
      <c r="G71" t="s">
        <v>2401</v>
      </c>
      <c r="H71" t="s">
        <v>2401</v>
      </c>
      <c r="I71" t="s">
        <v>61</v>
      </c>
      <c r="J71" t="s">
        <v>2687</v>
      </c>
      <c r="K71" t="s">
        <v>2438</v>
      </c>
      <c r="L71" t="s">
        <v>2401</v>
      </c>
      <c r="M71" s="14">
        <v>45399.554861111108</v>
      </c>
      <c r="N71" t="s">
        <v>2401</v>
      </c>
      <c r="O71" t="s">
        <v>2401</v>
      </c>
      <c r="P71" t="s">
        <v>2401</v>
      </c>
      <c r="Q71" t="s">
        <v>2401</v>
      </c>
      <c r="R71" t="s">
        <v>2401</v>
      </c>
      <c r="S71" t="s">
        <v>2401</v>
      </c>
    </row>
    <row r="72" spans="1:19">
      <c r="A72" t="s">
        <v>2688</v>
      </c>
      <c r="B72" t="s">
        <v>2689</v>
      </c>
      <c r="C72" t="s">
        <v>2401</v>
      </c>
      <c r="D72" t="s">
        <v>2401</v>
      </c>
      <c r="E72" t="s">
        <v>2401</v>
      </c>
      <c r="F72" t="s">
        <v>2401</v>
      </c>
      <c r="G72" t="s">
        <v>2401</v>
      </c>
      <c r="H72" t="s">
        <v>2401</v>
      </c>
      <c r="I72" t="s">
        <v>2401</v>
      </c>
      <c r="J72" t="s">
        <v>2690</v>
      </c>
      <c r="K72" t="s">
        <v>2448</v>
      </c>
      <c r="L72" t="s">
        <v>2401</v>
      </c>
      <c r="M72" s="14">
        <v>45384.561111111114</v>
      </c>
      <c r="N72" t="s">
        <v>2449</v>
      </c>
      <c r="O72" t="s">
        <v>2401</v>
      </c>
      <c r="P72" t="s">
        <v>2691</v>
      </c>
      <c r="Q72">
        <v>1</v>
      </c>
      <c r="R72" t="s">
        <v>2401</v>
      </c>
      <c r="S72" t="s">
        <v>2692</v>
      </c>
    </row>
    <row r="73" spans="1:19">
      <c r="A73" t="s">
        <v>2693</v>
      </c>
      <c r="B73" t="s">
        <v>2694</v>
      </c>
      <c r="C73" t="s">
        <v>2401</v>
      </c>
      <c r="D73" t="s">
        <v>2401</v>
      </c>
      <c r="E73" t="s">
        <v>2401</v>
      </c>
      <c r="F73" t="s">
        <v>2401</v>
      </c>
      <c r="G73" t="s">
        <v>2401</v>
      </c>
      <c r="H73" t="s">
        <v>2401</v>
      </c>
      <c r="I73" t="s">
        <v>2401</v>
      </c>
      <c r="J73" t="s">
        <v>2695</v>
      </c>
      <c r="K73" t="s">
        <v>2486</v>
      </c>
      <c r="L73" t="s">
        <v>2401</v>
      </c>
      <c r="M73" s="14">
        <v>45399.554861111108</v>
      </c>
      <c r="N73" t="s">
        <v>2696</v>
      </c>
      <c r="O73" t="s">
        <v>2697</v>
      </c>
      <c r="P73" t="s">
        <v>2401</v>
      </c>
      <c r="Q73" t="s">
        <v>2401</v>
      </c>
      <c r="R73" t="s">
        <v>2401</v>
      </c>
      <c r="S73" t="s">
        <v>2401</v>
      </c>
    </row>
    <row r="74" spans="1:19">
      <c r="A74" t="s">
        <v>2698</v>
      </c>
      <c r="B74" t="s">
        <v>2699</v>
      </c>
      <c r="C74" t="s">
        <v>2401</v>
      </c>
      <c r="D74" t="s">
        <v>2401</v>
      </c>
      <c r="E74" t="s">
        <v>2401</v>
      </c>
      <c r="F74" t="s">
        <v>2401</v>
      </c>
      <c r="G74" t="s">
        <v>2401</v>
      </c>
      <c r="H74" t="s">
        <v>2401</v>
      </c>
      <c r="I74" t="s">
        <v>2401</v>
      </c>
      <c r="J74" t="s">
        <v>2700</v>
      </c>
      <c r="K74" t="s">
        <v>2701</v>
      </c>
      <c r="L74" t="s">
        <v>2401</v>
      </c>
      <c r="M74" s="14">
        <v>45390.607638888891</v>
      </c>
      <c r="N74" t="s">
        <v>2702</v>
      </c>
      <c r="O74" t="s">
        <v>2703</v>
      </c>
      <c r="P74" t="s">
        <v>2401</v>
      </c>
      <c r="Q74" t="s">
        <v>2401</v>
      </c>
      <c r="R74" t="s">
        <v>2401</v>
      </c>
      <c r="S74" t="s">
        <v>2401</v>
      </c>
    </row>
    <row r="75" spans="1:19">
      <c r="A75" t="s">
        <v>2704</v>
      </c>
      <c r="B75" t="s">
        <v>2705</v>
      </c>
      <c r="C75" t="s">
        <v>2401</v>
      </c>
      <c r="D75" t="s">
        <v>2401</v>
      </c>
      <c r="E75" t="s">
        <v>2401</v>
      </c>
      <c r="F75" t="s">
        <v>2401</v>
      </c>
      <c r="G75" t="s">
        <v>2401</v>
      </c>
      <c r="H75" t="s">
        <v>2401</v>
      </c>
      <c r="I75" t="s">
        <v>2401</v>
      </c>
      <c r="J75" t="s">
        <v>2401</v>
      </c>
      <c r="K75" t="s">
        <v>2401</v>
      </c>
      <c r="L75" t="s">
        <v>2401</v>
      </c>
      <c r="M75" s="14">
        <v>45399.554861111108</v>
      </c>
      <c r="N75" t="s">
        <v>2401</v>
      </c>
      <c r="O75" t="s">
        <v>2401</v>
      </c>
      <c r="P75" t="s">
        <v>2401</v>
      </c>
      <c r="Q75" t="s">
        <v>2401</v>
      </c>
      <c r="R75" t="s">
        <v>2401</v>
      </c>
      <c r="S75" t="s">
        <v>2401</v>
      </c>
    </row>
    <row r="76" spans="1:19">
      <c r="A76" t="s">
        <v>2706</v>
      </c>
      <c r="B76" t="s">
        <v>2707</v>
      </c>
      <c r="C76" t="s">
        <v>2401</v>
      </c>
      <c r="D76" t="s">
        <v>2401</v>
      </c>
      <c r="E76" t="s">
        <v>2401</v>
      </c>
      <c r="F76" t="s">
        <v>2401</v>
      </c>
      <c r="G76" t="s">
        <v>2401</v>
      </c>
      <c r="H76" t="s">
        <v>2401</v>
      </c>
      <c r="I76" t="s">
        <v>2401</v>
      </c>
      <c r="J76" t="s">
        <v>2708</v>
      </c>
      <c r="K76" t="s">
        <v>2709</v>
      </c>
      <c r="L76" t="s">
        <v>2401</v>
      </c>
      <c r="M76" s="14">
        <v>45399.554861111108</v>
      </c>
      <c r="N76" t="s">
        <v>2710</v>
      </c>
      <c r="O76" t="s">
        <v>2711</v>
      </c>
      <c r="P76" t="s">
        <v>2401</v>
      </c>
      <c r="Q76" t="s">
        <v>2401</v>
      </c>
      <c r="R76" t="s">
        <v>2401</v>
      </c>
      <c r="S76" t="s">
        <v>2401</v>
      </c>
    </row>
    <row r="77" spans="1:19">
      <c r="A77" t="s">
        <v>2712</v>
      </c>
      <c r="B77" t="s">
        <v>2713</v>
      </c>
      <c r="C77" t="s">
        <v>2401</v>
      </c>
      <c r="D77" t="s">
        <v>2401</v>
      </c>
      <c r="E77" t="s">
        <v>2401</v>
      </c>
      <c r="F77" t="s">
        <v>2401</v>
      </c>
      <c r="G77" t="s">
        <v>2401</v>
      </c>
      <c r="H77" t="s">
        <v>2401</v>
      </c>
      <c r="I77" t="s">
        <v>2401</v>
      </c>
      <c r="J77" t="s">
        <v>2714</v>
      </c>
      <c r="K77" t="s">
        <v>2715</v>
      </c>
      <c r="L77" t="s">
        <v>2401</v>
      </c>
      <c r="M77" s="14">
        <v>45399.554861111108</v>
      </c>
      <c r="N77" t="s">
        <v>2716</v>
      </c>
      <c r="O77" t="s">
        <v>2717</v>
      </c>
      <c r="P77" t="s">
        <v>2401</v>
      </c>
      <c r="Q77" t="s">
        <v>2401</v>
      </c>
      <c r="R77" t="s">
        <v>2401</v>
      </c>
      <c r="S77" t="s">
        <v>2401</v>
      </c>
    </row>
    <row r="78" spans="1:19">
      <c r="A78" t="s">
        <v>2718</v>
      </c>
      <c r="B78" t="s">
        <v>1038</v>
      </c>
      <c r="C78" t="s">
        <v>2401</v>
      </c>
      <c r="D78" t="s">
        <v>2401</v>
      </c>
      <c r="E78" t="s">
        <v>2401</v>
      </c>
      <c r="F78" t="s">
        <v>2401</v>
      </c>
      <c r="G78" t="s">
        <v>2401</v>
      </c>
      <c r="H78" t="s">
        <v>2401</v>
      </c>
      <c r="I78" t="s">
        <v>61</v>
      </c>
      <c r="J78" t="s">
        <v>2719</v>
      </c>
      <c r="K78" t="s">
        <v>2720</v>
      </c>
      <c r="L78" t="s">
        <v>2401</v>
      </c>
      <c r="M78" s="14">
        <v>45399.554861111108</v>
      </c>
      <c r="N78" t="s">
        <v>2721</v>
      </c>
      <c r="O78" t="s">
        <v>2722</v>
      </c>
      <c r="P78" t="s">
        <v>2401</v>
      </c>
      <c r="Q78" t="s">
        <v>2401</v>
      </c>
      <c r="R78" t="s">
        <v>2401</v>
      </c>
      <c r="S78" t="s">
        <v>2401</v>
      </c>
    </row>
    <row r="79" spans="1:19">
      <c r="A79" t="s">
        <v>2723</v>
      </c>
      <c r="B79" t="s">
        <v>1038</v>
      </c>
      <c r="C79" t="s">
        <v>2401</v>
      </c>
      <c r="D79" t="s">
        <v>2401</v>
      </c>
      <c r="E79" t="s">
        <v>2401</v>
      </c>
      <c r="F79" t="s">
        <v>2401</v>
      </c>
      <c r="G79" t="s">
        <v>2401</v>
      </c>
      <c r="H79" t="s">
        <v>2401</v>
      </c>
      <c r="I79" t="s">
        <v>2401</v>
      </c>
      <c r="J79" t="s">
        <v>2719</v>
      </c>
      <c r="K79" t="s">
        <v>2499</v>
      </c>
      <c r="L79" t="s">
        <v>2401</v>
      </c>
      <c r="M79" s="14">
        <v>45390.607638888891</v>
      </c>
      <c r="N79" t="s">
        <v>2724</v>
      </c>
      <c r="O79" t="s">
        <v>2586</v>
      </c>
      <c r="P79" t="s">
        <v>2401</v>
      </c>
      <c r="Q79" t="s">
        <v>2401</v>
      </c>
      <c r="R79" t="s">
        <v>2401</v>
      </c>
      <c r="S79" t="s">
        <v>2401</v>
      </c>
    </row>
    <row r="80" spans="1:19">
      <c r="A80" t="s">
        <v>2725</v>
      </c>
      <c r="B80" t="s">
        <v>2726</v>
      </c>
      <c r="C80" t="s">
        <v>2401</v>
      </c>
      <c r="D80" t="s">
        <v>2401</v>
      </c>
      <c r="E80" t="s">
        <v>2401</v>
      </c>
      <c r="F80" t="s">
        <v>2401</v>
      </c>
      <c r="G80" t="s">
        <v>2401</v>
      </c>
      <c r="H80" t="s">
        <v>2401</v>
      </c>
      <c r="I80" t="s">
        <v>61</v>
      </c>
      <c r="J80" t="s">
        <v>2727</v>
      </c>
      <c r="K80" t="s">
        <v>2499</v>
      </c>
      <c r="L80" t="s">
        <v>2401</v>
      </c>
      <c r="M80" s="14">
        <v>45399.554861111108</v>
      </c>
      <c r="N80" t="s">
        <v>2728</v>
      </c>
      <c r="O80" t="s">
        <v>2729</v>
      </c>
      <c r="P80" t="s">
        <v>2401</v>
      </c>
      <c r="Q80" t="s">
        <v>2401</v>
      </c>
      <c r="R80" t="s">
        <v>2401</v>
      </c>
      <c r="S80" t="s">
        <v>2401</v>
      </c>
    </row>
    <row r="81" spans="1:19">
      <c r="A81" t="s">
        <v>2730</v>
      </c>
      <c r="B81" t="s">
        <v>2726</v>
      </c>
      <c r="C81" t="s">
        <v>2401</v>
      </c>
      <c r="D81" t="s">
        <v>2401</v>
      </c>
      <c r="E81" t="s">
        <v>2401</v>
      </c>
      <c r="F81" t="s">
        <v>2401</v>
      </c>
      <c r="G81" t="s">
        <v>2401</v>
      </c>
      <c r="H81" t="s">
        <v>2401</v>
      </c>
      <c r="I81" t="s">
        <v>2401</v>
      </c>
      <c r="J81" t="s">
        <v>2401</v>
      </c>
      <c r="K81" t="s">
        <v>2401</v>
      </c>
      <c r="L81" t="s">
        <v>2401</v>
      </c>
      <c r="M81" s="14">
        <v>45390.607638888891</v>
      </c>
      <c r="N81" t="s">
        <v>2401</v>
      </c>
      <c r="O81" t="s">
        <v>2731</v>
      </c>
      <c r="P81" t="s">
        <v>2401</v>
      </c>
      <c r="Q81" t="s">
        <v>2401</v>
      </c>
      <c r="R81" t="s">
        <v>2401</v>
      </c>
      <c r="S81" t="s">
        <v>2401</v>
      </c>
    </row>
    <row r="82" spans="1:19">
      <c r="A82" t="s">
        <v>2732</v>
      </c>
      <c r="B82" t="s">
        <v>2733</v>
      </c>
      <c r="C82" t="s">
        <v>2401</v>
      </c>
      <c r="D82" t="s">
        <v>2401</v>
      </c>
      <c r="E82" t="s">
        <v>2401</v>
      </c>
      <c r="F82" t="s">
        <v>2401</v>
      </c>
      <c r="G82" t="s">
        <v>2401</v>
      </c>
      <c r="H82" t="s">
        <v>2401</v>
      </c>
      <c r="I82" t="s">
        <v>2401</v>
      </c>
      <c r="J82" t="s">
        <v>2734</v>
      </c>
      <c r="K82" t="s">
        <v>2433</v>
      </c>
      <c r="L82" t="s">
        <v>2401</v>
      </c>
      <c r="M82" s="14">
        <v>45565.65</v>
      </c>
      <c r="N82" t="s">
        <v>2735</v>
      </c>
      <c r="O82" t="s">
        <v>2736</v>
      </c>
      <c r="P82" t="s">
        <v>2401</v>
      </c>
      <c r="Q82" t="s">
        <v>2401</v>
      </c>
      <c r="R82" t="s">
        <v>2401</v>
      </c>
      <c r="S82" t="s">
        <v>2401</v>
      </c>
    </row>
    <row r="83" spans="1:19">
      <c r="A83" t="s">
        <v>2737</v>
      </c>
      <c r="B83" t="s">
        <v>2738</v>
      </c>
      <c r="C83" t="s">
        <v>2401</v>
      </c>
      <c r="D83" t="s">
        <v>2401</v>
      </c>
      <c r="E83" t="s">
        <v>2401</v>
      </c>
      <c r="F83" t="s">
        <v>2401</v>
      </c>
      <c r="G83" t="s">
        <v>2401</v>
      </c>
      <c r="H83" t="s">
        <v>2401</v>
      </c>
      <c r="I83" t="s">
        <v>2401</v>
      </c>
      <c r="J83" t="s">
        <v>2739</v>
      </c>
      <c r="K83" t="s">
        <v>2571</v>
      </c>
      <c r="L83" t="s">
        <v>2401</v>
      </c>
      <c r="M83" s="14">
        <v>45399.554861111108</v>
      </c>
      <c r="N83" t="s">
        <v>2740</v>
      </c>
      <c r="O83" t="s">
        <v>2401</v>
      </c>
      <c r="P83" t="s">
        <v>2401</v>
      </c>
      <c r="Q83" t="s">
        <v>2401</v>
      </c>
      <c r="R83" t="s">
        <v>2401</v>
      </c>
      <c r="S83" t="s">
        <v>2401</v>
      </c>
    </row>
    <row r="84" spans="1:19">
      <c r="A84" t="s">
        <v>2741</v>
      </c>
      <c r="B84" t="s">
        <v>1055</v>
      </c>
      <c r="C84" t="s">
        <v>2401</v>
      </c>
      <c r="D84" t="s">
        <v>2401</v>
      </c>
      <c r="E84" t="s">
        <v>2401</v>
      </c>
      <c r="F84" t="s">
        <v>2401</v>
      </c>
      <c r="G84" t="s">
        <v>2401</v>
      </c>
      <c r="H84" t="s">
        <v>2401</v>
      </c>
      <c r="I84" t="s">
        <v>2401</v>
      </c>
      <c r="J84" t="s">
        <v>2742</v>
      </c>
      <c r="K84" t="s">
        <v>2743</v>
      </c>
      <c r="L84" t="s">
        <v>2401</v>
      </c>
      <c r="M84" s="14">
        <v>45399.554861111108</v>
      </c>
      <c r="N84" t="s">
        <v>2744</v>
      </c>
      <c r="O84" t="s">
        <v>2745</v>
      </c>
      <c r="P84" t="s">
        <v>2401</v>
      </c>
      <c r="Q84" t="s">
        <v>2401</v>
      </c>
      <c r="R84" t="s">
        <v>2401</v>
      </c>
      <c r="S84" t="s">
        <v>2401</v>
      </c>
    </row>
    <row r="85" spans="1:19">
      <c r="A85" t="s">
        <v>2746</v>
      </c>
      <c r="B85" t="s">
        <v>2747</v>
      </c>
      <c r="C85" t="s">
        <v>2401</v>
      </c>
      <c r="D85" t="s">
        <v>2401</v>
      </c>
      <c r="E85" t="s">
        <v>2401</v>
      </c>
      <c r="F85" t="s">
        <v>2401</v>
      </c>
      <c r="G85" t="s">
        <v>2401</v>
      </c>
      <c r="H85" t="s">
        <v>2401</v>
      </c>
      <c r="I85" t="s">
        <v>2401</v>
      </c>
      <c r="J85" t="s">
        <v>2748</v>
      </c>
      <c r="K85" t="s">
        <v>2749</v>
      </c>
      <c r="L85" t="s">
        <v>2401</v>
      </c>
      <c r="M85" s="14">
        <v>45534.874305555553</v>
      </c>
      <c r="N85" t="s">
        <v>2750</v>
      </c>
      <c r="O85" t="s">
        <v>2751</v>
      </c>
      <c r="P85" t="s">
        <v>2401</v>
      </c>
      <c r="Q85" t="s">
        <v>2401</v>
      </c>
      <c r="R85" t="s">
        <v>2401</v>
      </c>
      <c r="S85" t="s">
        <v>2401</v>
      </c>
    </row>
    <row r="86" spans="1:19">
      <c r="A86" t="s">
        <v>2752</v>
      </c>
      <c r="B86" t="s">
        <v>2753</v>
      </c>
      <c r="C86" t="s">
        <v>2401</v>
      </c>
      <c r="D86" t="s">
        <v>2401</v>
      </c>
      <c r="E86" t="s">
        <v>2401</v>
      </c>
      <c r="F86" t="s">
        <v>2401</v>
      </c>
      <c r="G86" t="s">
        <v>2401</v>
      </c>
      <c r="H86" t="s">
        <v>2401</v>
      </c>
      <c r="I86" t="s">
        <v>2401</v>
      </c>
      <c r="J86" t="s">
        <v>2754</v>
      </c>
      <c r="K86" t="s">
        <v>2755</v>
      </c>
      <c r="L86" t="s">
        <v>2401</v>
      </c>
      <c r="M86" s="14">
        <v>45399.554861111108</v>
      </c>
      <c r="N86" t="s">
        <v>2756</v>
      </c>
      <c r="O86" t="s">
        <v>2757</v>
      </c>
      <c r="P86" t="s">
        <v>2401</v>
      </c>
      <c r="Q86" t="s">
        <v>2401</v>
      </c>
      <c r="R86" t="s">
        <v>2401</v>
      </c>
      <c r="S86" t="s">
        <v>2401</v>
      </c>
    </row>
    <row r="87" spans="1:19">
      <c r="A87" t="s">
        <v>2758</v>
      </c>
      <c r="B87" t="s">
        <v>2759</v>
      </c>
      <c r="C87" t="s">
        <v>2401</v>
      </c>
      <c r="D87" t="s">
        <v>2401</v>
      </c>
      <c r="E87" t="s">
        <v>2401</v>
      </c>
      <c r="F87" t="s">
        <v>2401</v>
      </c>
      <c r="G87" t="s">
        <v>2401</v>
      </c>
      <c r="H87" t="s">
        <v>2401</v>
      </c>
      <c r="I87" t="s">
        <v>2401</v>
      </c>
      <c r="J87" t="s">
        <v>2760</v>
      </c>
      <c r="K87" t="s">
        <v>2401</v>
      </c>
      <c r="L87" t="s">
        <v>2401</v>
      </c>
      <c r="M87" s="14">
        <v>45399.554861111108</v>
      </c>
      <c r="N87" t="s">
        <v>2761</v>
      </c>
      <c r="O87" t="s">
        <v>2762</v>
      </c>
      <c r="P87" t="s">
        <v>2401</v>
      </c>
      <c r="Q87" t="s">
        <v>2401</v>
      </c>
      <c r="R87" t="s">
        <v>2401</v>
      </c>
      <c r="S87" t="s">
        <v>2401</v>
      </c>
    </row>
    <row r="88" spans="1:19">
      <c r="A88" t="s">
        <v>2763</v>
      </c>
      <c r="B88" t="s">
        <v>2764</v>
      </c>
      <c r="C88" t="s">
        <v>2401</v>
      </c>
      <c r="D88" t="s">
        <v>2401</v>
      </c>
      <c r="E88" t="s">
        <v>2401</v>
      </c>
      <c r="F88" t="s">
        <v>2401</v>
      </c>
      <c r="G88" t="s">
        <v>2401</v>
      </c>
      <c r="H88" t="s">
        <v>2401</v>
      </c>
      <c r="I88" t="s">
        <v>2401</v>
      </c>
      <c r="J88" t="s">
        <v>2765</v>
      </c>
      <c r="K88" t="s">
        <v>2492</v>
      </c>
      <c r="L88" t="s">
        <v>2401</v>
      </c>
      <c r="M88" s="14">
        <v>45399.554861111108</v>
      </c>
      <c r="N88" t="s">
        <v>2766</v>
      </c>
      <c r="O88" t="s">
        <v>2767</v>
      </c>
      <c r="P88" t="s">
        <v>2401</v>
      </c>
      <c r="Q88" t="s">
        <v>2401</v>
      </c>
      <c r="R88" t="s">
        <v>2401</v>
      </c>
      <c r="S88" t="s">
        <v>2401</v>
      </c>
    </row>
    <row r="89" spans="1:19">
      <c r="A89" t="s">
        <v>2768</v>
      </c>
      <c r="B89" t="s">
        <v>2769</v>
      </c>
      <c r="C89" t="s">
        <v>2401</v>
      </c>
      <c r="D89" t="s">
        <v>2401</v>
      </c>
      <c r="E89" t="s">
        <v>2401</v>
      </c>
      <c r="F89" t="s">
        <v>2401</v>
      </c>
      <c r="G89" t="s">
        <v>2401</v>
      </c>
      <c r="H89" t="s">
        <v>2401</v>
      </c>
      <c r="I89" t="s">
        <v>2401</v>
      </c>
      <c r="J89" t="s">
        <v>2770</v>
      </c>
      <c r="K89" t="s">
        <v>2492</v>
      </c>
      <c r="L89" t="s">
        <v>2401</v>
      </c>
      <c r="M89" s="14">
        <v>45565.665277777778</v>
      </c>
      <c r="N89" t="s">
        <v>2771</v>
      </c>
      <c r="O89" t="s">
        <v>2767</v>
      </c>
      <c r="P89" t="s">
        <v>2401</v>
      </c>
      <c r="Q89" t="s">
        <v>2401</v>
      </c>
      <c r="R89" t="s">
        <v>2401</v>
      </c>
      <c r="S89" t="s">
        <v>2401</v>
      </c>
    </row>
    <row r="90" spans="1:19">
      <c r="A90" t="s">
        <v>2772</v>
      </c>
      <c r="B90" t="s">
        <v>2773</v>
      </c>
      <c r="C90" t="s">
        <v>2401</v>
      </c>
      <c r="D90" t="s">
        <v>2401</v>
      </c>
      <c r="E90" t="s">
        <v>2401</v>
      </c>
      <c r="F90" t="s">
        <v>2401</v>
      </c>
      <c r="G90" t="s">
        <v>2401</v>
      </c>
      <c r="H90" t="s">
        <v>2401</v>
      </c>
      <c r="I90" t="s">
        <v>2401</v>
      </c>
      <c r="J90" t="s">
        <v>2774</v>
      </c>
      <c r="K90" t="s">
        <v>2433</v>
      </c>
      <c r="L90" t="s">
        <v>2401</v>
      </c>
      <c r="M90" s="14">
        <v>45565.673611111109</v>
      </c>
      <c r="N90" t="s">
        <v>2775</v>
      </c>
      <c r="O90" t="s">
        <v>2776</v>
      </c>
      <c r="P90" t="s">
        <v>2401</v>
      </c>
      <c r="Q90" t="s">
        <v>2401</v>
      </c>
      <c r="R90" t="s">
        <v>2401</v>
      </c>
      <c r="S90" t="s">
        <v>2401</v>
      </c>
    </row>
    <row r="91" spans="1:19">
      <c r="A91" t="s">
        <v>2777</v>
      </c>
      <c r="B91" t="s">
        <v>1059</v>
      </c>
      <c r="C91" t="s">
        <v>2401</v>
      </c>
      <c r="D91" t="s">
        <v>2401</v>
      </c>
      <c r="E91" t="s">
        <v>2401</v>
      </c>
      <c r="F91" t="s">
        <v>2401</v>
      </c>
      <c r="G91" t="s">
        <v>2401</v>
      </c>
      <c r="H91" t="s">
        <v>2401</v>
      </c>
      <c r="I91" t="s">
        <v>2401</v>
      </c>
      <c r="J91" t="s">
        <v>2778</v>
      </c>
      <c r="K91" t="s">
        <v>2779</v>
      </c>
      <c r="L91" t="s">
        <v>2401</v>
      </c>
      <c r="M91" s="14">
        <v>45399.554861111108</v>
      </c>
      <c r="N91" t="s">
        <v>2780</v>
      </c>
      <c r="O91" t="s">
        <v>2781</v>
      </c>
      <c r="P91" t="s">
        <v>2401</v>
      </c>
      <c r="Q91" t="s">
        <v>2401</v>
      </c>
      <c r="R91" t="s">
        <v>2401</v>
      </c>
      <c r="S91" t="s">
        <v>2401</v>
      </c>
    </row>
    <row r="92" spans="1:19">
      <c r="A92" t="s">
        <v>2782</v>
      </c>
      <c r="B92" t="s">
        <v>120</v>
      </c>
      <c r="C92" t="s">
        <v>2401</v>
      </c>
      <c r="D92" t="s">
        <v>2401</v>
      </c>
      <c r="E92" t="s">
        <v>2401</v>
      </c>
      <c r="F92" t="s">
        <v>2401</v>
      </c>
      <c r="G92" t="s">
        <v>2401</v>
      </c>
      <c r="H92" t="s">
        <v>2401</v>
      </c>
      <c r="I92" t="s">
        <v>2401</v>
      </c>
      <c r="J92" t="s">
        <v>2783</v>
      </c>
      <c r="K92" t="s">
        <v>2784</v>
      </c>
      <c r="L92" t="s">
        <v>2401</v>
      </c>
      <c r="M92" s="14">
        <v>45422.895833333336</v>
      </c>
      <c r="N92" t="s">
        <v>2785</v>
      </c>
      <c r="O92" t="s">
        <v>2786</v>
      </c>
      <c r="P92" t="s">
        <v>2401</v>
      </c>
      <c r="Q92" t="s">
        <v>2401</v>
      </c>
      <c r="R92" t="s">
        <v>2401</v>
      </c>
      <c r="S92" t="s">
        <v>2401</v>
      </c>
    </row>
    <row r="93" spans="1:19">
      <c r="A93" t="s">
        <v>2787</v>
      </c>
      <c r="B93" t="s">
        <v>2788</v>
      </c>
      <c r="C93" t="s">
        <v>2401</v>
      </c>
      <c r="D93" t="s">
        <v>2401</v>
      </c>
      <c r="E93" t="s">
        <v>2401</v>
      </c>
      <c r="F93" t="s">
        <v>2401</v>
      </c>
      <c r="G93" t="s">
        <v>2401</v>
      </c>
      <c r="H93" t="s">
        <v>2401</v>
      </c>
      <c r="I93" t="s">
        <v>2401</v>
      </c>
      <c r="J93" t="s">
        <v>2789</v>
      </c>
      <c r="K93" t="s">
        <v>2433</v>
      </c>
      <c r="L93" t="s">
        <v>2401</v>
      </c>
      <c r="M93" s="14">
        <v>45565.570833333331</v>
      </c>
      <c r="N93" t="s">
        <v>2790</v>
      </c>
      <c r="O93" t="s">
        <v>2791</v>
      </c>
      <c r="P93" t="s">
        <v>2401</v>
      </c>
      <c r="Q93" t="s">
        <v>2401</v>
      </c>
      <c r="R93" t="s">
        <v>2401</v>
      </c>
      <c r="S93" t="s">
        <v>2401</v>
      </c>
    </row>
    <row r="94" spans="1:19">
      <c r="A94" t="s">
        <v>2792</v>
      </c>
      <c r="B94" t="s">
        <v>2793</v>
      </c>
      <c r="C94" t="s">
        <v>2401</v>
      </c>
      <c r="D94" t="s">
        <v>2401</v>
      </c>
      <c r="E94" t="s">
        <v>2401</v>
      </c>
      <c r="F94" t="s">
        <v>2401</v>
      </c>
      <c r="G94" t="s">
        <v>2401</v>
      </c>
      <c r="H94" t="s">
        <v>2401</v>
      </c>
      <c r="I94" t="s">
        <v>2401</v>
      </c>
      <c r="J94" t="s">
        <v>2794</v>
      </c>
      <c r="K94" t="s">
        <v>2406</v>
      </c>
      <c r="L94" t="s">
        <v>2401</v>
      </c>
      <c r="M94" s="14">
        <v>45534.874305555553</v>
      </c>
      <c r="N94" t="s">
        <v>2795</v>
      </c>
      <c r="O94" t="s">
        <v>2401</v>
      </c>
      <c r="P94" t="s">
        <v>2401</v>
      </c>
      <c r="Q94" t="s">
        <v>2401</v>
      </c>
      <c r="R94" t="s">
        <v>2401</v>
      </c>
      <c r="S94" t="s">
        <v>2401</v>
      </c>
    </row>
    <row r="95" spans="1:19">
      <c r="A95" t="s">
        <v>2796</v>
      </c>
      <c r="B95" t="s">
        <v>2797</v>
      </c>
      <c r="C95" t="s">
        <v>2401</v>
      </c>
      <c r="D95" t="s">
        <v>2401</v>
      </c>
      <c r="E95" t="s">
        <v>2401</v>
      </c>
      <c r="F95" t="s">
        <v>2401</v>
      </c>
      <c r="G95" t="s">
        <v>2401</v>
      </c>
      <c r="H95" t="s">
        <v>2401</v>
      </c>
      <c r="I95" t="s">
        <v>2401</v>
      </c>
      <c r="J95" t="s">
        <v>2798</v>
      </c>
      <c r="K95" t="s">
        <v>2615</v>
      </c>
      <c r="L95" t="s">
        <v>2401</v>
      </c>
      <c r="M95" s="14">
        <v>45565.68472222222</v>
      </c>
      <c r="N95" t="s">
        <v>2799</v>
      </c>
      <c r="O95" t="s">
        <v>2800</v>
      </c>
      <c r="P95" t="s">
        <v>2401</v>
      </c>
      <c r="Q95" t="s">
        <v>2401</v>
      </c>
      <c r="R95" t="s">
        <v>2401</v>
      </c>
      <c r="S95" t="s">
        <v>2401</v>
      </c>
    </row>
    <row r="96" spans="1:19">
      <c r="A96" t="s">
        <v>2801</v>
      </c>
      <c r="B96" t="s">
        <v>2802</v>
      </c>
      <c r="C96" t="s">
        <v>2401</v>
      </c>
      <c r="D96" t="s">
        <v>2401</v>
      </c>
      <c r="E96" t="s">
        <v>2401</v>
      </c>
      <c r="F96" t="s">
        <v>2401</v>
      </c>
      <c r="G96" t="s">
        <v>2401</v>
      </c>
      <c r="H96" t="s">
        <v>2401</v>
      </c>
      <c r="I96" t="s">
        <v>2401</v>
      </c>
      <c r="J96" t="s">
        <v>2803</v>
      </c>
      <c r="K96" t="s">
        <v>2406</v>
      </c>
      <c r="L96" t="s">
        <v>2401</v>
      </c>
      <c r="M96" s="14">
        <v>45390.607638888891</v>
      </c>
      <c r="N96" t="s">
        <v>2804</v>
      </c>
      <c r="O96" t="s">
        <v>2805</v>
      </c>
      <c r="P96" t="s">
        <v>2401</v>
      </c>
      <c r="Q96" t="s">
        <v>2401</v>
      </c>
      <c r="R96" t="s">
        <v>2401</v>
      </c>
      <c r="S96" t="s">
        <v>2401</v>
      </c>
    </row>
    <row r="97" spans="1:19">
      <c r="A97" t="s">
        <v>2806</v>
      </c>
      <c r="B97" t="s">
        <v>2807</v>
      </c>
      <c r="C97" t="s">
        <v>2401</v>
      </c>
      <c r="D97" t="s">
        <v>2401</v>
      </c>
      <c r="E97" t="s">
        <v>2401</v>
      </c>
      <c r="F97" t="s">
        <v>2401</v>
      </c>
      <c r="G97" t="s">
        <v>2401</v>
      </c>
      <c r="H97" t="s">
        <v>2401</v>
      </c>
      <c r="I97" t="s">
        <v>61</v>
      </c>
      <c r="J97" t="s">
        <v>2401</v>
      </c>
      <c r="K97" t="s">
        <v>2401</v>
      </c>
      <c r="L97" t="s">
        <v>2401</v>
      </c>
      <c r="M97" s="14">
        <v>45399.554861111108</v>
      </c>
      <c r="N97" t="s">
        <v>2401</v>
      </c>
      <c r="O97" t="s">
        <v>2401</v>
      </c>
      <c r="P97" t="s">
        <v>2401</v>
      </c>
      <c r="Q97" t="s">
        <v>2401</v>
      </c>
      <c r="R97" t="s">
        <v>2401</v>
      </c>
      <c r="S97" t="s">
        <v>2401</v>
      </c>
    </row>
    <row r="98" spans="1:19">
      <c r="A98" t="s">
        <v>2808</v>
      </c>
      <c r="B98" t="s">
        <v>2809</v>
      </c>
      <c r="C98" t="s">
        <v>2564</v>
      </c>
      <c r="D98" t="s">
        <v>2810</v>
      </c>
      <c r="E98" t="s">
        <v>2811</v>
      </c>
      <c r="F98" t="s">
        <v>2812</v>
      </c>
      <c r="G98" t="s">
        <v>2813</v>
      </c>
      <c r="H98" t="s">
        <v>2814</v>
      </c>
      <c r="I98" t="s">
        <v>2401</v>
      </c>
      <c r="J98" t="s">
        <v>2815</v>
      </c>
      <c r="K98" t="s">
        <v>2406</v>
      </c>
      <c r="L98" t="s">
        <v>2401</v>
      </c>
      <c r="M98" s="14">
        <v>45534.874305555553</v>
      </c>
      <c r="N98" t="s">
        <v>2816</v>
      </c>
      <c r="O98" t="s">
        <v>2401</v>
      </c>
      <c r="P98" t="s">
        <v>2401</v>
      </c>
      <c r="Q98" t="s">
        <v>2401</v>
      </c>
      <c r="R98" t="s">
        <v>2401</v>
      </c>
      <c r="S98" t="s">
        <v>2401</v>
      </c>
    </row>
    <row r="99" spans="1:19">
      <c r="A99" t="s">
        <v>2817</v>
      </c>
      <c r="B99" t="s">
        <v>2818</v>
      </c>
      <c r="C99" t="s">
        <v>2401</v>
      </c>
      <c r="D99" t="s">
        <v>2401</v>
      </c>
      <c r="E99" t="s">
        <v>2401</v>
      </c>
      <c r="F99" t="s">
        <v>2401</v>
      </c>
      <c r="G99" t="s">
        <v>2401</v>
      </c>
      <c r="H99" t="s">
        <v>2401</v>
      </c>
      <c r="I99" t="s">
        <v>2401</v>
      </c>
      <c r="J99" t="s">
        <v>2819</v>
      </c>
      <c r="K99" t="s">
        <v>2548</v>
      </c>
      <c r="L99" t="s">
        <v>2401</v>
      </c>
      <c r="M99" s="14">
        <v>45404.501388888886</v>
      </c>
      <c r="N99" t="s">
        <v>2820</v>
      </c>
      <c r="O99" t="s">
        <v>2821</v>
      </c>
      <c r="P99" t="s">
        <v>2822</v>
      </c>
      <c r="Q99">
        <v>1</v>
      </c>
      <c r="R99" t="s">
        <v>2401</v>
      </c>
      <c r="S99" t="s">
        <v>2823</v>
      </c>
    </row>
    <row r="100" spans="1:19">
      <c r="A100" t="s">
        <v>2824</v>
      </c>
      <c r="B100" t="s">
        <v>2825</v>
      </c>
      <c r="C100" t="s">
        <v>2401</v>
      </c>
      <c r="D100" t="s">
        <v>2401</v>
      </c>
      <c r="E100" t="s">
        <v>2401</v>
      </c>
      <c r="F100" t="s">
        <v>2401</v>
      </c>
      <c r="G100" t="s">
        <v>2401</v>
      </c>
      <c r="H100" t="s">
        <v>2401</v>
      </c>
      <c r="I100" t="s">
        <v>2401</v>
      </c>
      <c r="J100" t="s">
        <v>2826</v>
      </c>
      <c r="K100" t="s">
        <v>2492</v>
      </c>
      <c r="L100" t="s">
        <v>2401</v>
      </c>
      <c r="M100" s="14">
        <v>45399.554861111108</v>
      </c>
      <c r="N100" t="s">
        <v>2827</v>
      </c>
      <c r="O100" t="s">
        <v>2828</v>
      </c>
      <c r="P100" t="s">
        <v>2401</v>
      </c>
      <c r="Q100" t="s">
        <v>2401</v>
      </c>
      <c r="R100" t="s">
        <v>2401</v>
      </c>
      <c r="S100" t="s">
        <v>2401</v>
      </c>
    </row>
    <row r="101" spans="1:19">
      <c r="A101" t="s">
        <v>2829</v>
      </c>
      <c r="B101" t="s">
        <v>1080</v>
      </c>
      <c r="C101" t="s">
        <v>2564</v>
      </c>
      <c r="D101" t="s">
        <v>2830</v>
      </c>
      <c r="E101" t="s">
        <v>2831</v>
      </c>
      <c r="F101" t="s">
        <v>2832</v>
      </c>
      <c r="G101" t="s">
        <v>2833</v>
      </c>
      <c r="H101" t="s">
        <v>2834</v>
      </c>
      <c r="I101" t="s">
        <v>2401</v>
      </c>
      <c r="J101" t="s">
        <v>2835</v>
      </c>
      <c r="K101" t="s">
        <v>2406</v>
      </c>
      <c r="L101" t="s">
        <v>2401</v>
      </c>
      <c r="M101" s="14">
        <v>45534.874305555553</v>
      </c>
      <c r="N101" t="s">
        <v>2836</v>
      </c>
      <c r="O101" t="s">
        <v>2401</v>
      </c>
      <c r="P101" t="s">
        <v>2401</v>
      </c>
      <c r="Q101" t="s">
        <v>2401</v>
      </c>
      <c r="R101" t="s">
        <v>2401</v>
      </c>
      <c r="S101" t="s">
        <v>2401</v>
      </c>
    </row>
    <row r="102" spans="1:19">
      <c r="A102" t="s">
        <v>2837</v>
      </c>
      <c r="B102" t="s">
        <v>2838</v>
      </c>
      <c r="C102" t="s">
        <v>2401</v>
      </c>
      <c r="D102" t="s">
        <v>2401</v>
      </c>
      <c r="E102" t="s">
        <v>2401</v>
      </c>
      <c r="F102" t="s">
        <v>2401</v>
      </c>
      <c r="G102" t="s">
        <v>2401</v>
      </c>
      <c r="H102" t="s">
        <v>2401</v>
      </c>
      <c r="I102" t="s">
        <v>2401</v>
      </c>
      <c r="J102" t="s">
        <v>2819</v>
      </c>
      <c r="K102" t="s">
        <v>2548</v>
      </c>
      <c r="L102" t="s">
        <v>2401</v>
      </c>
      <c r="M102" s="14">
        <v>45383.625</v>
      </c>
      <c r="N102" t="s">
        <v>2839</v>
      </c>
      <c r="O102" t="s">
        <v>2821</v>
      </c>
      <c r="P102" t="s">
        <v>2401</v>
      </c>
      <c r="Q102" t="s">
        <v>2401</v>
      </c>
      <c r="R102" t="s">
        <v>2401</v>
      </c>
      <c r="S102" t="s">
        <v>2401</v>
      </c>
    </row>
    <row r="103" spans="1:19">
      <c r="A103" t="s">
        <v>2840</v>
      </c>
      <c r="B103" t="s">
        <v>1093</v>
      </c>
      <c r="C103" t="s">
        <v>2401</v>
      </c>
      <c r="D103" t="s">
        <v>2401</v>
      </c>
      <c r="E103" t="s">
        <v>2401</v>
      </c>
      <c r="F103" t="s">
        <v>2401</v>
      </c>
      <c r="G103" t="s">
        <v>2401</v>
      </c>
      <c r="H103" t="s">
        <v>2401</v>
      </c>
      <c r="I103" t="s">
        <v>2401</v>
      </c>
      <c r="J103" t="s">
        <v>2841</v>
      </c>
      <c r="K103" t="s">
        <v>2433</v>
      </c>
      <c r="L103" t="s">
        <v>2401</v>
      </c>
      <c r="M103" s="14">
        <v>45565.698611111111</v>
      </c>
      <c r="N103" t="s">
        <v>2842</v>
      </c>
      <c r="O103" t="s">
        <v>2843</v>
      </c>
      <c r="P103" t="s">
        <v>2401</v>
      </c>
      <c r="Q103" t="s">
        <v>2401</v>
      </c>
      <c r="R103" t="s">
        <v>2401</v>
      </c>
      <c r="S103" t="s">
        <v>2401</v>
      </c>
    </row>
    <row r="104" spans="1:19">
      <c r="A104" t="s">
        <v>2844</v>
      </c>
      <c r="B104" t="s">
        <v>2845</v>
      </c>
      <c r="C104" t="s">
        <v>2401</v>
      </c>
      <c r="D104" t="s">
        <v>2401</v>
      </c>
      <c r="E104" t="s">
        <v>2401</v>
      </c>
      <c r="F104" t="s">
        <v>2401</v>
      </c>
      <c r="G104" t="s">
        <v>2401</v>
      </c>
      <c r="H104" t="s">
        <v>2401</v>
      </c>
      <c r="I104" t="s">
        <v>2401</v>
      </c>
      <c r="J104" t="s">
        <v>2401</v>
      </c>
      <c r="K104" t="s">
        <v>2401</v>
      </c>
      <c r="L104" t="s">
        <v>2401</v>
      </c>
      <c r="M104" s="14">
        <v>45399.554861111108</v>
      </c>
      <c r="N104" t="s">
        <v>2401</v>
      </c>
      <c r="O104" t="s">
        <v>2401</v>
      </c>
      <c r="P104" t="s">
        <v>2401</v>
      </c>
      <c r="Q104" t="s">
        <v>2401</v>
      </c>
      <c r="R104" t="s">
        <v>2401</v>
      </c>
      <c r="S104" t="s">
        <v>2401</v>
      </c>
    </row>
    <row r="105" spans="1:19">
      <c r="A105" t="s">
        <v>2846</v>
      </c>
      <c r="B105" t="s">
        <v>2847</v>
      </c>
      <c r="C105" t="s">
        <v>2401</v>
      </c>
      <c r="D105" t="s">
        <v>2401</v>
      </c>
      <c r="E105" t="s">
        <v>2401</v>
      </c>
      <c r="F105" t="s">
        <v>2401</v>
      </c>
      <c r="G105" t="s">
        <v>2401</v>
      </c>
      <c r="H105" t="s">
        <v>2401</v>
      </c>
      <c r="I105" t="s">
        <v>2401</v>
      </c>
      <c r="J105" t="s">
        <v>2401</v>
      </c>
      <c r="K105" t="s">
        <v>2779</v>
      </c>
      <c r="L105" t="s">
        <v>2401</v>
      </c>
      <c r="M105" s="14">
        <v>45390.607638888891</v>
      </c>
      <c r="N105" t="s">
        <v>2401</v>
      </c>
      <c r="O105" t="s">
        <v>2848</v>
      </c>
      <c r="P105" t="s">
        <v>2401</v>
      </c>
      <c r="Q105" t="s">
        <v>2401</v>
      </c>
      <c r="R105" t="s">
        <v>2401</v>
      </c>
      <c r="S105" t="s">
        <v>2401</v>
      </c>
    </row>
    <row r="106" spans="1:19">
      <c r="A106" t="s">
        <v>2849</v>
      </c>
      <c r="B106" t="s">
        <v>1104</v>
      </c>
      <c r="C106" t="s">
        <v>2401</v>
      </c>
      <c r="D106" t="s">
        <v>2401</v>
      </c>
      <c r="E106" t="s">
        <v>2401</v>
      </c>
      <c r="F106" t="s">
        <v>2401</v>
      </c>
      <c r="G106" t="s">
        <v>2401</v>
      </c>
      <c r="H106" t="s">
        <v>2401</v>
      </c>
      <c r="I106" t="s">
        <v>2401</v>
      </c>
      <c r="J106" t="s">
        <v>2401</v>
      </c>
      <c r="K106" t="s">
        <v>2779</v>
      </c>
      <c r="L106" t="s">
        <v>2401</v>
      </c>
      <c r="M106" s="14">
        <v>45390.607638888891</v>
      </c>
      <c r="N106" t="s">
        <v>2401</v>
      </c>
      <c r="O106" t="s">
        <v>2850</v>
      </c>
      <c r="P106" t="s">
        <v>2401</v>
      </c>
      <c r="Q106" t="s">
        <v>2401</v>
      </c>
      <c r="R106" t="s">
        <v>2401</v>
      </c>
      <c r="S106" t="s">
        <v>2401</v>
      </c>
    </row>
    <row r="107" spans="1:19">
      <c r="A107" t="s">
        <v>2851</v>
      </c>
      <c r="B107" t="s">
        <v>2852</v>
      </c>
      <c r="C107" t="s">
        <v>2401</v>
      </c>
      <c r="D107" t="s">
        <v>2401</v>
      </c>
      <c r="E107" t="s">
        <v>2401</v>
      </c>
      <c r="F107" t="s">
        <v>2401</v>
      </c>
      <c r="G107" t="s">
        <v>2401</v>
      </c>
      <c r="H107" t="s">
        <v>2401</v>
      </c>
      <c r="I107" t="s">
        <v>61</v>
      </c>
      <c r="J107" t="s">
        <v>2853</v>
      </c>
      <c r="K107" t="s">
        <v>2779</v>
      </c>
      <c r="L107" t="s">
        <v>2401</v>
      </c>
      <c r="M107" s="14">
        <v>45399.554861111108</v>
      </c>
      <c r="N107" t="s">
        <v>2854</v>
      </c>
      <c r="O107" t="s">
        <v>2855</v>
      </c>
      <c r="P107" t="s">
        <v>2401</v>
      </c>
      <c r="Q107" t="s">
        <v>2401</v>
      </c>
      <c r="R107" t="s">
        <v>2401</v>
      </c>
      <c r="S107" t="s">
        <v>2401</v>
      </c>
    </row>
    <row r="108" spans="1:19">
      <c r="A108" t="s">
        <v>2856</v>
      </c>
      <c r="B108" t="s">
        <v>131</v>
      </c>
      <c r="C108" t="s">
        <v>2401</v>
      </c>
      <c r="D108" t="s">
        <v>2401</v>
      </c>
      <c r="E108" t="s">
        <v>2401</v>
      </c>
      <c r="F108" t="s">
        <v>2401</v>
      </c>
      <c r="G108" t="s">
        <v>2401</v>
      </c>
      <c r="H108" t="s">
        <v>2401</v>
      </c>
      <c r="I108" t="s">
        <v>61</v>
      </c>
      <c r="J108" t="s">
        <v>2857</v>
      </c>
      <c r="K108" t="s">
        <v>2406</v>
      </c>
      <c r="L108" t="s">
        <v>2401</v>
      </c>
      <c r="M108" s="14">
        <v>45399.554861111108</v>
      </c>
      <c r="N108" t="s">
        <v>2858</v>
      </c>
      <c r="O108" t="s">
        <v>2401</v>
      </c>
      <c r="P108" t="s">
        <v>2401</v>
      </c>
      <c r="Q108" t="s">
        <v>2401</v>
      </c>
      <c r="R108" t="s">
        <v>2401</v>
      </c>
      <c r="S108" t="s">
        <v>2401</v>
      </c>
    </row>
    <row r="109" spans="1:19">
      <c r="A109" t="s">
        <v>2859</v>
      </c>
      <c r="B109" t="s">
        <v>131</v>
      </c>
      <c r="C109" t="s">
        <v>2401</v>
      </c>
      <c r="D109" t="s">
        <v>2401</v>
      </c>
      <c r="E109" t="s">
        <v>2401</v>
      </c>
      <c r="F109" t="s">
        <v>2401</v>
      </c>
      <c r="G109" t="s">
        <v>2401</v>
      </c>
      <c r="H109" t="s">
        <v>2401</v>
      </c>
      <c r="I109" t="s">
        <v>2401</v>
      </c>
      <c r="J109" t="s">
        <v>2401</v>
      </c>
      <c r="K109" t="s">
        <v>2401</v>
      </c>
      <c r="L109" t="s">
        <v>2401</v>
      </c>
      <c r="M109" s="14">
        <v>45390.607638888891</v>
      </c>
      <c r="N109" t="s">
        <v>2401</v>
      </c>
      <c r="O109" t="s">
        <v>2860</v>
      </c>
      <c r="P109" t="s">
        <v>2401</v>
      </c>
      <c r="Q109" t="s">
        <v>2401</v>
      </c>
      <c r="R109" t="s">
        <v>2401</v>
      </c>
      <c r="S109" t="s">
        <v>2401</v>
      </c>
    </row>
    <row r="110" spans="1:19">
      <c r="A110" t="s">
        <v>2861</v>
      </c>
      <c r="B110" t="s">
        <v>139</v>
      </c>
      <c r="C110" t="s">
        <v>2401</v>
      </c>
      <c r="D110" t="s">
        <v>2401</v>
      </c>
      <c r="E110" t="s">
        <v>2401</v>
      </c>
      <c r="F110" t="s">
        <v>2401</v>
      </c>
      <c r="G110" t="s">
        <v>2401</v>
      </c>
      <c r="H110" t="s">
        <v>2401</v>
      </c>
      <c r="I110" t="s">
        <v>2401</v>
      </c>
      <c r="J110" t="s">
        <v>2862</v>
      </c>
      <c r="K110" t="s">
        <v>2406</v>
      </c>
      <c r="L110" t="s">
        <v>2401</v>
      </c>
      <c r="M110" s="14">
        <v>45428.320833333331</v>
      </c>
      <c r="N110" t="s">
        <v>2863</v>
      </c>
      <c r="O110" t="s">
        <v>2401</v>
      </c>
      <c r="P110" t="s">
        <v>2401</v>
      </c>
      <c r="Q110" t="s">
        <v>2401</v>
      </c>
      <c r="R110" t="s">
        <v>2401</v>
      </c>
      <c r="S110" t="s">
        <v>2401</v>
      </c>
    </row>
    <row r="111" spans="1:19">
      <c r="A111" t="s">
        <v>2864</v>
      </c>
      <c r="B111" t="s">
        <v>2865</v>
      </c>
      <c r="C111" t="s">
        <v>2401</v>
      </c>
      <c r="D111" t="s">
        <v>2401</v>
      </c>
      <c r="E111" t="s">
        <v>2401</v>
      </c>
      <c r="F111" t="s">
        <v>2401</v>
      </c>
      <c r="G111" t="s">
        <v>2401</v>
      </c>
      <c r="H111" t="s">
        <v>2401</v>
      </c>
      <c r="I111" t="s">
        <v>2401</v>
      </c>
      <c r="J111" t="s">
        <v>2866</v>
      </c>
      <c r="K111" t="s">
        <v>2492</v>
      </c>
      <c r="L111" t="s">
        <v>2401</v>
      </c>
      <c r="M111" s="14">
        <v>45565.665972222225</v>
      </c>
      <c r="N111" t="s">
        <v>2867</v>
      </c>
      <c r="O111" t="s">
        <v>2868</v>
      </c>
      <c r="P111" t="s">
        <v>2401</v>
      </c>
      <c r="Q111" t="s">
        <v>2401</v>
      </c>
      <c r="R111" t="s">
        <v>2401</v>
      </c>
      <c r="S111" t="s">
        <v>2401</v>
      </c>
    </row>
    <row r="112" spans="1:19">
      <c r="A112" t="s">
        <v>2869</v>
      </c>
      <c r="B112" t="s">
        <v>2870</v>
      </c>
      <c r="C112" t="s">
        <v>2401</v>
      </c>
      <c r="D112" t="s">
        <v>2401</v>
      </c>
      <c r="E112" t="s">
        <v>2401</v>
      </c>
      <c r="F112" t="s">
        <v>2401</v>
      </c>
      <c r="G112" t="s">
        <v>2401</v>
      </c>
      <c r="H112" t="s">
        <v>2401</v>
      </c>
      <c r="I112" t="s">
        <v>2401</v>
      </c>
      <c r="J112" t="s">
        <v>2871</v>
      </c>
      <c r="K112" t="s">
        <v>2421</v>
      </c>
      <c r="L112" t="s">
        <v>2401</v>
      </c>
      <c r="M112" s="14">
        <v>45399.554861111108</v>
      </c>
      <c r="N112" t="s">
        <v>2872</v>
      </c>
      <c r="O112" t="s">
        <v>2873</v>
      </c>
      <c r="P112" t="s">
        <v>2401</v>
      </c>
      <c r="Q112" t="s">
        <v>2401</v>
      </c>
      <c r="R112" t="s">
        <v>2401</v>
      </c>
      <c r="S112" t="s">
        <v>2401</v>
      </c>
    </row>
    <row r="113" spans="1:19">
      <c r="A113" t="s">
        <v>2874</v>
      </c>
      <c r="B113" t="s">
        <v>2875</v>
      </c>
      <c r="C113" t="s">
        <v>2401</v>
      </c>
      <c r="D113" t="s">
        <v>2401</v>
      </c>
      <c r="E113" t="s">
        <v>2401</v>
      </c>
      <c r="F113" t="s">
        <v>2401</v>
      </c>
      <c r="G113" t="s">
        <v>2401</v>
      </c>
      <c r="H113" t="s">
        <v>2401</v>
      </c>
      <c r="I113" t="s">
        <v>2401</v>
      </c>
      <c r="J113" t="s">
        <v>2876</v>
      </c>
      <c r="K113" t="s">
        <v>2877</v>
      </c>
      <c r="L113" t="s">
        <v>2401</v>
      </c>
      <c r="M113" s="14">
        <v>45399.554861111108</v>
      </c>
      <c r="N113" t="s">
        <v>2878</v>
      </c>
      <c r="O113" t="s">
        <v>2879</v>
      </c>
      <c r="P113" t="s">
        <v>2401</v>
      </c>
      <c r="Q113" t="s">
        <v>2401</v>
      </c>
      <c r="R113" t="s">
        <v>2401</v>
      </c>
      <c r="S113" t="s">
        <v>2401</v>
      </c>
    </row>
    <row r="114" spans="1:19">
      <c r="A114" t="s">
        <v>2880</v>
      </c>
      <c r="B114" t="s">
        <v>2881</v>
      </c>
      <c r="C114" t="s">
        <v>2401</v>
      </c>
      <c r="D114" t="s">
        <v>2401</v>
      </c>
      <c r="E114" t="s">
        <v>2401</v>
      </c>
      <c r="F114" t="s">
        <v>2401</v>
      </c>
      <c r="G114" t="s">
        <v>2401</v>
      </c>
      <c r="H114" t="s">
        <v>2401</v>
      </c>
      <c r="I114" t="s">
        <v>2401</v>
      </c>
      <c r="J114" t="s">
        <v>2882</v>
      </c>
      <c r="K114" t="s">
        <v>2406</v>
      </c>
      <c r="L114" t="s">
        <v>2401</v>
      </c>
      <c r="M114" s="14">
        <v>45399.554861111108</v>
      </c>
      <c r="N114" t="s">
        <v>2883</v>
      </c>
      <c r="O114" t="s">
        <v>2884</v>
      </c>
      <c r="P114" t="s">
        <v>2401</v>
      </c>
      <c r="Q114" t="s">
        <v>2401</v>
      </c>
      <c r="R114" t="s">
        <v>2401</v>
      </c>
      <c r="S114" t="s">
        <v>2401</v>
      </c>
    </row>
    <row r="115" spans="1:19">
      <c r="A115" t="s">
        <v>2885</v>
      </c>
      <c r="B115" t="s">
        <v>2886</v>
      </c>
      <c r="C115" t="s">
        <v>2401</v>
      </c>
      <c r="D115" t="s">
        <v>2401</v>
      </c>
      <c r="E115" t="s">
        <v>2401</v>
      </c>
      <c r="F115" t="s">
        <v>2401</v>
      </c>
      <c r="G115" t="s">
        <v>2401</v>
      </c>
      <c r="H115" t="s">
        <v>2401</v>
      </c>
      <c r="I115" t="s">
        <v>2401</v>
      </c>
      <c r="J115" t="s">
        <v>2887</v>
      </c>
      <c r="K115" t="s">
        <v>2427</v>
      </c>
      <c r="L115" t="s">
        <v>2401</v>
      </c>
      <c r="M115" s="14">
        <v>45422.950694444444</v>
      </c>
      <c r="N115" t="s">
        <v>2888</v>
      </c>
      <c r="O115" t="s">
        <v>2889</v>
      </c>
      <c r="P115" t="s">
        <v>2401</v>
      </c>
      <c r="Q115" t="s">
        <v>2401</v>
      </c>
      <c r="R115" t="s">
        <v>2401</v>
      </c>
      <c r="S115" t="s">
        <v>2401</v>
      </c>
    </row>
    <row r="116" spans="1:19">
      <c r="A116" t="s">
        <v>2890</v>
      </c>
      <c r="B116" t="s">
        <v>2891</v>
      </c>
      <c r="C116" t="s">
        <v>2401</v>
      </c>
      <c r="D116" t="s">
        <v>2401</v>
      </c>
      <c r="E116" t="s">
        <v>2401</v>
      </c>
      <c r="F116" t="s">
        <v>2401</v>
      </c>
      <c r="G116" t="s">
        <v>2401</v>
      </c>
      <c r="H116" t="s">
        <v>2401</v>
      </c>
      <c r="I116" t="s">
        <v>2401</v>
      </c>
      <c r="J116" t="s">
        <v>2892</v>
      </c>
      <c r="K116" t="s">
        <v>2499</v>
      </c>
      <c r="L116" t="s">
        <v>2401</v>
      </c>
      <c r="M116" s="14">
        <v>45565.570833333331</v>
      </c>
      <c r="N116" t="s">
        <v>2893</v>
      </c>
      <c r="O116" t="s">
        <v>2894</v>
      </c>
      <c r="P116" t="s">
        <v>2401</v>
      </c>
      <c r="Q116" t="s">
        <v>2401</v>
      </c>
      <c r="R116" t="s">
        <v>2401</v>
      </c>
      <c r="S116" t="s">
        <v>2401</v>
      </c>
    </row>
    <row r="117" spans="1:19">
      <c r="A117" t="s">
        <v>2895</v>
      </c>
      <c r="B117" t="s">
        <v>2896</v>
      </c>
      <c r="C117" t="s">
        <v>2401</v>
      </c>
      <c r="D117" t="s">
        <v>2401</v>
      </c>
      <c r="E117" t="s">
        <v>2401</v>
      </c>
      <c r="F117" t="s">
        <v>2401</v>
      </c>
      <c r="G117" t="s">
        <v>2401</v>
      </c>
      <c r="H117" t="s">
        <v>2401</v>
      </c>
      <c r="I117" t="s">
        <v>2401</v>
      </c>
      <c r="J117" t="s">
        <v>2401</v>
      </c>
      <c r="K117" t="s">
        <v>2401</v>
      </c>
      <c r="L117" t="s">
        <v>2401</v>
      </c>
      <c r="M117" s="14">
        <v>45390.607638888891</v>
      </c>
      <c r="N117" t="s">
        <v>2401</v>
      </c>
      <c r="O117" t="s">
        <v>2586</v>
      </c>
      <c r="P117" t="s">
        <v>2401</v>
      </c>
      <c r="Q117" t="s">
        <v>2401</v>
      </c>
      <c r="R117" t="s">
        <v>2401</v>
      </c>
      <c r="S117" t="s">
        <v>2401</v>
      </c>
    </row>
    <row r="118" spans="1:19">
      <c r="A118" t="s">
        <v>2897</v>
      </c>
      <c r="B118" t="s">
        <v>2898</v>
      </c>
      <c r="C118" t="s">
        <v>2401</v>
      </c>
      <c r="D118" t="s">
        <v>2401</v>
      </c>
      <c r="E118" t="s">
        <v>2401</v>
      </c>
      <c r="F118" t="s">
        <v>2401</v>
      </c>
      <c r="G118" t="s">
        <v>2401</v>
      </c>
      <c r="H118" t="s">
        <v>2401</v>
      </c>
      <c r="I118" t="s">
        <v>2401</v>
      </c>
      <c r="J118" t="s">
        <v>2401</v>
      </c>
      <c r="K118" t="s">
        <v>2401</v>
      </c>
      <c r="L118" t="s">
        <v>2401</v>
      </c>
      <c r="M118" s="14">
        <v>45509.718055555553</v>
      </c>
      <c r="N118" t="s">
        <v>2401</v>
      </c>
      <c r="O118" t="s">
        <v>2401</v>
      </c>
      <c r="P118" t="s">
        <v>2401</v>
      </c>
      <c r="Q118" t="s">
        <v>2401</v>
      </c>
      <c r="R118" t="s">
        <v>2401</v>
      </c>
      <c r="S118" t="s">
        <v>2401</v>
      </c>
    </row>
    <row r="119" spans="1:19">
      <c r="A119" t="s">
        <v>2899</v>
      </c>
      <c r="B119" t="s">
        <v>2898</v>
      </c>
      <c r="C119" t="s">
        <v>2401</v>
      </c>
      <c r="D119" t="s">
        <v>2401</v>
      </c>
      <c r="E119" t="s">
        <v>2401</v>
      </c>
      <c r="F119" t="s">
        <v>2401</v>
      </c>
      <c r="G119" t="s">
        <v>2401</v>
      </c>
      <c r="H119" t="s">
        <v>2401</v>
      </c>
      <c r="I119" t="s">
        <v>2401</v>
      </c>
      <c r="J119" t="s">
        <v>2900</v>
      </c>
      <c r="K119" t="s">
        <v>2448</v>
      </c>
      <c r="L119" t="s">
        <v>2401</v>
      </c>
      <c r="M119" s="14">
        <v>45455.592361111114</v>
      </c>
      <c r="N119" t="s">
        <v>2901</v>
      </c>
      <c r="O119" t="s">
        <v>2401</v>
      </c>
      <c r="P119" t="s">
        <v>2401</v>
      </c>
      <c r="Q119" t="s">
        <v>2401</v>
      </c>
      <c r="R119" t="s">
        <v>2401</v>
      </c>
      <c r="S119" t="s">
        <v>2401</v>
      </c>
    </row>
    <row r="120" spans="1:19">
      <c r="A120" t="s">
        <v>2902</v>
      </c>
      <c r="B120" t="s">
        <v>2903</v>
      </c>
      <c r="C120" t="s">
        <v>2401</v>
      </c>
      <c r="D120" t="s">
        <v>2401</v>
      </c>
      <c r="E120" t="s">
        <v>2401</v>
      </c>
      <c r="F120" t="s">
        <v>2401</v>
      </c>
      <c r="G120" t="s">
        <v>2401</v>
      </c>
      <c r="H120" t="s">
        <v>2401</v>
      </c>
      <c r="I120" t="s">
        <v>2401</v>
      </c>
      <c r="J120" t="s">
        <v>2904</v>
      </c>
      <c r="K120" t="s">
        <v>2433</v>
      </c>
      <c r="L120" t="s">
        <v>2401</v>
      </c>
      <c r="M120" s="14">
        <v>45565.665972222225</v>
      </c>
      <c r="N120" t="s">
        <v>2905</v>
      </c>
      <c r="O120" t="s">
        <v>2906</v>
      </c>
      <c r="P120" t="s">
        <v>2401</v>
      </c>
      <c r="Q120" t="s">
        <v>2401</v>
      </c>
      <c r="R120" t="s">
        <v>2401</v>
      </c>
      <c r="S120" t="s">
        <v>2401</v>
      </c>
    </row>
    <row r="121" spans="1:19">
      <c r="A121" t="s">
        <v>2907</v>
      </c>
      <c r="B121" t="s">
        <v>2908</v>
      </c>
      <c r="C121" t="s">
        <v>2401</v>
      </c>
      <c r="D121" t="s">
        <v>2401</v>
      </c>
      <c r="E121" t="s">
        <v>2401</v>
      </c>
      <c r="F121" t="s">
        <v>2401</v>
      </c>
      <c r="G121" t="s">
        <v>2401</v>
      </c>
      <c r="H121" t="s">
        <v>2401</v>
      </c>
      <c r="I121" t="s">
        <v>2401</v>
      </c>
      <c r="J121" t="s">
        <v>2909</v>
      </c>
      <c r="K121" t="s">
        <v>2615</v>
      </c>
      <c r="L121" t="s">
        <v>2401</v>
      </c>
      <c r="M121" s="14">
        <v>45565.690972222219</v>
      </c>
      <c r="N121" t="s">
        <v>2910</v>
      </c>
      <c r="O121" t="s">
        <v>2401</v>
      </c>
      <c r="P121" t="s">
        <v>2401</v>
      </c>
      <c r="Q121" t="s">
        <v>2401</v>
      </c>
      <c r="R121" t="s">
        <v>2401</v>
      </c>
      <c r="S121" t="s">
        <v>2401</v>
      </c>
    </row>
    <row r="122" spans="1:19">
      <c r="A122" t="s">
        <v>2911</v>
      </c>
      <c r="B122" t="s">
        <v>2912</v>
      </c>
      <c r="C122" t="s">
        <v>2401</v>
      </c>
      <c r="D122" t="s">
        <v>2401</v>
      </c>
      <c r="E122" t="s">
        <v>2401</v>
      </c>
      <c r="F122" t="s">
        <v>2401</v>
      </c>
      <c r="G122" t="s">
        <v>2401</v>
      </c>
      <c r="H122" t="s">
        <v>2401</v>
      </c>
      <c r="I122" t="s">
        <v>2401</v>
      </c>
      <c r="J122" t="s">
        <v>2913</v>
      </c>
      <c r="K122" t="s">
        <v>2433</v>
      </c>
      <c r="L122" t="s">
        <v>2401</v>
      </c>
      <c r="M122" s="14">
        <v>45565.67291666667</v>
      </c>
      <c r="N122" t="s">
        <v>2914</v>
      </c>
      <c r="O122" t="s">
        <v>2915</v>
      </c>
      <c r="P122" t="s">
        <v>2401</v>
      </c>
      <c r="Q122" t="s">
        <v>2401</v>
      </c>
      <c r="R122" t="s">
        <v>2401</v>
      </c>
      <c r="S122" t="s">
        <v>2401</v>
      </c>
    </row>
    <row r="123" spans="1:19">
      <c r="A123" t="s">
        <v>2916</v>
      </c>
      <c r="B123" t="s">
        <v>2917</v>
      </c>
      <c r="C123" t="s">
        <v>2401</v>
      </c>
      <c r="D123" t="s">
        <v>2401</v>
      </c>
      <c r="E123" t="s">
        <v>2401</v>
      </c>
      <c r="F123" t="s">
        <v>2401</v>
      </c>
      <c r="G123" t="s">
        <v>2401</v>
      </c>
      <c r="H123" t="s">
        <v>2401</v>
      </c>
      <c r="I123" t="s">
        <v>2401</v>
      </c>
      <c r="J123" t="s">
        <v>2918</v>
      </c>
      <c r="K123" t="s">
        <v>2433</v>
      </c>
      <c r="L123" t="s">
        <v>2401</v>
      </c>
      <c r="M123" s="14">
        <v>45565.65</v>
      </c>
      <c r="N123" t="s">
        <v>2919</v>
      </c>
      <c r="O123" t="s">
        <v>2401</v>
      </c>
      <c r="P123" t="s">
        <v>2401</v>
      </c>
      <c r="Q123" t="s">
        <v>2401</v>
      </c>
      <c r="R123" t="s">
        <v>2401</v>
      </c>
      <c r="S123" t="s">
        <v>2401</v>
      </c>
    </row>
    <row r="124" spans="1:19">
      <c r="A124" t="s">
        <v>2920</v>
      </c>
      <c r="B124" t="s">
        <v>2917</v>
      </c>
      <c r="C124" t="s">
        <v>2401</v>
      </c>
      <c r="D124" t="s">
        <v>2401</v>
      </c>
      <c r="E124" t="s">
        <v>2401</v>
      </c>
      <c r="F124" t="s">
        <v>2401</v>
      </c>
      <c r="G124" t="s">
        <v>2401</v>
      </c>
      <c r="H124" t="s">
        <v>2401</v>
      </c>
      <c r="I124" t="s">
        <v>2401</v>
      </c>
      <c r="J124" t="s">
        <v>2921</v>
      </c>
      <c r="K124" t="s">
        <v>2433</v>
      </c>
      <c r="L124" t="s">
        <v>2401</v>
      </c>
      <c r="M124" s="14">
        <v>45565.65</v>
      </c>
      <c r="N124" t="s">
        <v>2922</v>
      </c>
      <c r="O124" t="s">
        <v>2401</v>
      </c>
      <c r="P124" t="s">
        <v>2401</v>
      </c>
      <c r="Q124" t="s">
        <v>2401</v>
      </c>
      <c r="R124" t="s">
        <v>2401</v>
      </c>
      <c r="S124" t="s">
        <v>2401</v>
      </c>
    </row>
    <row r="125" spans="1:19">
      <c r="A125" t="s">
        <v>2923</v>
      </c>
      <c r="B125" t="s">
        <v>2924</v>
      </c>
      <c r="C125" t="s">
        <v>2401</v>
      </c>
      <c r="D125" t="s">
        <v>2401</v>
      </c>
      <c r="E125" t="s">
        <v>2401</v>
      </c>
      <c r="F125" t="s">
        <v>2401</v>
      </c>
      <c r="G125" t="s">
        <v>2401</v>
      </c>
      <c r="H125" t="s">
        <v>2401</v>
      </c>
      <c r="I125" t="s">
        <v>2401</v>
      </c>
      <c r="J125" t="s">
        <v>2925</v>
      </c>
      <c r="K125" t="s">
        <v>2433</v>
      </c>
      <c r="L125" t="s">
        <v>2401</v>
      </c>
      <c r="M125" s="14">
        <v>45565.645138888889</v>
      </c>
      <c r="N125" t="s">
        <v>2926</v>
      </c>
      <c r="O125" t="s">
        <v>2927</v>
      </c>
      <c r="P125" t="s">
        <v>2401</v>
      </c>
      <c r="Q125" t="s">
        <v>2401</v>
      </c>
      <c r="R125" t="s">
        <v>2401</v>
      </c>
      <c r="S125" t="s">
        <v>2401</v>
      </c>
    </row>
    <row r="126" spans="1:19">
      <c r="A126" t="s">
        <v>2928</v>
      </c>
      <c r="B126" t="s">
        <v>2924</v>
      </c>
      <c r="C126" t="s">
        <v>2401</v>
      </c>
      <c r="D126" t="s">
        <v>2401</v>
      </c>
      <c r="E126" t="s">
        <v>2401</v>
      </c>
      <c r="F126" t="s">
        <v>2401</v>
      </c>
      <c r="G126" t="s">
        <v>2401</v>
      </c>
      <c r="H126" t="s">
        <v>2401</v>
      </c>
      <c r="I126" t="s">
        <v>2401</v>
      </c>
      <c r="J126" t="s">
        <v>2929</v>
      </c>
      <c r="K126" t="s">
        <v>2433</v>
      </c>
      <c r="L126" t="s">
        <v>2401</v>
      </c>
      <c r="M126" s="14">
        <v>45565.563194444447</v>
      </c>
      <c r="N126" t="s">
        <v>2930</v>
      </c>
      <c r="O126" t="s">
        <v>2927</v>
      </c>
      <c r="P126" t="s">
        <v>2401</v>
      </c>
      <c r="Q126" t="s">
        <v>2401</v>
      </c>
      <c r="R126" t="s">
        <v>2401</v>
      </c>
      <c r="S126" t="s">
        <v>2401</v>
      </c>
    </row>
    <row r="127" spans="1:19">
      <c r="A127" t="s">
        <v>2931</v>
      </c>
      <c r="B127" t="s">
        <v>2924</v>
      </c>
      <c r="C127" t="s">
        <v>2401</v>
      </c>
      <c r="D127" t="s">
        <v>2401</v>
      </c>
      <c r="E127" t="s">
        <v>2401</v>
      </c>
      <c r="F127" t="s">
        <v>2401</v>
      </c>
      <c r="G127" t="s">
        <v>2401</v>
      </c>
      <c r="H127" t="s">
        <v>2401</v>
      </c>
      <c r="I127" t="s">
        <v>2401</v>
      </c>
      <c r="J127" t="s">
        <v>2401</v>
      </c>
      <c r="K127" t="s">
        <v>2433</v>
      </c>
      <c r="L127" t="s">
        <v>2401</v>
      </c>
      <c r="M127" s="14">
        <v>45390.607638888891</v>
      </c>
      <c r="N127" t="s">
        <v>2401</v>
      </c>
      <c r="O127" t="s">
        <v>2932</v>
      </c>
      <c r="P127" t="s">
        <v>2401</v>
      </c>
      <c r="Q127" t="s">
        <v>2401</v>
      </c>
      <c r="R127" t="s">
        <v>2401</v>
      </c>
      <c r="S127" t="s">
        <v>2401</v>
      </c>
    </row>
    <row r="128" spans="1:19">
      <c r="A128" t="s">
        <v>2933</v>
      </c>
      <c r="B128" t="s">
        <v>2934</v>
      </c>
      <c r="C128" t="s">
        <v>2401</v>
      </c>
      <c r="D128" t="s">
        <v>2401</v>
      </c>
      <c r="E128" t="s">
        <v>2401</v>
      </c>
      <c r="F128" t="s">
        <v>2401</v>
      </c>
      <c r="G128" t="s">
        <v>2401</v>
      </c>
      <c r="H128" t="s">
        <v>2401</v>
      </c>
      <c r="I128" t="s">
        <v>2401</v>
      </c>
      <c r="J128" t="s">
        <v>2935</v>
      </c>
      <c r="K128" t="s">
        <v>2615</v>
      </c>
      <c r="L128" t="s">
        <v>2401</v>
      </c>
      <c r="M128" s="14">
        <v>45565.656944444447</v>
      </c>
      <c r="N128" t="s">
        <v>2936</v>
      </c>
      <c r="O128" t="s">
        <v>2401</v>
      </c>
      <c r="P128" t="s">
        <v>2401</v>
      </c>
      <c r="Q128" t="s">
        <v>2401</v>
      </c>
      <c r="R128" t="s">
        <v>2401</v>
      </c>
      <c r="S128" t="s">
        <v>2401</v>
      </c>
    </row>
    <row r="129" spans="1:19">
      <c r="A129" t="s">
        <v>2937</v>
      </c>
      <c r="B129" t="s">
        <v>2938</v>
      </c>
      <c r="C129" t="s">
        <v>2401</v>
      </c>
      <c r="D129" t="s">
        <v>2401</v>
      </c>
      <c r="E129" t="s">
        <v>2401</v>
      </c>
      <c r="F129" t="s">
        <v>2401</v>
      </c>
      <c r="G129" t="s">
        <v>2401</v>
      </c>
      <c r="H129" t="s">
        <v>2401</v>
      </c>
      <c r="I129" t="s">
        <v>2401</v>
      </c>
      <c r="J129" t="s">
        <v>2939</v>
      </c>
      <c r="K129" t="s">
        <v>2433</v>
      </c>
      <c r="L129" t="s">
        <v>2401</v>
      </c>
      <c r="M129" s="14">
        <v>45565.645138888889</v>
      </c>
      <c r="N129" t="s">
        <v>2940</v>
      </c>
      <c r="O129" t="s">
        <v>2941</v>
      </c>
      <c r="P129" t="s">
        <v>2401</v>
      </c>
      <c r="Q129" t="s">
        <v>2401</v>
      </c>
      <c r="R129" t="s">
        <v>2401</v>
      </c>
      <c r="S129" t="s">
        <v>2401</v>
      </c>
    </row>
    <row r="130" spans="1:19">
      <c r="A130" t="s">
        <v>2942</v>
      </c>
      <c r="B130" t="s">
        <v>2943</v>
      </c>
      <c r="C130" t="s">
        <v>2401</v>
      </c>
      <c r="D130" t="s">
        <v>2401</v>
      </c>
      <c r="E130" t="s">
        <v>2401</v>
      </c>
      <c r="F130" t="s">
        <v>2401</v>
      </c>
      <c r="G130" t="s">
        <v>2401</v>
      </c>
      <c r="H130" t="s">
        <v>2401</v>
      </c>
      <c r="I130" t="s">
        <v>2401</v>
      </c>
      <c r="J130" t="s">
        <v>2944</v>
      </c>
      <c r="K130" t="s">
        <v>2433</v>
      </c>
      <c r="L130" t="s">
        <v>2401</v>
      </c>
      <c r="M130" s="14">
        <v>45565.700694444444</v>
      </c>
      <c r="N130" t="s">
        <v>2945</v>
      </c>
      <c r="O130" t="s">
        <v>2401</v>
      </c>
      <c r="P130" t="s">
        <v>2401</v>
      </c>
      <c r="Q130" t="s">
        <v>2401</v>
      </c>
      <c r="R130" t="s">
        <v>2401</v>
      </c>
      <c r="S130" t="s">
        <v>2401</v>
      </c>
    </row>
    <row r="131" spans="1:19">
      <c r="A131" t="s">
        <v>2946</v>
      </c>
      <c r="B131" t="s">
        <v>2947</v>
      </c>
      <c r="C131" t="s">
        <v>2401</v>
      </c>
      <c r="D131" t="s">
        <v>2401</v>
      </c>
      <c r="E131" t="s">
        <v>2401</v>
      </c>
      <c r="F131" t="s">
        <v>2401</v>
      </c>
      <c r="G131" t="s">
        <v>2401</v>
      </c>
      <c r="H131" t="s">
        <v>2401</v>
      </c>
      <c r="I131" t="s">
        <v>2401</v>
      </c>
      <c r="J131" t="s">
        <v>2401</v>
      </c>
      <c r="K131" t="s">
        <v>2401</v>
      </c>
      <c r="L131" t="s">
        <v>2401</v>
      </c>
      <c r="M131" s="14">
        <v>45399.554861111108</v>
      </c>
      <c r="N131" t="s">
        <v>2401</v>
      </c>
      <c r="O131" t="s">
        <v>2401</v>
      </c>
      <c r="P131" t="s">
        <v>2401</v>
      </c>
      <c r="Q131" t="s">
        <v>2401</v>
      </c>
      <c r="R131" t="s">
        <v>2401</v>
      </c>
      <c r="S131" t="s">
        <v>2401</v>
      </c>
    </row>
    <row r="132" spans="1:19">
      <c r="A132" t="s">
        <v>2948</v>
      </c>
      <c r="B132" t="s">
        <v>2949</v>
      </c>
      <c r="C132" t="s">
        <v>2401</v>
      </c>
      <c r="D132" t="s">
        <v>2401</v>
      </c>
      <c r="E132" t="s">
        <v>2401</v>
      </c>
      <c r="F132" t="s">
        <v>2401</v>
      </c>
      <c r="G132" t="s">
        <v>2401</v>
      </c>
      <c r="H132" t="s">
        <v>2401</v>
      </c>
      <c r="I132" t="s">
        <v>2401</v>
      </c>
      <c r="J132" t="s">
        <v>2950</v>
      </c>
      <c r="K132" t="s">
        <v>2433</v>
      </c>
      <c r="L132" t="s">
        <v>2401</v>
      </c>
      <c r="M132" s="14">
        <v>45565.65347222222</v>
      </c>
      <c r="N132" t="s">
        <v>2951</v>
      </c>
      <c r="O132" t="s">
        <v>2952</v>
      </c>
      <c r="P132" t="s">
        <v>2401</v>
      </c>
      <c r="Q132" t="s">
        <v>2401</v>
      </c>
      <c r="R132" t="s">
        <v>2401</v>
      </c>
      <c r="S132" t="s">
        <v>2401</v>
      </c>
    </row>
    <row r="133" spans="1:19">
      <c r="A133" t="s">
        <v>2953</v>
      </c>
      <c r="B133" t="s">
        <v>2954</v>
      </c>
      <c r="C133" t="s">
        <v>2401</v>
      </c>
      <c r="D133" t="s">
        <v>2401</v>
      </c>
      <c r="E133" t="s">
        <v>2401</v>
      </c>
      <c r="F133" t="s">
        <v>2401</v>
      </c>
      <c r="G133" t="s">
        <v>2401</v>
      </c>
      <c r="H133" t="s">
        <v>2401</v>
      </c>
      <c r="I133" t="s">
        <v>2401</v>
      </c>
      <c r="J133" t="s">
        <v>2955</v>
      </c>
      <c r="K133" t="s">
        <v>2433</v>
      </c>
      <c r="L133" t="s">
        <v>2401</v>
      </c>
      <c r="M133" s="14">
        <v>45565.694444444445</v>
      </c>
      <c r="N133" t="s">
        <v>2956</v>
      </c>
      <c r="O133" t="s">
        <v>2957</v>
      </c>
      <c r="P133" t="s">
        <v>2401</v>
      </c>
      <c r="Q133" t="s">
        <v>2401</v>
      </c>
      <c r="R133" t="s">
        <v>2401</v>
      </c>
      <c r="S133" t="s">
        <v>2401</v>
      </c>
    </row>
    <row r="134" spans="1:19">
      <c r="A134" t="s">
        <v>2958</v>
      </c>
      <c r="B134" t="s">
        <v>2959</v>
      </c>
      <c r="C134" t="s">
        <v>2401</v>
      </c>
      <c r="D134" t="s">
        <v>2401</v>
      </c>
      <c r="E134" t="s">
        <v>2401</v>
      </c>
      <c r="F134" t="s">
        <v>2401</v>
      </c>
      <c r="G134" t="s">
        <v>2401</v>
      </c>
      <c r="H134" t="s">
        <v>2401</v>
      </c>
      <c r="I134" t="s">
        <v>2401</v>
      </c>
      <c r="J134" t="s">
        <v>2960</v>
      </c>
      <c r="K134" t="s">
        <v>2433</v>
      </c>
      <c r="L134" t="s">
        <v>2401</v>
      </c>
      <c r="M134" s="14">
        <v>45565.65347222222</v>
      </c>
      <c r="N134" t="s">
        <v>2961</v>
      </c>
      <c r="O134" t="s">
        <v>2962</v>
      </c>
      <c r="P134" t="s">
        <v>2401</v>
      </c>
      <c r="Q134" t="s">
        <v>2401</v>
      </c>
      <c r="R134" t="s">
        <v>2401</v>
      </c>
      <c r="S134" t="s">
        <v>2401</v>
      </c>
    </row>
    <row r="135" spans="1:19">
      <c r="A135" t="s">
        <v>2963</v>
      </c>
      <c r="B135" t="s">
        <v>2964</v>
      </c>
      <c r="C135" t="s">
        <v>2401</v>
      </c>
      <c r="D135" t="s">
        <v>2401</v>
      </c>
      <c r="E135" t="s">
        <v>2401</v>
      </c>
      <c r="F135" t="s">
        <v>2401</v>
      </c>
      <c r="G135" t="s">
        <v>2401</v>
      </c>
      <c r="H135" t="s">
        <v>2401</v>
      </c>
      <c r="I135" t="s">
        <v>2401</v>
      </c>
      <c r="J135" t="s">
        <v>2965</v>
      </c>
      <c r="K135" t="s">
        <v>2433</v>
      </c>
      <c r="L135" t="s">
        <v>2401</v>
      </c>
      <c r="M135" s="14">
        <v>45565.688194444447</v>
      </c>
      <c r="N135" t="s">
        <v>2966</v>
      </c>
      <c r="O135" t="s">
        <v>2401</v>
      </c>
      <c r="P135" t="s">
        <v>2401</v>
      </c>
      <c r="Q135" t="s">
        <v>2401</v>
      </c>
      <c r="R135" t="s">
        <v>2401</v>
      </c>
      <c r="S135" t="s">
        <v>2401</v>
      </c>
    </row>
    <row r="136" spans="1:19">
      <c r="A136" t="s">
        <v>2967</v>
      </c>
      <c r="B136" t="s">
        <v>2964</v>
      </c>
      <c r="C136" t="s">
        <v>2401</v>
      </c>
      <c r="D136" t="s">
        <v>2401</v>
      </c>
      <c r="E136" t="s">
        <v>2401</v>
      </c>
      <c r="F136" t="s">
        <v>2401</v>
      </c>
      <c r="G136" t="s">
        <v>2401</v>
      </c>
      <c r="H136" t="s">
        <v>2401</v>
      </c>
      <c r="I136" t="s">
        <v>2401</v>
      </c>
      <c r="J136" t="s">
        <v>2968</v>
      </c>
      <c r="K136" t="s">
        <v>2433</v>
      </c>
      <c r="L136" t="s">
        <v>2401</v>
      </c>
      <c r="M136" s="14">
        <v>45399.554861111108</v>
      </c>
      <c r="N136" t="s">
        <v>2969</v>
      </c>
      <c r="O136" t="s">
        <v>2970</v>
      </c>
      <c r="P136" t="s">
        <v>2401</v>
      </c>
      <c r="Q136" t="s">
        <v>2401</v>
      </c>
      <c r="R136" t="s">
        <v>2401</v>
      </c>
      <c r="S136" t="s">
        <v>2401</v>
      </c>
    </row>
    <row r="137" spans="1:19">
      <c r="A137" t="s">
        <v>2971</v>
      </c>
      <c r="B137" t="s">
        <v>2972</v>
      </c>
      <c r="C137" t="s">
        <v>2401</v>
      </c>
      <c r="D137" t="s">
        <v>2401</v>
      </c>
      <c r="E137" t="s">
        <v>2401</v>
      </c>
      <c r="F137" t="s">
        <v>2401</v>
      </c>
      <c r="G137" t="s">
        <v>2401</v>
      </c>
      <c r="H137" t="s">
        <v>2401</v>
      </c>
      <c r="I137" t="s">
        <v>2401</v>
      </c>
      <c r="J137" t="s">
        <v>2973</v>
      </c>
      <c r="K137" t="s">
        <v>2779</v>
      </c>
      <c r="L137" t="s">
        <v>2401</v>
      </c>
      <c r="M137" s="14">
        <v>45399.554861111108</v>
      </c>
      <c r="N137" t="s">
        <v>2974</v>
      </c>
      <c r="O137" t="s">
        <v>2975</v>
      </c>
      <c r="P137" t="s">
        <v>2401</v>
      </c>
      <c r="Q137" t="s">
        <v>2401</v>
      </c>
      <c r="R137" t="s">
        <v>2401</v>
      </c>
      <c r="S137" t="s">
        <v>2401</v>
      </c>
    </row>
    <row r="138" spans="1:19">
      <c r="A138" t="s">
        <v>2976</v>
      </c>
      <c r="B138" t="s">
        <v>2977</v>
      </c>
      <c r="C138" t="s">
        <v>2401</v>
      </c>
      <c r="D138" t="s">
        <v>2401</v>
      </c>
      <c r="E138" t="s">
        <v>2401</v>
      </c>
      <c r="F138" t="s">
        <v>2401</v>
      </c>
      <c r="G138" t="s">
        <v>2401</v>
      </c>
      <c r="H138" t="s">
        <v>2401</v>
      </c>
      <c r="I138" t="s">
        <v>2401</v>
      </c>
      <c r="J138" t="s">
        <v>2978</v>
      </c>
      <c r="K138" t="s">
        <v>2979</v>
      </c>
      <c r="L138" t="s">
        <v>2401</v>
      </c>
      <c r="M138" s="14">
        <v>45399.554861111108</v>
      </c>
      <c r="N138" t="s">
        <v>2980</v>
      </c>
      <c r="O138" t="s">
        <v>2981</v>
      </c>
      <c r="P138" t="s">
        <v>2401</v>
      </c>
      <c r="Q138" t="s">
        <v>2401</v>
      </c>
      <c r="R138" t="s">
        <v>2401</v>
      </c>
      <c r="S138" t="s">
        <v>2401</v>
      </c>
    </row>
    <row r="139" spans="1:19">
      <c r="A139" t="s">
        <v>2982</v>
      </c>
      <c r="B139" t="s">
        <v>2983</v>
      </c>
      <c r="C139" t="s">
        <v>2401</v>
      </c>
      <c r="D139" t="s">
        <v>2401</v>
      </c>
      <c r="E139" t="s">
        <v>2401</v>
      </c>
      <c r="F139" t="s">
        <v>2401</v>
      </c>
      <c r="G139" t="s">
        <v>2401</v>
      </c>
      <c r="H139" t="s">
        <v>2401</v>
      </c>
      <c r="I139" t="s">
        <v>2401</v>
      </c>
      <c r="J139" t="s">
        <v>2984</v>
      </c>
      <c r="K139" t="s">
        <v>2985</v>
      </c>
      <c r="L139" t="s">
        <v>2401</v>
      </c>
      <c r="M139" s="14">
        <v>45399.554861111108</v>
      </c>
      <c r="N139" t="s">
        <v>2986</v>
      </c>
      <c r="O139" t="s">
        <v>2987</v>
      </c>
      <c r="P139" t="s">
        <v>2401</v>
      </c>
      <c r="Q139" t="s">
        <v>2401</v>
      </c>
      <c r="R139" t="s">
        <v>2401</v>
      </c>
      <c r="S139" t="s">
        <v>2401</v>
      </c>
    </row>
    <row r="140" spans="1:19">
      <c r="A140" t="s">
        <v>2988</v>
      </c>
      <c r="B140" t="s">
        <v>2989</v>
      </c>
      <c r="C140" t="s">
        <v>2401</v>
      </c>
      <c r="D140" t="s">
        <v>2401</v>
      </c>
      <c r="E140" t="s">
        <v>2401</v>
      </c>
      <c r="F140" t="s">
        <v>2401</v>
      </c>
      <c r="G140" t="s">
        <v>2401</v>
      </c>
      <c r="H140" t="s">
        <v>2401</v>
      </c>
      <c r="I140" t="s">
        <v>2401</v>
      </c>
      <c r="J140" t="s">
        <v>2990</v>
      </c>
      <c r="K140" t="s">
        <v>2779</v>
      </c>
      <c r="L140" t="s">
        <v>2401</v>
      </c>
      <c r="M140" s="14">
        <v>45399.554861111108</v>
      </c>
      <c r="N140" t="s">
        <v>2991</v>
      </c>
      <c r="O140" t="s">
        <v>2992</v>
      </c>
      <c r="P140" t="s">
        <v>2401</v>
      </c>
      <c r="Q140" t="s">
        <v>2401</v>
      </c>
      <c r="R140" t="s">
        <v>2401</v>
      </c>
      <c r="S140" t="s">
        <v>2401</v>
      </c>
    </row>
    <row r="141" spans="1:19">
      <c r="A141" t="s">
        <v>2993</v>
      </c>
      <c r="B141" t="s">
        <v>2994</v>
      </c>
      <c r="C141" t="s">
        <v>2401</v>
      </c>
      <c r="D141" t="s">
        <v>2401</v>
      </c>
      <c r="E141" t="s">
        <v>2401</v>
      </c>
      <c r="F141" t="s">
        <v>2401</v>
      </c>
      <c r="G141" t="s">
        <v>2401</v>
      </c>
      <c r="H141" t="s">
        <v>2401</v>
      </c>
      <c r="I141" t="s">
        <v>2401</v>
      </c>
      <c r="J141" t="s">
        <v>2995</v>
      </c>
      <c r="K141" t="s">
        <v>2421</v>
      </c>
      <c r="L141" t="s">
        <v>2401</v>
      </c>
      <c r="M141" s="14">
        <v>45399.554861111108</v>
      </c>
      <c r="N141" t="s">
        <v>2996</v>
      </c>
      <c r="O141" t="s">
        <v>2997</v>
      </c>
      <c r="P141" t="s">
        <v>2401</v>
      </c>
      <c r="Q141" t="s">
        <v>2401</v>
      </c>
      <c r="R141" t="s">
        <v>2401</v>
      </c>
      <c r="S141" t="s">
        <v>2401</v>
      </c>
    </row>
    <row r="142" spans="1:19">
      <c r="A142" t="s">
        <v>2998</v>
      </c>
      <c r="B142" t="s">
        <v>2999</v>
      </c>
      <c r="C142" t="s">
        <v>2401</v>
      </c>
      <c r="D142" t="s">
        <v>2401</v>
      </c>
      <c r="E142" t="s">
        <v>2401</v>
      </c>
      <c r="F142" t="s">
        <v>2401</v>
      </c>
      <c r="G142" t="s">
        <v>2401</v>
      </c>
      <c r="H142" t="s">
        <v>2401</v>
      </c>
      <c r="I142" t="s">
        <v>2401</v>
      </c>
      <c r="J142" t="s">
        <v>3000</v>
      </c>
      <c r="K142" t="s">
        <v>2438</v>
      </c>
      <c r="L142" t="s">
        <v>2401</v>
      </c>
      <c r="M142" s="14">
        <v>45399.554861111108</v>
      </c>
      <c r="N142" t="s">
        <v>3001</v>
      </c>
      <c r="O142" t="s">
        <v>3002</v>
      </c>
      <c r="P142" t="s">
        <v>2401</v>
      </c>
      <c r="Q142" t="s">
        <v>2401</v>
      </c>
      <c r="R142" t="s">
        <v>2401</v>
      </c>
      <c r="S142" t="s">
        <v>2401</v>
      </c>
    </row>
    <row r="143" spans="1:19">
      <c r="A143" t="s">
        <v>3003</v>
      </c>
      <c r="B143" t="s">
        <v>3004</v>
      </c>
      <c r="C143" t="s">
        <v>2401</v>
      </c>
      <c r="D143" t="s">
        <v>2401</v>
      </c>
      <c r="E143" t="s">
        <v>2401</v>
      </c>
      <c r="F143" t="s">
        <v>2401</v>
      </c>
      <c r="G143" t="s">
        <v>2401</v>
      </c>
      <c r="H143" t="s">
        <v>2401</v>
      </c>
      <c r="I143" t="s">
        <v>2401</v>
      </c>
      <c r="J143" t="s">
        <v>2401</v>
      </c>
      <c r="K143" t="s">
        <v>2401</v>
      </c>
      <c r="L143" t="s">
        <v>2401</v>
      </c>
      <c r="M143" s="14">
        <v>45399.554861111108</v>
      </c>
      <c r="N143" t="s">
        <v>2401</v>
      </c>
      <c r="O143" t="s">
        <v>2401</v>
      </c>
      <c r="P143" t="s">
        <v>2401</v>
      </c>
      <c r="Q143" t="s">
        <v>2401</v>
      </c>
      <c r="R143" t="s">
        <v>2401</v>
      </c>
      <c r="S143" t="s">
        <v>2401</v>
      </c>
    </row>
    <row r="144" spans="1:19">
      <c r="A144" t="s">
        <v>3005</v>
      </c>
      <c r="B144" t="s">
        <v>3006</v>
      </c>
      <c r="C144" t="s">
        <v>2401</v>
      </c>
      <c r="D144" t="s">
        <v>2401</v>
      </c>
      <c r="E144" t="s">
        <v>2401</v>
      </c>
      <c r="F144" t="s">
        <v>2401</v>
      </c>
      <c r="G144" t="s">
        <v>2401</v>
      </c>
      <c r="H144" t="s">
        <v>2401</v>
      </c>
      <c r="I144" t="s">
        <v>2401</v>
      </c>
      <c r="J144" t="s">
        <v>3007</v>
      </c>
      <c r="K144" t="s">
        <v>2433</v>
      </c>
      <c r="L144" t="s">
        <v>2401</v>
      </c>
      <c r="M144" s="14">
        <v>45565.684027777781</v>
      </c>
      <c r="N144" t="s">
        <v>3008</v>
      </c>
      <c r="O144" t="s">
        <v>2401</v>
      </c>
      <c r="P144" t="s">
        <v>2401</v>
      </c>
      <c r="Q144" t="s">
        <v>2401</v>
      </c>
      <c r="R144" t="s">
        <v>2401</v>
      </c>
      <c r="S144" t="s">
        <v>2401</v>
      </c>
    </row>
    <row r="145" spans="1:19">
      <c r="A145" t="s">
        <v>3009</v>
      </c>
      <c r="B145" t="s">
        <v>3010</v>
      </c>
      <c r="C145" t="s">
        <v>2401</v>
      </c>
      <c r="D145" t="s">
        <v>2401</v>
      </c>
      <c r="E145" t="s">
        <v>2401</v>
      </c>
      <c r="F145" t="s">
        <v>2401</v>
      </c>
      <c r="G145" t="s">
        <v>2401</v>
      </c>
      <c r="H145" t="s">
        <v>2401</v>
      </c>
      <c r="I145" t="s">
        <v>2401</v>
      </c>
      <c r="J145" t="s">
        <v>2401</v>
      </c>
      <c r="K145" t="s">
        <v>2401</v>
      </c>
      <c r="L145" t="s">
        <v>2401</v>
      </c>
      <c r="M145" s="14">
        <v>45399.554861111108</v>
      </c>
      <c r="N145" t="s">
        <v>3011</v>
      </c>
      <c r="O145" t="s">
        <v>2401</v>
      </c>
      <c r="P145" t="s">
        <v>2401</v>
      </c>
      <c r="Q145" t="s">
        <v>2401</v>
      </c>
      <c r="R145" t="s">
        <v>2401</v>
      </c>
      <c r="S145" t="s">
        <v>2401</v>
      </c>
    </row>
    <row r="146" spans="1:19">
      <c r="A146" t="s">
        <v>3012</v>
      </c>
      <c r="B146" t="s">
        <v>3013</v>
      </c>
      <c r="C146" t="s">
        <v>2401</v>
      </c>
      <c r="D146" t="s">
        <v>2401</v>
      </c>
      <c r="E146" t="s">
        <v>2401</v>
      </c>
      <c r="F146" t="s">
        <v>2401</v>
      </c>
      <c r="G146" t="s">
        <v>2401</v>
      </c>
      <c r="H146" t="s">
        <v>2401</v>
      </c>
      <c r="I146" t="s">
        <v>61</v>
      </c>
      <c r="J146" t="s">
        <v>3014</v>
      </c>
      <c r="K146" t="s">
        <v>2679</v>
      </c>
      <c r="L146" t="s">
        <v>2401</v>
      </c>
      <c r="M146" s="14">
        <v>45399.554861111108</v>
      </c>
      <c r="N146" t="s">
        <v>3015</v>
      </c>
      <c r="O146" t="s">
        <v>3016</v>
      </c>
      <c r="P146" t="s">
        <v>2401</v>
      </c>
      <c r="Q146" t="s">
        <v>2401</v>
      </c>
      <c r="R146" t="s">
        <v>2401</v>
      </c>
      <c r="S146" t="s">
        <v>2401</v>
      </c>
    </row>
    <row r="147" spans="1:19">
      <c r="A147" t="s">
        <v>3017</v>
      </c>
      <c r="B147" t="s">
        <v>3013</v>
      </c>
      <c r="C147" t="s">
        <v>2401</v>
      </c>
      <c r="D147" t="s">
        <v>2401</v>
      </c>
      <c r="E147" t="s">
        <v>2401</v>
      </c>
      <c r="F147" t="s">
        <v>2401</v>
      </c>
      <c r="G147" t="s">
        <v>2401</v>
      </c>
      <c r="H147" t="s">
        <v>2401</v>
      </c>
      <c r="I147" t="s">
        <v>2401</v>
      </c>
      <c r="J147" t="s">
        <v>2401</v>
      </c>
      <c r="K147" t="s">
        <v>2679</v>
      </c>
      <c r="L147" t="s">
        <v>2401</v>
      </c>
      <c r="M147" s="14">
        <v>45390.607638888891</v>
      </c>
      <c r="N147" t="s">
        <v>2401</v>
      </c>
      <c r="O147" t="s">
        <v>3018</v>
      </c>
      <c r="P147" t="s">
        <v>2401</v>
      </c>
      <c r="Q147" t="s">
        <v>2401</v>
      </c>
      <c r="R147" t="s">
        <v>2401</v>
      </c>
      <c r="S147" t="s">
        <v>2401</v>
      </c>
    </row>
    <row r="148" spans="1:19">
      <c r="A148" t="s">
        <v>3019</v>
      </c>
      <c r="B148" t="s">
        <v>3020</v>
      </c>
      <c r="C148" t="s">
        <v>2401</v>
      </c>
      <c r="D148" t="s">
        <v>2401</v>
      </c>
      <c r="E148" t="s">
        <v>2401</v>
      </c>
      <c r="F148" t="s">
        <v>2401</v>
      </c>
      <c r="G148" t="s">
        <v>2401</v>
      </c>
      <c r="H148" t="s">
        <v>2401</v>
      </c>
      <c r="I148" t="s">
        <v>2401</v>
      </c>
      <c r="J148" t="s">
        <v>2401</v>
      </c>
      <c r="K148" t="s">
        <v>2401</v>
      </c>
      <c r="L148" t="s">
        <v>2401</v>
      </c>
      <c r="M148" s="14">
        <v>45390.607638888891</v>
      </c>
      <c r="N148" t="s">
        <v>2401</v>
      </c>
      <c r="O148" t="s">
        <v>3021</v>
      </c>
      <c r="P148" t="s">
        <v>2401</v>
      </c>
      <c r="Q148" t="s">
        <v>2401</v>
      </c>
      <c r="R148" t="s">
        <v>2401</v>
      </c>
      <c r="S148" t="s">
        <v>2401</v>
      </c>
    </row>
    <row r="149" spans="1:19">
      <c r="A149" t="s">
        <v>3022</v>
      </c>
      <c r="B149" t="s">
        <v>3023</v>
      </c>
      <c r="C149" t="s">
        <v>2401</v>
      </c>
      <c r="D149" t="s">
        <v>2401</v>
      </c>
      <c r="E149" t="s">
        <v>2401</v>
      </c>
      <c r="F149" t="s">
        <v>2401</v>
      </c>
      <c r="G149" t="s">
        <v>2401</v>
      </c>
      <c r="H149" t="s">
        <v>2401</v>
      </c>
      <c r="I149" t="s">
        <v>2401</v>
      </c>
      <c r="J149" t="s">
        <v>3024</v>
      </c>
      <c r="K149" t="s">
        <v>2985</v>
      </c>
      <c r="L149" t="s">
        <v>2401</v>
      </c>
      <c r="M149" s="14">
        <v>45399.554861111108</v>
      </c>
      <c r="N149" t="s">
        <v>3025</v>
      </c>
      <c r="O149" t="s">
        <v>3026</v>
      </c>
      <c r="P149" t="s">
        <v>2401</v>
      </c>
      <c r="Q149" t="s">
        <v>2401</v>
      </c>
      <c r="R149" t="s">
        <v>2401</v>
      </c>
      <c r="S149" t="s">
        <v>2401</v>
      </c>
    </row>
    <row r="150" spans="1:19">
      <c r="A150" t="s">
        <v>3027</v>
      </c>
      <c r="B150" t="s">
        <v>3028</v>
      </c>
      <c r="C150" t="s">
        <v>2401</v>
      </c>
      <c r="D150" t="s">
        <v>2401</v>
      </c>
      <c r="E150" t="s">
        <v>2401</v>
      </c>
      <c r="F150" t="s">
        <v>2401</v>
      </c>
      <c r="G150" t="s">
        <v>2401</v>
      </c>
      <c r="H150" t="s">
        <v>2401</v>
      </c>
      <c r="I150" t="s">
        <v>2401</v>
      </c>
      <c r="J150" t="s">
        <v>3028</v>
      </c>
      <c r="K150" t="s">
        <v>2401</v>
      </c>
      <c r="L150" t="s">
        <v>2401</v>
      </c>
      <c r="M150" s="14">
        <v>45565.65347222222</v>
      </c>
      <c r="N150" t="s">
        <v>2401</v>
      </c>
      <c r="O150" t="s">
        <v>2401</v>
      </c>
      <c r="P150" t="s">
        <v>2401</v>
      </c>
      <c r="Q150" t="s">
        <v>2401</v>
      </c>
      <c r="R150" t="s">
        <v>2401</v>
      </c>
      <c r="S150" t="s">
        <v>2401</v>
      </c>
    </row>
    <row r="151" spans="1:19">
      <c r="A151" t="s">
        <v>3029</v>
      </c>
      <c r="B151" t="s">
        <v>3030</v>
      </c>
      <c r="C151" t="s">
        <v>2401</v>
      </c>
      <c r="D151" t="s">
        <v>2401</v>
      </c>
      <c r="E151" t="s">
        <v>2401</v>
      </c>
      <c r="F151" t="s">
        <v>2401</v>
      </c>
      <c r="G151" t="s">
        <v>2401</v>
      </c>
      <c r="H151" t="s">
        <v>2401</v>
      </c>
      <c r="I151" t="s">
        <v>2401</v>
      </c>
      <c r="J151" t="s">
        <v>3031</v>
      </c>
      <c r="K151" t="s">
        <v>2499</v>
      </c>
      <c r="L151" t="s">
        <v>2401</v>
      </c>
      <c r="M151" s="14">
        <v>45565.684027777781</v>
      </c>
      <c r="N151" t="s">
        <v>3032</v>
      </c>
      <c r="O151" t="s">
        <v>3033</v>
      </c>
      <c r="P151" t="s">
        <v>2401</v>
      </c>
      <c r="Q151" t="s">
        <v>2401</v>
      </c>
      <c r="R151" t="s">
        <v>2401</v>
      </c>
      <c r="S151" t="s">
        <v>2401</v>
      </c>
    </row>
    <row r="152" spans="1:19">
      <c r="A152" t="s">
        <v>3034</v>
      </c>
      <c r="B152" t="s">
        <v>3035</v>
      </c>
      <c r="C152" t="s">
        <v>2401</v>
      </c>
      <c r="D152" t="s">
        <v>2401</v>
      </c>
      <c r="E152" t="s">
        <v>2401</v>
      </c>
      <c r="F152" t="s">
        <v>2401</v>
      </c>
      <c r="G152" t="s">
        <v>2401</v>
      </c>
      <c r="H152" t="s">
        <v>2401</v>
      </c>
      <c r="I152" t="s">
        <v>2401</v>
      </c>
      <c r="J152" t="s">
        <v>3036</v>
      </c>
      <c r="K152" t="s">
        <v>2755</v>
      </c>
      <c r="L152" t="s">
        <v>2401</v>
      </c>
      <c r="M152" s="14">
        <v>45565.645138888889</v>
      </c>
      <c r="N152" t="s">
        <v>3037</v>
      </c>
      <c r="O152" t="s">
        <v>3038</v>
      </c>
      <c r="P152" t="s">
        <v>2401</v>
      </c>
      <c r="Q152" t="s">
        <v>2401</v>
      </c>
      <c r="R152" t="s">
        <v>2401</v>
      </c>
      <c r="S152" t="s">
        <v>2401</v>
      </c>
    </row>
    <row r="153" spans="1:19">
      <c r="A153" t="s">
        <v>3039</v>
      </c>
      <c r="B153" t="s">
        <v>3040</v>
      </c>
      <c r="C153" t="s">
        <v>2401</v>
      </c>
      <c r="D153" t="s">
        <v>2401</v>
      </c>
      <c r="E153" t="s">
        <v>2401</v>
      </c>
      <c r="F153" t="s">
        <v>2401</v>
      </c>
      <c r="G153" t="s">
        <v>2401</v>
      </c>
      <c r="H153" t="s">
        <v>2401</v>
      </c>
      <c r="I153" t="s">
        <v>2401</v>
      </c>
      <c r="J153" t="s">
        <v>3041</v>
      </c>
      <c r="K153" t="s">
        <v>2433</v>
      </c>
      <c r="L153" t="s">
        <v>2401</v>
      </c>
      <c r="M153" s="14">
        <v>45565.673611111109</v>
      </c>
      <c r="N153" t="s">
        <v>3042</v>
      </c>
      <c r="O153" t="s">
        <v>3043</v>
      </c>
      <c r="P153" t="s">
        <v>2401</v>
      </c>
      <c r="Q153" t="s">
        <v>2401</v>
      </c>
      <c r="R153" t="s">
        <v>2401</v>
      </c>
      <c r="S153" t="s">
        <v>2401</v>
      </c>
    </row>
    <row r="154" spans="1:19">
      <c r="A154" t="s">
        <v>3044</v>
      </c>
      <c r="B154" t="s">
        <v>3045</v>
      </c>
      <c r="C154" t="s">
        <v>2401</v>
      </c>
      <c r="D154" t="s">
        <v>2401</v>
      </c>
      <c r="E154" t="s">
        <v>2401</v>
      </c>
      <c r="F154" t="s">
        <v>2401</v>
      </c>
      <c r="G154" t="s">
        <v>2401</v>
      </c>
      <c r="H154" t="s">
        <v>2401</v>
      </c>
      <c r="I154" t="s">
        <v>2401</v>
      </c>
      <c r="J154" t="s">
        <v>2401</v>
      </c>
      <c r="K154" t="s">
        <v>2401</v>
      </c>
      <c r="L154" t="s">
        <v>2401</v>
      </c>
      <c r="M154" s="14">
        <v>45399.554861111108</v>
      </c>
      <c r="N154" t="s">
        <v>2401</v>
      </c>
      <c r="O154" t="s">
        <v>2401</v>
      </c>
      <c r="P154" t="s">
        <v>2401</v>
      </c>
      <c r="Q154" t="s">
        <v>2401</v>
      </c>
      <c r="R154" t="s">
        <v>2401</v>
      </c>
      <c r="S154" t="s">
        <v>2401</v>
      </c>
    </row>
    <row r="155" spans="1:19">
      <c r="A155" t="s">
        <v>3046</v>
      </c>
      <c r="B155" t="s">
        <v>3047</v>
      </c>
      <c r="C155" t="s">
        <v>2401</v>
      </c>
      <c r="D155" t="s">
        <v>2401</v>
      </c>
      <c r="E155" t="s">
        <v>2401</v>
      </c>
      <c r="F155" t="s">
        <v>2401</v>
      </c>
      <c r="G155" t="s">
        <v>2401</v>
      </c>
      <c r="H155" t="s">
        <v>2401</v>
      </c>
      <c r="I155" t="s">
        <v>2401</v>
      </c>
      <c r="J155" t="s">
        <v>3048</v>
      </c>
      <c r="K155" t="s">
        <v>3049</v>
      </c>
      <c r="L155" t="s">
        <v>2401</v>
      </c>
      <c r="M155" s="14">
        <v>45399.554861111108</v>
      </c>
      <c r="N155" t="s">
        <v>3050</v>
      </c>
      <c r="O155" t="s">
        <v>3051</v>
      </c>
      <c r="P155" t="s">
        <v>2401</v>
      </c>
      <c r="Q155" t="s">
        <v>2401</v>
      </c>
      <c r="R155" t="s">
        <v>2401</v>
      </c>
      <c r="S155" t="s">
        <v>2401</v>
      </c>
    </row>
    <row r="156" spans="1:19">
      <c r="A156" t="s">
        <v>3052</v>
      </c>
      <c r="B156" t="s">
        <v>3053</v>
      </c>
      <c r="C156" t="s">
        <v>2401</v>
      </c>
      <c r="D156" t="s">
        <v>2401</v>
      </c>
      <c r="E156" t="s">
        <v>2401</v>
      </c>
      <c r="F156" t="s">
        <v>2401</v>
      </c>
      <c r="G156" t="s">
        <v>2401</v>
      </c>
      <c r="H156" t="s">
        <v>2401</v>
      </c>
      <c r="I156" t="s">
        <v>2401</v>
      </c>
      <c r="J156" t="s">
        <v>3054</v>
      </c>
      <c r="K156" t="s">
        <v>2438</v>
      </c>
      <c r="L156" t="s">
        <v>2401</v>
      </c>
      <c r="M156" s="14">
        <v>45534.874305555553</v>
      </c>
      <c r="N156" t="s">
        <v>3055</v>
      </c>
      <c r="O156" t="s">
        <v>3056</v>
      </c>
      <c r="P156" t="s">
        <v>2401</v>
      </c>
      <c r="Q156" t="s">
        <v>2401</v>
      </c>
      <c r="R156" t="s">
        <v>2401</v>
      </c>
      <c r="S156" t="s">
        <v>2401</v>
      </c>
    </row>
    <row r="157" spans="1:19">
      <c r="A157" t="s">
        <v>3057</v>
      </c>
      <c r="B157" t="s">
        <v>3058</v>
      </c>
      <c r="C157" t="s">
        <v>2401</v>
      </c>
      <c r="D157" t="s">
        <v>2401</v>
      </c>
      <c r="E157" t="s">
        <v>2401</v>
      </c>
      <c r="F157" t="s">
        <v>2401</v>
      </c>
      <c r="G157" t="s">
        <v>2401</v>
      </c>
      <c r="H157" t="s">
        <v>2401</v>
      </c>
      <c r="I157" t="s">
        <v>2401</v>
      </c>
      <c r="J157" t="s">
        <v>3059</v>
      </c>
      <c r="K157" t="s">
        <v>3060</v>
      </c>
      <c r="L157" t="s">
        <v>2401</v>
      </c>
      <c r="M157" s="14">
        <v>45399.554861111108</v>
      </c>
      <c r="N157" t="s">
        <v>3061</v>
      </c>
      <c r="O157" t="s">
        <v>3062</v>
      </c>
      <c r="P157" t="s">
        <v>2401</v>
      </c>
      <c r="Q157" t="s">
        <v>2401</v>
      </c>
      <c r="R157" t="s">
        <v>2401</v>
      </c>
      <c r="S157" t="s">
        <v>2401</v>
      </c>
    </row>
    <row r="158" spans="1:19">
      <c r="A158" t="s">
        <v>3063</v>
      </c>
      <c r="B158" t="s">
        <v>3064</v>
      </c>
      <c r="C158" t="s">
        <v>2401</v>
      </c>
      <c r="D158" t="s">
        <v>2401</v>
      </c>
      <c r="E158" t="s">
        <v>2401</v>
      </c>
      <c r="F158" t="s">
        <v>2401</v>
      </c>
      <c r="G158" t="s">
        <v>2401</v>
      </c>
      <c r="H158" t="s">
        <v>2401</v>
      </c>
      <c r="I158" t="s">
        <v>2401</v>
      </c>
      <c r="J158" t="s">
        <v>3065</v>
      </c>
      <c r="K158" t="s">
        <v>2401</v>
      </c>
      <c r="L158" t="s">
        <v>2401</v>
      </c>
      <c r="M158" s="14">
        <v>45565.563888888886</v>
      </c>
      <c r="N158" t="s">
        <v>2401</v>
      </c>
      <c r="O158" t="s">
        <v>2401</v>
      </c>
      <c r="P158" t="s">
        <v>2401</v>
      </c>
      <c r="Q158" t="s">
        <v>2401</v>
      </c>
      <c r="R158" t="s">
        <v>2401</v>
      </c>
      <c r="S158" t="s">
        <v>2401</v>
      </c>
    </row>
    <row r="159" spans="1:19">
      <c r="A159" t="s">
        <v>3066</v>
      </c>
      <c r="B159" t="s">
        <v>3067</v>
      </c>
      <c r="C159" t="s">
        <v>2401</v>
      </c>
      <c r="D159" t="s">
        <v>2401</v>
      </c>
      <c r="E159" t="s">
        <v>2401</v>
      </c>
      <c r="F159" t="s">
        <v>2401</v>
      </c>
      <c r="G159" t="s">
        <v>2401</v>
      </c>
      <c r="H159" t="s">
        <v>2401</v>
      </c>
      <c r="I159" t="s">
        <v>2401</v>
      </c>
      <c r="J159" t="s">
        <v>3067</v>
      </c>
      <c r="K159" t="s">
        <v>2401</v>
      </c>
      <c r="L159" t="s">
        <v>2401</v>
      </c>
      <c r="M159" s="14">
        <v>45565.563888888886</v>
      </c>
      <c r="N159" t="s">
        <v>2401</v>
      </c>
      <c r="O159" t="s">
        <v>2401</v>
      </c>
      <c r="P159" t="s">
        <v>2401</v>
      </c>
      <c r="Q159" t="s">
        <v>2401</v>
      </c>
      <c r="R159" t="s">
        <v>2401</v>
      </c>
      <c r="S159" t="s">
        <v>2401</v>
      </c>
    </row>
    <row r="160" spans="1:19">
      <c r="A160" t="s">
        <v>3068</v>
      </c>
      <c r="B160" t="s">
        <v>3069</v>
      </c>
      <c r="C160" t="s">
        <v>2401</v>
      </c>
      <c r="D160" t="s">
        <v>2401</v>
      </c>
      <c r="E160" t="s">
        <v>2401</v>
      </c>
      <c r="F160" t="s">
        <v>2401</v>
      </c>
      <c r="G160" t="s">
        <v>2401</v>
      </c>
      <c r="H160" t="s">
        <v>2401</v>
      </c>
      <c r="I160" t="s">
        <v>2401</v>
      </c>
      <c r="J160" t="s">
        <v>3070</v>
      </c>
      <c r="K160" t="s">
        <v>3071</v>
      </c>
      <c r="L160" t="s">
        <v>2401</v>
      </c>
      <c r="M160" s="14">
        <v>45565.645138888889</v>
      </c>
      <c r="N160" t="s">
        <v>3072</v>
      </c>
      <c r="O160" t="s">
        <v>3073</v>
      </c>
      <c r="P160" t="s">
        <v>2401</v>
      </c>
      <c r="Q160" t="s">
        <v>2401</v>
      </c>
      <c r="R160" t="s">
        <v>2401</v>
      </c>
      <c r="S160" t="s">
        <v>2401</v>
      </c>
    </row>
    <row r="161" spans="1:19">
      <c r="A161" t="s">
        <v>3074</v>
      </c>
      <c r="B161" t="s">
        <v>3075</v>
      </c>
      <c r="C161" t="s">
        <v>2401</v>
      </c>
      <c r="D161" t="s">
        <v>2401</v>
      </c>
      <c r="E161" t="s">
        <v>2401</v>
      </c>
      <c r="F161" t="s">
        <v>2401</v>
      </c>
      <c r="G161" t="s">
        <v>2401</v>
      </c>
      <c r="H161" t="s">
        <v>2401</v>
      </c>
      <c r="I161" t="s">
        <v>2401</v>
      </c>
      <c r="J161" t="s">
        <v>3075</v>
      </c>
      <c r="K161" t="s">
        <v>2401</v>
      </c>
      <c r="L161" t="s">
        <v>2401</v>
      </c>
      <c r="M161" s="14">
        <v>45534.874305555553</v>
      </c>
      <c r="N161" t="s">
        <v>2401</v>
      </c>
      <c r="O161" t="s">
        <v>2401</v>
      </c>
      <c r="P161" t="s">
        <v>2401</v>
      </c>
      <c r="Q161" t="s">
        <v>2401</v>
      </c>
      <c r="R161" t="s">
        <v>2401</v>
      </c>
      <c r="S161" t="s">
        <v>2401</v>
      </c>
    </row>
    <row r="162" spans="1:19">
      <c r="A162" t="s">
        <v>3076</v>
      </c>
      <c r="B162" t="s">
        <v>3077</v>
      </c>
      <c r="C162" t="s">
        <v>2401</v>
      </c>
      <c r="D162" t="s">
        <v>2401</v>
      </c>
      <c r="E162" t="s">
        <v>2401</v>
      </c>
      <c r="F162" t="s">
        <v>2401</v>
      </c>
      <c r="G162" t="s">
        <v>2401</v>
      </c>
      <c r="H162" t="s">
        <v>2401</v>
      </c>
      <c r="I162" t="s">
        <v>2401</v>
      </c>
      <c r="J162" t="s">
        <v>3078</v>
      </c>
      <c r="K162" t="s">
        <v>2720</v>
      </c>
      <c r="L162" t="s">
        <v>2401</v>
      </c>
      <c r="M162" s="14">
        <v>45399.554861111108</v>
      </c>
      <c r="N162" t="s">
        <v>3079</v>
      </c>
      <c r="O162" t="s">
        <v>3080</v>
      </c>
      <c r="P162" t="s">
        <v>2401</v>
      </c>
      <c r="Q162" t="s">
        <v>2401</v>
      </c>
      <c r="R162" t="s">
        <v>2401</v>
      </c>
      <c r="S162" t="s">
        <v>2401</v>
      </c>
    </row>
    <row r="163" spans="1:19">
      <c r="A163" t="s">
        <v>3081</v>
      </c>
      <c r="B163" t="s">
        <v>1133</v>
      </c>
      <c r="C163" t="s">
        <v>2401</v>
      </c>
      <c r="D163" t="s">
        <v>2401</v>
      </c>
      <c r="E163" t="s">
        <v>2401</v>
      </c>
      <c r="F163" t="s">
        <v>2401</v>
      </c>
      <c r="G163" t="s">
        <v>2401</v>
      </c>
      <c r="H163" t="s">
        <v>2401</v>
      </c>
      <c r="I163" t="s">
        <v>2401</v>
      </c>
      <c r="J163" t="s">
        <v>3082</v>
      </c>
      <c r="K163" t="s">
        <v>2406</v>
      </c>
      <c r="L163" t="s">
        <v>2401</v>
      </c>
      <c r="M163" s="14">
        <v>45565.681944444441</v>
      </c>
      <c r="N163" t="s">
        <v>3083</v>
      </c>
      <c r="O163" t="s">
        <v>3084</v>
      </c>
      <c r="P163" t="s">
        <v>2401</v>
      </c>
      <c r="Q163" t="s">
        <v>2401</v>
      </c>
      <c r="R163" t="s">
        <v>2401</v>
      </c>
      <c r="S163" t="s">
        <v>2401</v>
      </c>
    </row>
    <row r="164" spans="1:19">
      <c r="A164" t="s">
        <v>3085</v>
      </c>
      <c r="B164" t="s">
        <v>3086</v>
      </c>
      <c r="C164" t="s">
        <v>2401</v>
      </c>
      <c r="D164" t="s">
        <v>2401</v>
      </c>
      <c r="E164" t="s">
        <v>2401</v>
      </c>
      <c r="F164" t="s">
        <v>2401</v>
      </c>
      <c r="G164" t="s">
        <v>2401</v>
      </c>
      <c r="H164" t="s">
        <v>2401</v>
      </c>
      <c r="I164" t="s">
        <v>2401</v>
      </c>
      <c r="J164" t="s">
        <v>3087</v>
      </c>
      <c r="K164" t="s">
        <v>3088</v>
      </c>
      <c r="L164" t="s">
        <v>2401</v>
      </c>
      <c r="M164" s="14">
        <v>45565.681944444441</v>
      </c>
      <c r="N164" t="s">
        <v>3089</v>
      </c>
      <c r="O164" t="s">
        <v>3084</v>
      </c>
      <c r="P164" t="s">
        <v>2401</v>
      </c>
      <c r="Q164" t="s">
        <v>2401</v>
      </c>
      <c r="R164" t="s">
        <v>2401</v>
      </c>
      <c r="S164" t="s">
        <v>2401</v>
      </c>
    </row>
    <row r="165" spans="1:19">
      <c r="A165" t="s">
        <v>3090</v>
      </c>
      <c r="B165" t="s">
        <v>3091</v>
      </c>
      <c r="C165" t="s">
        <v>2401</v>
      </c>
      <c r="D165" t="s">
        <v>2401</v>
      </c>
      <c r="E165" t="s">
        <v>2401</v>
      </c>
      <c r="F165" t="s">
        <v>2401</v>
      </c>
      <c r="G165" t="s">
        <v>2401</v>
      </c>
      <c r="H165" t="s">
        <v>2401</v>
      </c>
      <c r="I165" t="s">
        <v>2401</v>
      </c>
      <c r="J165" t="s">
        <v>3092</v>
      </c>
      <c r="K165" t="s">
        <v>2499</v>
      </c>
      <c r="L165" t="s">
        <v>2401</v>
      </c>
      <c r="M165" s="14">
        <v>45399.554861111108</v>
      </c>
      <c r="N165" t="s">
        <v>3093</v>
      </c>
      <c r="O165" t="s">
        <v>3094</v>
      </c>
      <c r="P165" t="s">
        <v>2401</v>
      </c>
      <c r="Q165" t="s">
        <v>2401</v>
      </c>
      <c r="R165" t="s">
        <v>2401</v>
      </c>
      <c r="S165" t="s">
        <v>2401</v>
      </c>
    </row>
    <row r="166" spans="1:19">
      <c r="A166" t="s">
        <v>3095</v>
      </c>
      <c r="B166" t="s">
        <v>3096</v>
      </c>
      <c r="C166" t="s">
        <v>2401</v>
      </c>
      <c r="D166" t="s">
        <v>2401</v>
      </c>
      <c r="E166" t="s">
        <v>2401</v>
      </c>
      <c r="F166" t="s">
        <v>2401</v>
      </c>
      <c r="G166" t="s">
        <v>2401</v>
      </c>
      <c r="H166" t="s">
        <v>2401</v>
      </c>
      <c r="I166" t="s">
        <v>2401</v>
      </c>
      <c r="J166" t="s">
        <v>2401</v>
      </c>
      <c r="K166" t="s">
        <v>2401</v>
      </c>
      <c r="L166" t="s">
        <v>2401</v>
      </c>
      <c r="M166" s="14">
        <v>45517.415972222225</v>
      </c>
      <c r="N166" t="s">
        <v>2401</v>
      </c>
      <c r="O166" t="s">
        <v>2401</v>
      </c>
      <c r="P166" t="s">
        <v>2401</v>
      </c>
      <c r="Q166" t="s">
        <v>2401</v>
      </c>
      <c r="R166" t="s">
        <v>2401</v>
      </c>
      <c r="S166" t="s">
        <v>2401</v>
      </c>
    </row>
    <row r="167" spans="1:19">
      <c r="A167" t="s">
        <v>3097</v>
      </c>
      <c r="B167" t="s">
        <v>3098</v>
      </c>
      <c r="C167" t="s">
        <v>2401</v>
      </c>
      <c r="D167" t="s">
        <v>2401</v>
      </c>
      <c r="E167" t="s">
        <v>2401</v>
      </c>
      <c r="F167" t="s">
        <v>2401</v>
      </c>
      <c r="G167" t="s">
        <v>2401</v>
      </c>
      <c r="H167" t="s">
        <v>2401</v>
      </c>
      <c r="I167" t="s">
        <v>2401</v>
      </c>
      <c r="J167" t="s">
        <v>3099</v>
      </c>
      <c r="K167" t="s">
        <v>2433</v>
      </c>
      <c r="L167" t="s">
        <v>2401</v>
      </c>
      <c r="M167" s="14">
        <v>45399.554861111108</v>
      </c>
      <c r="N167" t="s">
        <v>3100</v>
      </c>
      <c r="O167" t="s">
        <v>3101</v>
      </c>
      <c r="P167" t="s">
        <v>2401</v>
      </c>
      <c r="Q167" t="s">
        <v>2401</v>
      </c>
      <c r="R167" t="s">
        <v>2401</v>
      </c>
      <c r="S167" t="s">
        <v>2401</v>
      </c>
    </row>
    <row r="168" spans="1:19">
      <c r="A168" t="s">
        <v>3102</v>
      </c>
      <c r="B168" t="s">
        <v>3103</v>
      </c>
      <c r="C168" t="s">
        <v>2401</v>
      </c>
      <c r="D168" t="s">
        <v>2401</v>
      </c>
      <c r="E168" t="s">
        <v>2401</v>
      </c>
      <c r="F168" t="s">
        <v>2401</v>
      </c>
      <c r="G168" t="s">
        <v>2401</v>
      </c>
      <c r="H168" t="s">
        <v>2401</v>
      </c>
      <c r="I168" t="s">
        <v>2401</v>
      </c>
      <c r="J168" t="s">
        <v>3104</v>
      </c>
      <c r="K168" t="s">
        <v>2492</v>
      </c>
      <c r="L168" t="s">
        <v>2401</v>
      </c>
      <c r="M168" s="14">
        <v>45565.566666666666</v>
      </c>
      <c r="N168" t="s">
        <v>3105</v>
      </c>
      <c r="O168" t="s">
        <v>2401</v>
      </c>
      <c r="P168" t="s">
        <v>2401</v>
      </c>
      <c r="Q168" t="s">
        <v>2401</v>
      </c>
      <c r="R168" t="s">
        <v>2401</v>
      </c>
      <c r="S168" t="s">
        <v>2401</v>
      </c>
    </row>
    <row r="169" spans="1:19">
      <c r="A169" t="s">
        <v>3106</v>
      </c>
      <c r="B169" t="s">
        <v>3107</v>
      </c>
      <c r="C169" t="s">
        <v>2401</v>
      </c>
      <c r="D169" t="s">
        <v>2401</v>
      </c>
      <c r="E169" t="s">
        <v>2401</v>
      </c>
      <c r="F169" t="s">
        <v>2401</v>
      </c>
      <c r="G169" t="s">
        <v>2401</v>
      </c>
      <c r="H169" t="s">
        <v>2401</v>
      </c>
      <c r="I169" t="s">
        <v>2401</v>
      </c>
      <c r="J169" t="s">
        <v>3108</v>
      </c>
      <c r="K169" t="s">
        <v>2877</v>
      </c>
      <c r="L169" t="s">
        <v>2401</v>
      </c>
      <c r="M169" s="14">
        <v>45565.663888888892</v>
      </c>
      <c r="N169" t="s">
        <v>3109</v>
      </c>
      <c r="O169" t="s">
        <v>2401</v>
      </c>
      <c r="P169" t="s">
        <v>2401</v>
      </c>
      <c r="Q169" t="s">
        <v>2401</v>
      </c>
      <c r="R169" t="s">
        <v>2401</v>
      </c>
      <c r="S169" t="s">
        <v>2401</v>
      </c>
    </row>
    <row r="170" spans="1:19">
      <c r="A170" t="s">
        <v>3110</v>
      </c>
      <c r="B170" t="s">
        <v>3107</v>
      </c>
      <c r="C170" t="s">
        <v>2401</v>
      </c>
      <c r="D170" t="s">
        <v>2401</v>
      </c>
      <c r="E170" t="s">
        <v>2401</v>
      </c>
      <c r="F170" t="s">
        <v>2401</v>
      </c>
      <c r="G170" t="s">
        <v>2401</v>
      </c>
      <c r="H170" t="s">
        <v>2401</v>
      </c>
      <c r="I170" t="s">
        <v>61</v>
      </c>
      <c r="J170" t="s">
        <v>3111</v>
      </c>
      <c r="K170" t="s">
        <v>2720</v>
      </c>
      <c r="L170" t="s">
        <v>2401</v>
      </c>
      <c r="M170" s="14">
        <v>45399.554861111108</v>
      </c>
      <c r="N170" t="s">
        <v>3112</v>
      </c>
      <c r="O170" t="s">
        <v>3113</v>
      </c>
      <c r="P170" t="s">
        <v>2401</v>
      </c>
      <c r="Q170" t="s">
        <v>2401</v>
      </c>
      <c r="R170" t="s">
        <v>2401</v>
      </c>
      <c r="S170" t="s">
        <v>2401</v>
      </c>
    </row>
    <row r="171" spans="1:19">
      <c r="A171" t="s">
        <v>3114</v>
      </c>
      <c r="B171" t="s">
        <v>3107</v>
      </c>
      <c r="C171" t="s">
        <v>2401</v>
      </c>
      <c r="D171" t="s">
        <v>2401</v>
      </c>
      <c r="E171" t="s">
        <v>2401</v>
      </c>
      <c r="F171" t="s">
        <v>2401</v>
      </c>
      <c r="G171" t="s">
        <v>2401</v>
      </c>
      <c r="H171" t="s">
        <v>2401</v>
      </c>
      <c r="I171" t="s">
        <v>2401</v>
      </c>
      <c r="J171" t="s">
        <v>2401</v>
      </c>
      <c r="K171" t="s">
        <v>2406</v>
      </c>
      <c r="L171" t="s">
        <v>2401</v>
      </c>
      <c r="M171" s="14">
        <v>45390.607638888891</v>
      </c>
      <c r="N171" t="s">
        <v>2401</v>
      </c>
      <c r="O171" t="s">
        <v>3115</v>
      </c>
      <c r="P171" t="s">
        <v>2401</v>
      </c>
      <c r="Q171" t="s">
        <v>2401</v>
      </c>
      <c r="R171" t="s">
        <v>2401</v>
      </c>
      <c r="S171" t="s">
        <v>2401</v>
      </c>
    </row>
    <row r="172" spans="1:19">
      <c r="A172" t="s">
        <v>3116</v>
      </c>
      <c r="B172" t="s">
        <v>3117</v>
      </c>
      <c r="C172" t="s">
        <v>2401</v>
      </c>
      <c r="D172" t="s">
        <v>2401</v>
      </c>
      <c r="E172" t="s">
        <v>2401</v>
      </c>
      <c r="F172" t="s">
        <v>2401</v>
      </c>
      <c r="G172" t="s">
        <v>2401</v>
      </c>
      <c r="H172" t="s">
        <v>2401</v>
      </c>
      <c r="I172" t="s">
        <v>2401</v>
      </c>
      <c r="J172" t="s">
        <v>3118</v>
      </c>
      <c r="K172" t="s">
        <v>2448</v>
      </c>
      <c r="L172" t="s">
        <v>2401</v>
      </c>
      <c r="M172" s="14">
        <v>45509.718055555553</v>
      </c>
      <c r="N172" t="s">
        <v>3119</v>
      </c>
      <c r="O172" t="s">
        <v>3120</v>
      </c>
      <c r="P172" t="s">
        <v>2401</v>
      </c>
      <c r="Q172" t="s">
        <v>2401</v>
      </c>
      <c r="R172" t="s">
        <v>2401</v>
      </c>
      <c r="S172" t="s">
        <v>2401</v>
      </c>
    </row>
    <row r="173" spans="1:19">
      <c r="A173" t="s">
        <v>3121</v>
      </c>
      <c r="B173" t="s">
        <v>3117</v>
      </c>
      <c r="C173" t="s">
        <v>2401</v>
      </c>
      <c r="D173" t="s">
        <v>2401</v>
      </c>
      <c r="E173" t="s">
        <v>2401</v>
      </c>
      <c r="F173" t="s">
        <v>2401</v>
      </c>
      <c r="G173" t="s">
        <v>2401</v>
      </c>
      <c r="H173" t="s">
        <v>2401</v>
      </c>
      <c r="I173" t="s">
        <v>2401</v>
      </c>
      <c r="J173" t="s">
        <v>3122</v>
      </c>
      <c r="K173" t="s">
        <v>2448</v>
      </c>
      <c r="L173" t="s">
        <v>2401</v>
      </c>
      <c r="M173" s="14">
        <v>45390.607638888891</v>
      </c>
      <c r="N173" t="s">
        <v>3119</v>
      </c>
      <c r="O173" t="s">
        <v>3120</v>
      </c>
      <c r="P173" t="s">
        <v>2401</v>
      </c>
      <c r="Q173" t="s">
        <v>2401</v>
      </c>
      <c r="R173" t="s">
        <v>2401</v>
      </c>
      <c r="S173" t="s">
        <v>2401</v>
      </c>
    </row>
    <row r="174" spans="1:19">
      <c r="A174" t="s">
        <v>3123</v>
      </c>
      <c r="B174" t="s">
        <v>3124</v>
      </c>
      <c r="C174" t="s">
        <v>2401</v>
      </c>
      <c r="D174" t="s">
        <v>2401</v>
      </c>
      <c r="E174" t="s">
        <v>2401</v>
      </c>
      <c r="F174" t="s">
        <v>2401</v>
      </c>
      <c r="G174" t="s">
        <v>2401</v>
      </c>
      <c r="H174" t="s">
        <v>2401</v>
      </c>
      <c r="I174" t="s">
        <v>2401</v>
      </c>
      <c r="J174" t="s">
        <v>3125</v>
      </c>
      <c r="K174" t="s">
        <v>2433</v>
      </c>
      <c r="L174" t="s">
        <v>2401</v>
      </c>
      <c r="M174" s="14">
        <v>45565.700694444444</v>
      </c>
      <c r="N174" t="s">
        <v>3126</v>
      </c>
      <c r="O174" t="s">
        <v>3127</v>
      </c>
      <c r="P174" t="s">
        <v>2401</v>
      </c>
      <c r="Q174" t="s">
        <v>2401</v>
      </c>
      <c r="R174" t="s">
        <v>2401</v>
      </c>
      <c r="S174" t="s">
        <v>2401</v>
      </c>
    </row>
    <row r="175" spans="1:19">
      <c r="A175" t="s">
        <v>3128</v>
      </c>
      <c r="B175" t="s">
        <v>3129</v>
      </c>
      <c r="C175" t="s">
        <v>2401</v>
      </c>
      <c r="D175" t="s">
        <v>2401</v>
      </c>
      <c r="E175" t="s">
        <v>2401</v>
      </c>
      <c r="F175" t="s">
        <v>2401</v>
      </c>
      <c r="G175" t="s">
        <v>2401</v>
      </c>
      <c r="H175" t="s">
        <v>2401</v>
      </c>
      <c r="I175" t="s">
        <v>2401</v>
      </c>
      <c r="J175" t="s">
        <v>2401</v>
      </c>
      <c r="K175" t="s">
        <v>2401</v>
      </c>
      <c r="L175" t="s">
        <v>2401</v>
      </c>
      <c r="M175" s="14">
        <v>45390.607638888891</v>
      </c>
      <c r="N175" t="s">
        <v>2401</v>
      </c>
      <c r="O175" t="s">
        <v>2586</v>
      </c>
      <c r="P175" t="s">
        <v>2401</v>
      </c>
      <c r="Q175" t="s">
        <v>2401</v>
      </c>
      <c r="R175" t="s">
        <v>2401</v>
      </c>
      <c r="S175" t="s">
        <v>2401</v>
      </c>
    </row>
    <row r="176" spans="1:19">
      <c r="A176" t="s">
        <v>3130</v>
      </c>
      <c r="B176" t="s">
        <v>3131</v>
      </c>
      <c r="C176" t="s">
        <v>2401</v>
      </c>
      <c r="D176" t="s">
        <v>2401</v>
      </c>
      <c r="E176" t="s">
        <v>2401</v>
      </c>
      <c r="F176" t="s">
        <v>2401</v>
      </c>
      <c r="G176" t="s">
        <v>2401</v>
      </c>
      <c r="H176" t="s">
        <v>2401</v>
      </c>
      <c r="I176" t="s">
        <v>61</v>
      </c>
      <c r="J176" t="s">
        <v>3132</v>
      </c>
      <c r="K176" t="s">
        <v>2749</v>
      </c>
      <c r="L176" t="s">
        <v>2401</v>
      </c>
      <c r="M176" s="14">
        <v>45399.554861111108</v>
      </c>
      <c r="N176" t="s">
        <v>3133</v>
      </c>
      <c r="O176" t="s">
        <v>3134</v>
      </c>
      <c r="P176" t="s">
        <v>2401</v>
      </c>
      <c r="Q176" t="s">
        <v>2401</v>
      </c>
      <c r="R176" t="s">
        <v>2401</v>
      </c>
      <c r="S176" t="s">
        <v>2401</v>
      </c>
    </row>
    <row r="177" spans="1:19">
      <c r="A177" t="s">
        <v>3135</v>
      </c>
      <c r="B177" t="s">
        <v>3136</v>
      </c>
      <c r="C177" t="s">
        <v>2401</v>
      </c>
      <c r="D177" t="s">
        <v>2401</v>
      </c>
      <c r="E177" t="s">
        <v>2401</v>
      </c>
      <c r="F177" t="s">
        <v>2401</v>
      </c>
      <c r="G177" t="s">
        <v>2401</v>
      </c>
      <c r="H177" t="s">
        <v>2401</v>
      </c>
      <c r="I177" t="s">
        <v>2401</v>
      </c>
      <c r="J177" t="s">
        <v>3137</v>
      </c>
      <c r="K177" t="s">
        <v>2615</v>
      </c>
      <c r="L177" t="s">
        <v>2401</v>
      </c>
      <c r="M177" s="14">
        <v>45565.54583333333</v>
      </c>
      <c r="N177" t="s">
        <v>3138</v>
      </c>
      <c r="O177" t="s">
        <v>2401</v>
      </c>
      <c r="P177" t="s">
        <v>2401</v>
      </c>
      <c r="Q177" t="s">
        <v>2401</v>
      </c>
      <c r="R177" t="s">
        <v>2401</v>
      </c>
      <c r="S177" t="s">
        <v>2401</v>
      </c>
    </row>
    <row r="178" spans="1:19">
      <c r="A178" t="s">
        <v>3139</v>
      </c>
      <c r="B178" t="s">
        <v>3140</v>
      </c>
      <c r="C178" t="s">
        <v>2401</v>
      </c>
      <c r="D178" t="s">
        <v>2401</v>
      </c>
      <c r="E178" t="s">
        <v>2401</v>
      </c>
      <c r="F178" t="s">
        <v>2401</v>
      </c>
      <c r="G178" t="s">
        <v>2401</v>
      </c>
      <c r="H178" t="s">
        <v>2401</v>
      </c>
      <c r="I178" t="s">
        <v>2401</v>
      </c>
      <c r="J178" t="s">
        <v>3141</v>
      </c>
      <c r="K178" t="s">
        <v>2421</v>
      </c>
      <c r="L178" t="s">
        <v>2401</v>
      </c>
      <c r="M178" s="14">
        <v>45534.874305555553</v>
      </c>
      <c r="N178" t="s">
        <v>3142</v>
      </c>
      <c r="O178" t="s">
        <v>3143</v>
      </c>
      <c r="P178" t="s">
        <v>2401</v>
      </c>
      <c r="Q178" t="s">
        <v>2401</v>
      </c>
      <c r="R178" t="s">
        <v>2401</v>
      </c>
      <c r="S178" t="s">
        <v>2401</v>
      </c>
    </row>
    <row r="179" spans="1:19">
      <c r="A179" t="s">
        <v>3144</v>
      </c>
      <c r="B179" t="s">
        <v>3140</v>
      </c>
      <c r="C179" t="s">
        <v>2401</v>
      </c>
      <c r="D179" t="s">
        <v>2401</v>
      </c>
      <c r="E179" t="s">
        <v>2401</v>
      </c>
      <c r="F179" t="s">
        <v>2401</v>
      </c>
      <c r="G179" t="s">
        <v>2401</v>
      </c>
      <c r="H179" t="s">
        <v>2401</v>
      </c>
      <c r="I179" t="s">
        <v>2401</v>
      </c>
      <c r="J179" t="s">
        <v>2401</v>
      </c>
      <c r="K179" t="s">
        <v>2401</v>
      </c>
      <c r="L179" t="s">
        <v>2401</v>
      </c>
      <c r="M179" s="14">
        <v>45399.554861111108</v>
      </c>
      <c r="N179" t="s">
        <v>2401</v>
      </c>
      <c r="O179" t="s">
        <v>2401</v>
      </c>
      <c r="P179" t="s">
        <v>2401</v>
      </c>
      <c r="Q179" t="s">
        <v>2401</v>
      </c>
      <c r="R179" t="s">
        <v>2401</v>
      </c>
      <c r="S179" t="s">
        <v>2401</v>
      </c>
    </row>
    <row r="180" spans="1:19">
      <c r="A180" t="s">
        <v>3145</v>
      </c>
      <c r="B180" t="s">
        <v>3146</v>
      </c>
      <c r="C180" t="s">
        <v>2401</v>
      </c>
      <c r="D180" t="s">
        <v>2401</v>
      </c>
      <c r="E180" t="s">
        <v>2401</v>
      </c>
      <c r="F180" t="s">
        <v>2401</v>
      </c>
      <c r="G180" t="s">
        <v>2401</v>
      </c>
      <c r="H180" t="s">
        <v>2401</v>
      </c>
      <c r="I180" t="s">
        <v>2401</v>
      </c>
      <c r="J180" t="s">
        <v>2401</v>
      </c>
      <c r="K180" t="s">
        <v>3147</v>
      </c>
      <c r="L180" t="s">
        <v>2401</v>
      </c>
      <c r="M180" s="14">
        <v>45390.607638888891</v>
      </c>
      <c r="N180" t="s">
        <v>2401</v>
      </c>
      <c r="O180" t="s">
        <v>3148</v>
      </c>
      <c r="P180" t="s">
        <v>2401</v>
      </c>
      <c r="Q180" t="s">
        <v>2401</v>
      </c>
      <c r="R180" t="s">
        <v>2401</v>
      </c>
      <c r="S180" t="s">
        <v>2401</v>
      </c>
    </row>
    <row r="181" spans="1:19">
      <c r="A181" t="s">
        <v>3149</v>
      </c>
      <c r="B181" t="s">
        <v>3150</v>
      </c>
      <c r="C181" t="s">
        <v>2401</v>
      </c>
      <c r="D181" t="s">
        <v>2401</v>
      </c>
      <c r="E181" t="s">
        <v>2401</v>
      </c>
      <c r="F181" t="s">
        <v>2401</v>
      </c>
      <c r="G181" t="s">
        <v>2401</v>
      </c>
      <c r="H181" t="s">
        <v>2401</v>
      </c>
      <c r="I181" t="s">
        <v>2401</v>
      </c>
      <c r="J181" t="s">
        <v>3151</v>
      </c>
      <c r="K181" t="s">
        <v>3147</v>
      </c>
      <c r="L181" t="s">
        <v>2401</v>
      </c>
      <c r="M181" s="14">
        <v>45399.554861111108</v>
      </c>
      <c r="N181" t="s">
        <v>3152</v>
      </c>
      <c r="O181" t="s">
        <v>3148</v>
      </c>
      <c r="P181" t="s">
        <v>2401</v>
      </c>
      <c r="Q181" t="s">
        <v>2401</v>
      </c>
      <c r="R181" t="s">
        <v>2401</v>
      </c>
      <c r="S181" t="s">
        <v>2401</v>
      </c>
    </row>
    <row r="182" spans="1:19">
      <c r="A182" t="s">
        <v>3153</v>
      </c>
      <c r="B182" t="s">
        <v>3154</v>
      </c>
      <c r="C182" t="s">
        <v>2401</v>
      </c>
      <c r="D182" t="s">
        <v>2401</v>
      </c>
      <c r="E182" t="s">
        <v>2401</v>
      </c>
      <c r="F182" t="s">
        <v>2401</v>
      </c>
      <c r="G182" t="s">
        <v>2401</v>
      </c>
      <c r="H182" t="s">
        <v>2401</v>
      </c>
      <c r="I182" t="s">
        <v>2401</v>
      </c>
      <c r="J182" t="s">
        <v>2401</v>
      </c>
      <c r="K182" t="s">
        <v>3155</v>
      </c>
      <c r="L182" t="s">
        <v>2401</v>
      </c>
      <c r="M182" s="14">
        <v>45390.607638888891</v>
      </c>
      <c r="N182" t="s">
        <v>2401</v>
      </c>
      <c r="O182" t="s">
        <v>3156</v>
      </c>
      <c r="P182" t="s">
        <v>2401</v>
      </c>
      <c r="Q182" t="s">
        <v>2401</v>
      </c>
      <c r="R182" t="s">
        <v>2401</v>
      </c>
      <c r="S182" t="s">
        <v>2401</v>
      </c>
    </row>
    <row r="183" spans="1:19">
      <c r="A183" t="s">
        <v>3157</v>
      </c>
      <c r="B183" t="s">
        <v>3158</v>
      </c>
      <c r="C183" t="s">
        <v>2401</v>
      </c>
      <c r="D183" t="s">
        <v>2401</v>
      </c>
      <c r="E183" t="s">
        <v>2401</v>
      </c>
      <c r="F183" t="s">
        <v>2401</v>
      </c>
      <c r="G183" t="s">
        <v>2401</v>
      </c>
      <c r="H183" t="s">
        <v>2401</v>
      </c>
      <c r="I183" t="s">
        <v>2401</v>
      </c>
      <c r="J183" t="s">
        <v>3159</v>
      </c>
      <c r="K183" t="s">
        <v>2433</v>
      </c>
      <c r="L183" t="s">
        <v>2401</v>
      </c>
      <c r="M183" s="14">
        <v>45565.67291666667</v>
      </c>
      <c r="N183" t="s">
        <v>3160</v>
      </c>
      <c r="O183" t="s">
        <v>3161</v>
      </c>
      <c r="P183" t="s">
        <v>2401</v>
      </c>
      <c r="Q183" t="s">
        <v>2401</v>
      </c>
      <c r="R183" t="s">
        <v>2401</v>
      </c>
      <c r="S183" t="s">
        <v>2401</v>
      </c>
    </row>
    <row r="184" spans="1:19">
      <c r="A184" t="s">
        <v>3162</v>
      </c>
      <c r="B184" t="s">
        <v>3163</v>
      </c>
      <c r="C184" t="s">
        <v>2401</v>
      </c>
      <c r="D184" t="s">
        <v>2401</v>
      </c>
      <c r="E184" t="s">
        <v>2401</v>
      </c>
      <c r="F184" t="s">
        <v>2401</v>
      </c>
      <c r="G184" t="s">
        <v>2401</v>
      </c>
      <c r="H184" t="s">
        <v>2401</v>
      </c>
      <c r="I184" t="s">
        <v>2401</v>
      </c>
      <c r="J184" t="s">
        <v>3164</v>
      </c>
      <c r="K184" t="s">
        <v>2492</v>
      </c>
      <c r="L184" t="s">
        <v>2401</v>
      </c>
      <c r="M184" s="14">
        <v>45565.682638888888</v>
      </c>
      <c r="N184" t="s">
        <v>3165</v>
      </c>
      <c r="O184" t="s">
        <v>3166</v>
      </c>
      <c r="P184" t="s">
        <v>2401</v>
      </c>
      <c r="Q184" t="s">
        <v>2401</v>
      </c>
      <c r="R184" t="s">
        <v>2401</v>
      </c>
      <c r="S184" t="s">
        <v>2401</v>
      </c>
    </row>
    <row r="185" spans="1:19">
      <c r="A185" t="s">
        <v>3167</v>
      </c>
      <c r="B185" t="s">
        <v>3163</v>
      </c>
      <c r="C185" t="s">
        <v>2401</v>
      </c>
      <c r="D185" t="s">
        <v>2401</v>
      </c>
      <c r="E185" t="s">
        <v>2401</v>
      </c>
      <c r="F185" t="s">
        <v>2401</v>
      </c>
      <c r="G185" t="s">
        <v>2401</v>
      </c>
      <c r="H185" t="s">
        <v>2401</v>
      </c>
      <c r="I185" t="s">
        <v>2401</v>
      </c>
      <c r="J185" t="s">
        <v>3168</v>
      </c>
      <c r="K185" t="s">
        <v>2492</v>
      </c>
      <c r="L185" t="s">
        <v>2401</v>
      </c>
      <c r="M185" s="14">
        <v>45565.65347222222</v>
      </c>
      <c r="N185" t="s">
        <v>3169</v>
      </c>
      <c r="O185" t="s">
        <v>3166</v>
      </c>
      <c r="P185" t="s">
        <v>2401</v>
      </c>
      <c r="Q185" t="s">
        <v>2401</v>
      </c>
      <c r="R185" t="s">
        <v>2401</v>
      </c>
      <c r="S185" t="s">
        <v>2401</v>
      </c>
    </row>
    <row r="186" spans="1:19">
      <c r="A186" t="s">
        <v>3170</v>
      </c>
      <c r="B186" t="s">
        <v>3171</v>
      </c>
      <c r="C186" t="s">
        <v>2401</v>
      </c>
      <c r="D186" t="s">
        <v>2401</v>
      </c>
      <c r="E186" t="s">
        <v>2401</v>
      </c>
      <c r="F186" t="s">
        <v>2401</v>
      </c>
      <c r="G186" t="s">
        <v>2401</v>
      </c>
      <c r="H186" t="s">
        <v>2401</v>
      </c>
      <c r="I186" t="s">
        <v>2401</v>
      </c>
      <c r="J186" t="s">
        <v>2401</v>
      </c>
      <c r="K186" t="s">
        <v>2401</v>
      </c>
      <c r="L186" t="s">
        <v>2401</v>
      </c>
      <c r="M186" s="14">
        <v>45399.554861111108</v>
      </c>
      <c r="N186" t="s">
        <v>2401</v>
      </c>
      <c r="O186" t="s">
        <v>2401</v>
      </c>
      <c r="P186" t="s">
        <v>2401</v>
      </c>
      <c r="Q186" t="s">
        <v>2401</v>
      </c>
      <c r="R186" t="s">
        <v>2401</v>
      </c>
      <c r="S186" t="s">
        <v>2401</v>
      </c>
    </row>
    <row r="187" spans="1:19">
      <c r="A187" t="s">
        <v>3172</v>
      </c>
      <c r="B187" t="s">
        <v>3173</v>
      </c>
      <c r="C187" t="s">
        <v>2401</v>
      </c>
      <c r="D187" t="s">
        <v>2401</v>
      </c>
      <c r="E187" t="s">
        <v>2401</v>
      </c>
      <c r="F187" t="s">
        <v>2401</v>
      </c>
      <c r="G187" t="s">
        <v>2401</v>
      </c>
      <c r="H187" t="s">
        <v>2401</v>
      </c>
      <c r="I187" t="s">
        <v>61</v>
      </c>
      <c r="J187" t="s">
        <v>3174</v>
      </c>
      <c r="K187" t="s">
        <v>2779</v>
      </c>
      <c r="L187" t="s">
        <v>2401</v>
      </c>
      <c r="M187" s="14">
        <v>45399.554861111108</v>
      </c>
      <c r="N187" t="s">
        <v>3175</v>
      </c>
      <c r="O187" t="s">
        <v>3176</v>
      </c>
      <c r="P187" t="s">
        <v>2401</v>
      </c>
      <c r="Q187" t="s">
        <v>2401</v>
      </c>
      <c r="R187" t="s">
        <v>2401</v>
      </c>
      <c r="S187" t="s">
        <v>2401</v>
      </c>
    </row>
    <row r="188" spans="1:19">
      <c r="A188" t="s">
        <v>3177</v>
      </c>
      <c r="B188" t="s">
        <v>3173</v>
      </c>
      <c r="C188" t="s">
        <v>2401</v>
      </c>
      <c r="D188" t="s">
        <v>2401</v>
      </c>
      <c r="E188" t="s">
        <v>2401</v>
      </c>
      <c r="F188" t="s">
        <v>2401</v>
      </c>
      <c r="G188" t="s">
        <v>2401</v>
      </c>
      <c r="H188" t="s">
        <v>2401</v>
      </c>
      <c r="I188" t="s">
        <v>2401</v>
      </c>
      <c r="J188" t="s">
        <v>2401</v>
      </c>
      <c r="K188" t="s">
        <v>2779</v>
      </c>
      <c r="L188" t="s">
        <v>2401</v>
      </c>
      <c r="M188" s="14">
        <v>45390.607638888891</v>
      </c>
      <c r="N188" t="s">
        <v>2401</v>
      </c>
      <c r="O188" t="s">
        <v>3178</v>
      </c>
      <c r="P188" t="s">
        <v>2401</v>
      </c>
      <c r="Q188" t="s">
        <v>2401</v>
      </c>
      <c r="R188" t="s">
        <v>2401</v>
      </c>
      <c r="S188" t="s">
        <v>2401</v>
      </c>
    </row>
    <row r="189" spans="1:19">
      <c r="A189" t="s">
        <v>3179</v>
      </c>
      <c r="B189" t="s">
        <v>3180</v>
      </c>
      <c r="C189" t="s">
        <v>2401</v>
      </c>
      <c r="D189" t="s">
        <v>2401</v>
      </c>
      <c r="E189" t="s">
        <v>2401</v>
      </c>
      <c r="F189" t="s">
        <v>2401</v>
      </c>
      <c r="G189" t="s">
        <v>2401</v>
      </c>
      <c r="H189" t="s">
        <v>2401</v>
      </c>
      <c r="I189" t="s">
        <v>2401</v>
      </c>
      <c r="J189" t="s">
        <v>3181</v>
      </c>
      <c r="K189" t="s">
        <v>2720</v>
      </c>
      <c r="L189" t="s">
        <v>2401</v>
      </c>
      <c r="M189" s="14">
        <v>45565.668055555558</v>
      </c>
      <c r="N189" t="s">
        <v>3182</v>
      </c>
      <c r="O189" t="s">
        <v>3183</v>
      </c>
      <c r="P189" t="s">
        <v>2401</v>
      </c>
      <c r="Q189" t="s">
        <v>2401</v>
      </c>
      <c r="R189" t="s">
        <v>2401</v>
      </c>
      <c r="S189" t="s">
        <v>2401</v>
      </c>
    </row>
    <row r="190" spans="1:19">
      <c r="A190" t="s">
        <v>3184</v>
      </c>
      <c r="B190" t="s">
        <v>3185</v>
      </c>
      <c r="C190" t="s">
        <v>2401</v>
      </c>
      <c r="D190" t="s">
        <v>2401</v>
      </c>
      <c r="E190" t="s">
        <v>2401</v>
      </c>
      <c r="F190" t="s">
        <v>2401</v>
      </c>
      <c r="G190" t="s">
        <v>2401</v>
      </c>
      <c r="H190" t="s">
        <v>2401</v>
      </c>
      <c r="I190" t="s">
        <v>2401</v>
      </c>
      <c r="J190" t="s">
        <v>3186</v>
      </c>
      <c r="K190" t="s">
        <v>2720</v>
      </c>
      <c r="L190" t="s">
        <v>2401</v>
      </c>
      <c r="M190" s="14">
        <v>45399.554861111108</v>
      </c>
      <c r="N190" t="s">
        <v>3187</v>
      </c>
      <c r="O190" t="s">
        <v>3188</v>
      </c>
      <c r="P190" t="s">
        <v>2401</v>
      </c>
      <c r="Q190" t="s">
        <v>2401</v>
      </c>
      <c r="R190" t="s">
        <v>2401</v>
      </c>
      <c r="S190" t="s">
        <v>2401</v>
      </c>
    </row>
    <row r="191" spans="1:19">
      <c r="A191" t="s">
        <v>3189</v>
      </c>
      <c r="B191" t="s">
        <v>3190</v>
      </c>
      <c r="C191" t="s">
        <v>2564</v>
      </c>
      <c r="D191" t="s">
        <v>2565</v>
      </c>
      <c r="E191" t="s">
        <v>2401</v>
      </c>
      <c r="F191" t="s">
        <v>2401</v>
      </c>
      <c r="G191" t="s">
        <v>2401</v>
      </c>
      <c r="H191" t="s">
        <v>2401</v>
      </c>
      <c r="I191" t="s">
        <v>2401</v>
      </c>
      <c r="J191" t="s">
        <v>3191</v>
      </c>
      <c r="K191" t="s">
        <v>2406</v>
      </c>
      <c r="L191" t="s">
        <v>2401</v>
      </c>
      <c r="M191" s="14">
        <v>45534.874305555553</v>
      </c>
      <c r="N191" t="s">
        <v>3192</v>
      </c>
      <c r="O191" t="s">
        <v>3193</v>
      </c>
      <c r="P191" t="s">
        <v>2401</v>
      </c>
      <c r="Q191" t="s">
        <v>2401</v>
      </c>
      <c r="R191" t="s">
        <v>2401</v>
      </c>
      <c r="S191" t="s">
        <v>2401</v>
      </c>
    </row>
    <row r="192" spans="1:19">
      <c r="A192" t="s">
        <v>3194</v>
      </c>
      <c r="B192" t="s">
        <v>3195</v>
      </c>
      <c r="C192" t="s">
        <v>2564</v>
      </c>
      <c r="D192" t="s">
        <v>3196</v>
      </c>
      <c r="E192" t="s">
        <v>3197</v>
      </c>
      <c r="F192" t="s">
        <v>3198</v>
      </c>
      <c r="G192" t="s">
        <v>3199</v>
      </c>
      <c r="H192" t="s">
        <v>3200</v>
      </c>
      <c r="I192" t="s">
        <v>2401</v>
      </c>
      <c r="J192" t="s">
        <v>3201</v>
      </c>
      <c r="K192" t="s">
        <v>2406</v>
      </c>
      <c r="L192" t="s">
        <v>2401</v>
      </c>
      <c r="M192" s="14">
        <v>45534.874305555553</v>
      </c>
      <c r="N192" t="s">
        <v>3202</v>
      </c>
      <c r="O192" t="s">
        <v>2401</v>
      </c>
      <c r="P192" t="s">
        <v>2401</v>
      </c>
      <c r="Q192" t="s">
        <v>2401</v>
      </c>
      <c r="R192" t="s">
        <v>2401</v>
      </c>
      <c r="S192" t="s">
        <v>2401</v>
      </c>
    </row>
    <row r="193" spans="1:19">
      <c r="A193" t="s">
        <v>3203</v>
      </c>
      <c r="B193" t="s">
        <v>3204</v>
      </c>
      <c r="C193" t="s">
        <v>2401</v>
      </c>
      <c r="D193" t="s">
        <v>2401</v>
      </c>
      <c r="E193" t="s">
        <v>2401</v>
      </c>
      <c r="F193" t="s">
        <v>2401</v>
      </c>
      <c r="G193" t="s">
        <v>2401</v>
      </c>
      <c r="H193" t="s">
        <v>2401</v>
      </c>
      <c r="I193" t="s">
        <v>2401</v>
      </c>
      <c r="J193" t="s">
        <v>3205</v>
      </c>
      <c r="K193" t="s">
        <v>2720</v>
      </c>
      <c r="L193" t="s">
        <v>2401</v>
      </c>
      <c r="M193" s="14">
        <v>45482.49722222222</v>
      </c>
      <c r="N193" t="s">
        <v>3206</v>
      </c>
      <c r="O193" t="s">
        <v>3207</v>
      </c>
      <c r="P193" t="s">
        <v>2401</v>
      </c>
      <c r="Q193" t="s">
        <v>2401</v>
      </c>
      <c r="R193" t="s">
        <v>2401</v>
      </c>
      <c r="S193" t="s">
        <v>2401</v>
      </c>
    </row>
    <row r="194" spans="1:19">
      <c r="A194" t="s">
        <v>3208</v>
      </c>
      <c r="B194" t="s">
        <v>3209</v>
      </c>
      <c r="C194" t="s">
        <v>2401</v>
      </c>
      <c r="D194" t="s">
        <v>2401</v>
      </c>
      <c r="E194" t="s">
        <v>2401</v>
      </c>
      <c r="F194" t="s">
        <v>2401</v>
      </c>
      <c r="G194" t="s">
        <v>2401</v>
      </c>
      <c r="H194" t="s">
        <v>2401</v>
      </c>
      <c r="I194" t="s">
        <v>2401</v>
      </c>
      <c r="J194" t="s">
        <v>3210</v>
      </c>
      <c r="K194" t="s">
        <v>2749</v>
      </c>
      <c r="L194" t="s">
        <v>2401</v>
      </c>
      <c r="M194" s="14">
        <v>45399.554861111108</v>
      </c>
      <c r="N194" t="s">
        <v>3211</v>
      </c>
      <c r="O194" t="s">
        <v>3212</v>
      </c>
      <c r="P194" t="s">
        <v>2401</v>
      </c>
      <c r="Q194" t="s">
        <v>2401</v>
      </c>
      <c r="R194" t="s">
        <v>2401</v>
      </c>
      <c r="S194" t="s">
        <v>2401</v>
      </c>
    </row>
    <row r="195" spans="1:19">
      <c r="A195" t="s">
        <v>3213</v>
      </c>
      <c r="B195" t="s">
        <v>3214</v>
      </c>
      <c r="C195" t="s">
        <v>2401</v>
      </c>
      <c r="D195" t="s">
        <v>2401</v>
      </c>
      <c r="E195" t="s">
        <v>2401</v>
      </c>
      <c r="F195" t="s">
        <v>2401</v>
      </c>
      <c r="G195" t="s">
        <v>2401</v>
      </c>
      <c r="H195" t="s">
        <v>2401</v>
      </c>
      <c r="I195" t="s">
        <v>2401</v>
      </c>
      <c r="J195" t="s">
        <v>3215</v>
      </c>
      <c r="K195" t="s">
        <v>2401</v>
      </c>
      <c r="L195" t="s">
        <v>2401</v>
      </c>
      <c r="M195" s="14">
        <v>45565.570833333331</v>
      </c>
      <c r="N195" t="s">
        <v>2401</v>
      </c>
      <c r="O195" t="s">
        <v>2401</v>
      </c>
      <c r="P195" t="s">
        <v>2401</v>
      </c>
      <c r="Q195" t="s">
        <v>2401</v>
      </c>
      <c r="R195" t="s">
        <v>2401</v>
      </c>
      <c r="S195" t="s">
        <v>2401</v>
      </c>
    </row>
    <row r="196" spans="1:19">
      <c r="A196" t="s">
        <v>3216</v>
      </c>
      <c r="B196" t="s">
        <v>3217</v>
      </c>
      <c r="C196" t="s">
        <v>2401</v>
      </c>
      <c r="D196" t="s">
        <v>2401</v>
      </c>
      <c r="E196" t="s">
        <v>2401</v>
      </c>
      <c r="F196" t="s">
        <v>2401</v>
      </c>
      <c r="G196" t="s">
        <v>2401</v>
      </c>
      <c r="H196" t="s">
        <v>2401</v>
      </c>
      <c r="I196" t="s">
        <v>2401</v>
      </c>
      <c r="J196" t="s">
        <v>2401</v>
      </c>
      <c r="K196" t="s">
        <v>3218</v>
      </c>
      <c r="L196" t="s">
        <v>2401</v>
      </c>
      <c r="M196" s="14">
        <v>45390.607638888891</v>
      </c>
      <c r="N196" t="s">
        <v>2401</v>
      </c>
      <c r="O196" t="s">
        <v>3219</v>
      </c>
      <c r="P196" t="s">
        <v>2401</v>
      </c>
      <c r="Q196" t="s">
        <v>2401</v>
      </c>
      <c r="R196" t="s">
        <v>2401</v>
      </c>
      <c r="S196" t="s">
        <v>2401</v>
      </c>
    </row>
    <row r="197" spans="1:19">
      <c r="A197" t="s">
        <v>3220</v>
      </c>
      <c r="B197" t="s">
        <v>3221</v>
      </c>
      <c r="C197" t="s">
        <v>2401</v>
      </c>
      <c r="D197" t="s">
        <v>2401</v>
      </c>
      <c r="E197" t="s">
        <v>2401</v>
      </c>
      <c r="F197" t="s">
        <v>2401</v>
      </c>
      <c r="G197" t="s">
        <v>2401</v>
      </c>
      <c r="H197" t="s">
        <v>2401</v>
      </c>
      <c r="I197" t="s">
        <v>2401</v>
      </c>
      <c r="J197" t="s">
        <v>3222</v>
      </c>
      <c r="K197" t="s">
        <v>2701</v>
      </c>
      <c r="L197" t="s">
        <v>2401</v>
      </c>
      <c r="M197" s="14">
        <v>45399.554861111108</v>
      </c>
      <c r="N197" t="s">
        <v>3223</v>
      </c>
      <c r="O197" t="s">
        <v>3224</v>
      </c>
      <c r="P197" t="s">
        <v>2401</v>
      </c>
      <c r="Q197" t="s">
        <v>2401</v>
      </c>
      <c r="R197" t="s">
        <v>2401</v>
      </c>
      <c r="S197" t="s">
        <v>2401</v>
      </c>
    </row>
    <row r="198" spans="1:19">
      <c r="A198" t="s">
        <v>3225</v>
      </c>
      <c r="B198" t="s">
        <v>3226</v>
      </c>
      <c r="C198" t="s">
        <v>2401</v>
      </c>
      <c r="D198" t="s">
        <v>2401</v>
      </c>
      <c r="E198" t="s">
        <v>2401</v>
      </c>
      <c r="F198" t="s">
        <v>2401</v>
      </c>
      <c r="G198" t="s">
        <v>2401</v>
      </c>
      <c r="H198" t="s">
        <v>2401</v>
      </c>
      <c r="I198" t="s">
        <v>2401</v>
      </c>
      <c r="J198" t="s">
        <v>3226</v>
      </c>
      <c r="K198" t="s">
        <v>2401</v>
      </c>
      <c r="L198" t="s">
        <v>2401</v>
      </c>
      <c r="M198" s="14">
        <v>45565.672222222223</v>
      </c>
      <c r="N198" t="s">
        <v>2401</v>
      </c>
      <c r="O198" t="s">
        <v>2401</v>
      </c>
      <c r="P198" t="s">
        <v>2401</v>
      </c>
      <c r="Q198" t="s">
        <v>2401</v>
      </c>
      <c r="R198" t="s">
        <v>2401</v>
      </c>
      <c r="S198" t="s">
        <v>2401</v>
      </c>
    </row>
    <row r="199" spans="1:19">
      <c r="A199" t="s">
        <v>3227</v>
      </c>
      <c r="B199" t="s">
        <v>3228</v>
      </c>
      <c r="C199" t="s">
        <v>2401</v>
      </c>
      <c r="D199" t="s">
        <v>2401</v>
      </c>
      <c r="E199" t="s">
        <v>2401</v>
      </c>
      <c r="F199" t="s">
        <v>2401</v>
      </c>
      <c r="G199" t="s">
        <v>2401</v>
      </c>
      <c r="H199" t="s">
        <v>2401</v>
      </c>
      <c r="I199" t="s">
        <v>2401</v>
      </c>
      <c r="J199" t="s">
        <v>3229</v>
      </c>
      <c r="K199" t="s">
        <v>2433</v>
      </c>
      <c r="L199" t="s">
        <v>2401</v>
      </c>
      <c r="M199" s="14">
        <v>45565.65</v>
      </c>
      <c r="N199" t="s">
        <v>3230</v>
      </c>
      <c r="O199" t="s">
        <v>3231</v>
      </c>
      <c r="P199" t="s">
        <v>2401</v>
      </c>
      <c r="Q199" t="s">
        <v>2401</v>
      </c>
      <c r="R199" t="s">
        <v>2401</v>
      </c>
      <c r="S199" t="s">
        <v>2401</v>
      </c>
    </row>
    <row r="200" spans="1:19">
      <c r="A200" t="s">
        <v>3232</v>
      </c>
      <c r="B200" t="s">
        <v>3233</v>
      </c>
      <c r="C200" t="s">
        <v>2401</v>
      </c>
      <c r="D200" t="s">
        <v>2401</v>
      </c>
      <c r="E200" t="s">
        <v>2401</v>
      </c>
      <c r="F200" t="s">
        <v>2401</v>
      </c>
      <c r="G200" t="s">
        <v>2401</v>
      </c>
      <c r="H200" t="s">
        <v>2401</v>
      </c>
      <c r="I200" t="s">
        <v>2401</v>
      </c>
      <c r="J200" t="s">
        <v>3234</v>
      </c>
      <c r="K200" t="s">
        <v>2492</v>
      </c>
      <c r="L200" t="s">
        <v>2401</v>
      </c>
      <c r="M200" s="14">
        <v>45565.65347222222</v>
      </c>
      <c r="N200" t="s">
        <v>3235</v>
      </c>
      <c r="O200" t="s">
        <v>3236</v>
      </c>
      <c r="P200" t="s">
        <v>2401</v>
      </c>
      <c r="Q200" t="s">
        <v>2401</v>
      </c>
      <c r="R200" t="s">
        <v>2401</v>
      </c>
      <c r="S200" t="s">
        <v>2401</v>
      </c>
    </row>
    <row r="201" spans="1:19">
      <c r="A201" t="s">
        <v>3237</v>
      </c>
      <c r="B201" t="s">
        <v>3238</v>
      </c>
      <c r="C201" t="s">
        <v>2401</v>
      </c>
      <c r="D201" t="s">
        <v>2401</v>
      </c>
      <c r="E201" t="s">
        <v>2401</v>
      </c>
      <c r="F201" t="s">
        <v>2401</v>
      </c>
      <c r="G201" t="s">
        <v>2401</v>
      </c>
      <c r="H201" t="s">
        <v>2401</v>
      </c>
      <c r="I201" t="s">
        <v>2401</v>
      </c>
      <c r="J201" t="s">
        <v>3239</v>
      </c>
      <c r="K201" t="s">
        <v>2492</v>
      </c>
      <c r="L201" t="s">
        <v>2401</v>
      </c>
      <c r="M201" s="14">
        <v>45565.65</v>
      </c>
      <c r="N201" t="s">
        <v>3240</v>
      </c>
      <c r="O201" t="s">
        <v>2401</v>
      </c>
      <c r="P201" t="s">
        <v>2401</v>
      </c>
      <c r="Q201" t="s">
        <v>2401</v>
      </c>
      <c r="R201" t="s">
        <v>2401</v>
      </c>
      <c r="S201" t="s">
        <v>2401</v>
      </c>
    </row>
    <row r="202" spans="1:19">
      <c r="A202" t="s">
        <v>3241</v>
      </c>
      <c r="B202" t="s">
        <v>3242</v>
      </c>
      <c r="C202" t="s">
        <v>2401</v>
      </c>
      <c r="D202" t="s">
        <v>2401</v>
      </c>
      <c r="E202" t="s">
        <v>2401</v>
      </c>
      <c r="F202" t="s">
        <v>2401</v>
      </c>
      <c r="G202" t="s">
        <v>2401</v>
      </c>
      <c r="H202" t="s">
        <v>2401</v>
      </c>
      <c r="I202" t="s">
        <v>2401</v>
      </c>
      <c r="J202" t="s">
        <v>2401</v>
      </c>
      <c r="K202" t="s">
        <v>2401</v>
      </c>
      <c r="L202" t="s">
        <v>2401</v>
      </c>
      <c r="M202" s="14">
        <v>45390.607638888891</v>
      </c>
      <c r="N202" t="s">
        <v>2401</v>
      </c>
      <c r="O202" t="s">
        <v>2401</v>
      </c>
      <c r="P202" t="s">
        <v>2401</v>
      </c>
      <c r="Q202" t="s">
        <v>2401</v>
      </c>
      <c r="R202" t="s">
        <v>2401</v>
      </c>
      <c r="S202" t="s">
        <v>2401</v>
      </c>
    </row>
    <row r="203" spans="1:19">
      <c r="A203" t="s">
        <v>3243</v>
      </c>
      <c r="B203" t="s">
        <v>1163</v>
      </c>
      <c r="C203" t="s">
        <v>2401</v>
      </c>
      <c r="D203" t="s">
        <v>2401</v>
      </c>
      <c r="E203" t="s">
        <v>2401</v>
      </c>
      <c r="F203" t="s">
        <v>2401</v>
      </c>
      <c r="G203" t="s">
        <v>2401</v>
      </c>
      <c r="H203" t="s">
        <v>2401</v>
      </c>
      <c r="I203" t="s">
        <v>2401</v>
      </c>
      <c r="J203" t="s">
        <v>3244</v>
      </c>
      <c r="K203" t="s">
        <v>2406</v>
      </c>
      <c r="L203" t="s">
        <v>2401</v>
      </c>
      <c r="M203" s="14">
        <v>45565.645138888889</v>
      </c>
      <c r="N203" t="s">
        <v>3245</v>
      </c>
      <c r="O203" t="s">
        <v>2401</v>
      </c>
      <c r="P203" t="s">
        <v>2401</v>
      </c>
      <c r="Q203" t="s">
        <v>2401</v>
      </c>
      <c r="R203" t="s">
        <v>2401</v>
      </c>
      <c r="S203" t="s">
        <v>2401</v>
      </c>
    </row>
    <row r="204" spans="1:19">
      <c r="A204" t="s">
        <v>3246</v>
      </c>
      <c r="B204" t="s">
        <v>3247</v>
      </c>
      <c r="C204" t="s">
        <v>2401</v>
      </c>
      <c r="D204" t="s">
        <v>2401</v>
      </c>
      <c r="E204" t="s">
        <v>2401</v>
      </c>
      <c r="F204" t="s">
        <v>2401</v>
      </c>
      <c r="G204" t="s">
        <v>2401</v>
      </c>
      <c r="H204" t="s">
        <v>2401</v>
      </c>
      <c r="I204" t="s">
        <v>2401</v>
      </c>
      <c r="J204" t="s">
        <v>2401</v>
      </c>
      <c r="K204" t="s">
        <v>2401</v>
      </c>
      <c r="L204" t="s">
        <v>2401</v>
      </c>
      <c r="M204" s="14">
        <v>45390.607638888891</v>
      </c>
      <c r="N204" t="s">
        <v>2401</v>
      </c>
      <c r="O204" t="s">
        <v>2401</v>
      </c>
      <c r="P204" t="s">
        <v>2401</v>
      </c>
      <c r="Q204" t="s">
        <v>2401</v>
      </c>
      <c r="R204" t="s">
        <v>2401</v>
      </c>
      <c r="S204" t="s">
        <v>2401</v>
      </c>
    </row>
    <row r="205" spans="1:19">
      <c r="A205" t="s">
        <v>3248</v>
      </c>
      <c r="B205" t="s">
        <v>3249</v>
      </c>
      <c r="C205" t="s">
        <v>2401</v>
      </c>
      <c r="D205" t="s">
        <v>2401</v>
      </c>
      <c r="E205" t="s">
        <v>2401</v>
      </c>
      <c r="F205" t="s">
        <v>2401</v>
      </c>
      <c r="G205" t="s">
        <v>2401</v>
      </c>
      <c r="H205" t="s">
        <v>2401</v>
      </c>
      <c r="I205" t="s">
        <v>2401</v>
      </c>
      <c r="J205" t="s">
        <v>3250</v>
      </c>
      <c r="K205" t="s">
        <v>2448</v>
      </c>
      <c r="L205" t="s">
        <v>2401</v>
      </c>
      <c r="M205" s="14">
        <v>45525.81527777778</v>
      </c>
      <c r="N205" t="s">
        <v>2401</v>
      </c>
      <c r="O205" t="s">
        <v>2401</v>
      </c>
      <c r="P205" t="s">
        <v>2401</v>
      </c>
      <c r="Q205" t="s">
        <v>2401</v>
      </c>
      <c r="R205" t="s">
        <v>2401</v>
      </c>
      <c r="S205" t="s">
        <v>2401</v>
      </c>
    </row>
    <row r="206" spans="1:19">
      <c r="A206" t="s">
        <v>3251</v>
      </c>
      <c r="B206" t="s">
        <v>1164</v>
      </c>
      <c r="C206" t="s">
        <v>2401</v>
      </c>
      <c r="D206" t="s">
        <v>2401</v>
      </c>
      <c r="E206" t="s">
        <v>2401</v>
      </c>
      <c r="F206" t="s">
        <v>2401</v>
      </c>
      <c r="G206" t="s">
        <v>2401</v>
      </c>
      <c r="H206" t="s">
        <v>2401</v>
      </c>
      <c r="I206" t="s">
        <v>61</v>
      </c>
      <c r="J206" t="s">
        <v>3252</v>
      </c>
      <c r="K206" t="s">
        <v>2438</v>
      </c>
      <c r="L206" t="s">
        <v>2401</v>
      </c>
      <c r="M206" s="14">
        <v>45399.554861111108</v>
      </c>
      <c r="N206" t="s">
        <v>3253</v>
      </c>
      <c r="O206" t="s">
        <v>2401</v>
      </c>
      <c r="P206" t="s">
        <v>2401</v>
      </c>
      <c r="Q206" t="s">
        <v>2401</v>
      </c>
      <c r="R206" t="s">
        <v>2401</v>
      </c>
      <c r="S206" t="s">
        <v>2401</v>
      </c>
    </row>
    <row r="207" spans="1:19">
      <c r="A207" t="s">
        <v>3254</v>
      </c>
      <c r="B207" t="s">
        <v>3255</v>
      </c>
      <c r="C207" t="s">
        <v>2401</v>
      </c>
      <c r="D207" t="s">
        <v>2401</v>
      </c>
      <c r="E207" t="s">
        <v>2401</v>
      </c>
      <c r="F207" t="s">
        <v>2401</v>
      </c>
      <c r="G207" t="s">
        <v>2401</v>
      </c>
      <c r="H207" t="s">
        <v>2401</v>
      </c>
      <c r="I207" t="s">
        <v>2401</v>
      </c>
      <c r="J207" t="s">
        <v>3256</v>
      </c>
      <c r="K207" t="s">
        <v>2492</v>
      </c>
      <c r="L207" t="s">
        <v>2401</v>
      </c>
      <c r="M207" s="14">
        <v>45565.697916666664</v>
      </c>
      <c r="N207" t="s">
        <v>3257</v>
      </c>
      <c r="O207" t="s">
        <v>3258</v>
      </c>
      <c r="P207" t="s">
        <v>2401</v>
      </c>
      <c r="Q207" t="s">
        <v>2401</v>
      </c>
      <c r="R207" t="s">
        <v>2401</v>
      </c>
      <c r="S207" t="s">
        <v>2401</v>
      </c>
    </row>
    <row r="208" spans="1:19">
      <c r="A208" t="s">
        <v>3259</v>
      </c>
      <c r="B208" t="s">
        <v>3255</v>
      </c>
      <c r="C208" t="s">
        <v>2401</v>
      </c>
      <c r="D208" t="s">
        <v>2401</v>
      </c>
      <c r="E208" t="s">
        <v>2401</v>
      </c>
      <c r="F208" t="s">
        <v>2401</v>
      </c>
      <c r="G208" t="s">
        <v>2401</v>
      </c>
      <c r="H208" t="s">
        <v>2401</v>
      </c>
      <c r="I208" t="s">
        <v>2401</v>
      </c>
      <c r="J208" t="s">
        <v>2401</v>
      </c>
      <c r="K208" t="s">
        <v>2401</v>
      </c>
      <c r="L208" t="s">
        <v>2401</v>
      </c>
      <c r="M208" s="14">
        <v>45390.607638888891</v>
      </c>
      <c r="N208" t="s">
        <v>2401</v>
      </c>
      <c r="O208" t="s">
        <v>2586</v>
      </c>
      <c r="P208" t="s">
        <v>2401</v>
      </c>
      <c r="Q208" t="s">
        <v>2401</v>
      </c>
      <c r="R208" t="s">
        <v>2401</v>
      </c>
      <c r="S208" t="s">
        <v>2401</v>
      </c>
    </row>
    <row r="209" spans="1:19">
      <c r="A209" t="s">
        <v>3260</v>
      </c>
      <c r="B209" t="s">
        <v>3261</v>
      </c>
      <c r="C209" t="s">
        <v>2401</v>
      </c>
      <c r="D209" t="s">
        <v>2401</v>
      </c>
      <c r="E209" t="s">
        <v>2401</v>
      </c>
      <c r="F209" t="s">
        <v>2401</v>
      </c>
      <c r="G209" t="s">
        <v>2401</v>
      </c>
      <c r="H209" t="s">
        <v>2401</v>
      </c>
      <c r="I209" t="s">
        <v>2401</v>
      </c>
      <c r="J209" t="s">
        <v>3262</v>
      </c>
      <c r="K209" t="s">
        <v>2615</v>
      </c>
      <c r="L209" t="s">
        <v>2401</v>
      </c>
      <c r="M209" s="14">
        <v>45399.554861111108</v>
      </c>
      <c r="N209" t="s">
        <v>3263</v>
      </c>
      <c r="O209" t="s">
        <v>3258</v>
      </c>
      <c r="P209" t="s">
        <v>2401</v>
      </c>
      <c r="Q209" t="s">
        <v>2401</v>
      </c>
      <c r="R209" t="s">
        <v>2401</v>
      </c>
      <c r="S209" t="s">
        <v>2401</v>
      </c>
    </row>
    <row r="210" spans="1:19">
      <c r="A210" t="s">
        <v>3264</v>
      </c>
      <c r="B210" t="s">
        <v>3265</v>
      </c>
      <c r="C210" t="s">
        <v>2401</v>
      </c>
      <c r="D210" t="s">
        <v>2401</v>
      </c>
      <c r="E210" t="s">
        <v>2401</v>
      </c>
      <c r="F210" t="s">
        <v>2401</v>
      </c>
      <c r="G210" t="s">
        <v>2401</v>
      </c>
      <c r="H210" t="s">
        <v>2401</v>
      </c>
      <c r="I210" t="s">
        <v>61</v>
      </c>
      <c r="J210" t="s">
        <v>3266</v>
      </c>
      <c r="K210" t="s">
        <v>2615</v>
      </c>
      <c r="L210" t="s">
        <v>2401</v>
      </c>
      <c r="M210" s="14">
        <v>45390.607638888891</v>
      </c>
      <c r="N210" t="s">
        <v>3267</v>
      </c>
      <c r="O210" t="s">
        <v>2586</v>
      </c>
      <c r="P210" t="s">
        <v>2401</v>
      </c>
      <c r="Q210" t="s">
        <v>2401</v>
      </c>
      <c r="R210" t="s">
        <v>2401</v>
      </c>
      <c r="S210" t="s">
        <v>2401</v>
      </c>
    </row>
    <row r="211" spans="1:19">
      <c r="A211" t="s">
        <v>3268</v>
      </c>
      <c r="B211" t="s">
        <v>3269</v>
      </c>
      <c r="C211" t="s">
        <v>2401</v>
      </c>
      <c r="D211" t="s">
        <v>2401</v>
      </c>
      <c r="E211" t="s">
        <v>2401</v>
      </c>
      <c r="F211" t="s">
        <v>2401</v>
      </c>
      <c r="G211" t="s">
        <v>2401</v>
      </c>
      <c r="H211" t="s">
        <v>2401</v>
      </c>
      <c r="I211" t="s">
        <v>2401</v>
      </c>
      <c r="J211" t="s">
        <v>3270</v>
      </c>
      <c r="K211" t="s">
        <v>3271</v>
      </c>
      <c r="L211" t="s">
        <v>2401</v>
      </c>
      <c r="M211" s="14">
        <v>45399.554861111108</v>
      </c>
      <c r="N211" t="s">
        <v>3272</v>
      </c>
      <c r="O211" t="s">
        <v>3273</v>
      </c>
      <c r="P211" t="s">
        <v>2401</v>
      </c>
      <c r="Q211" t="s">
        <v>2401</v>
      </c>
      <c r="R211" t="s">
        <v>2401</v>
      </c>
      <c r="S211" t="s">
        <v>2401</v>
      </c>
    </row>
    <row r="212" spans="1:19">
      <c r="A212" t="s">
        <v>3274</v>
      </c>
      <c r="B212" t="s">
        <v>3275</v>
      </c>
      <c r="C212" t="s">
        <v>2401</v>
      </c>
      <c r="D212" t="s">
        <v>2401</v>
      </c>
      <c r="E212" t="s">
        <v>2401</v>
      </c>
      <c r="F212" t="s">
        <v>2401</v>
      </c>
      <c r="G212" t="s">
        <v>2401</v>
      </c>
      <c r="H212" t="s">
        <v>2401</v>
      </c>
      <c r="I212" t="s">
        <v>2401</v>
      </c>
      <c r="J212" t="s">
        <v>3276</v>
      </c>
      <c r="K212" t="s">
        <v>2720</v>
      </c>
      <c r="L212" t="s">
        <v>2401</v>
      </c>
      <c r="M212" s="14">
        <v>45565.6875</v>
      </c>
      <c r="N212" t="s">
        <v>3277</v>
      </c>
      <c r="O212" t="s">
        <v>3278</v>
      </c>
      <c r="P212" t="s">
        <v>2401</v>
      </c>
      <c r="Q212" t="s">
        <v>2401</v>
      </c>
      <c r="R212" t="s">
        <v>2401</v>
      </c>
      <c r="S212" t="s">
        <v>2401</v>
      </c>
    </row>
    <row r="213" spans="1:19">
      <c r="A213" t="s">
        <v>3279</v>
      </c>
      <c r="B213" t="s">
        <v>3280</v>
      </c>
      <c r="C213" t="s">
        <v>2401</v>
      </c>
      <c r="D213" t="s">
        <v>2401</v>
      </c>
      <c r="E213" t="s">
        <v>2401</v>
      </c>
      <c r="F213" t="s">
        <v>2401</v>
      </c>
      <c r="G213" t="s">
        <v>2401</v>
      </c>
      <c r="H213" t="s">
        <v>2401</v>
      </c>
      <c r="I213" t="s">
        <v>2401</v>
      </c>
      <c r="J213" t="s">
        <v>2401</v>
      </c>
      <c r="K213" t="s">
        <v>2427</v>
      </c>
      <c r="L213" t="s">
        <v>2401</v>
      </c>
      <c r="M213" s="14">
        <v>45390.607638888891</v>
      </c>
      <c r="N213" t="s">
        <v>2401</v>
      </c>
      <c r="O213" t="s">
        <v>3281</v>
      </c>
      <c r="P213" t="s">
        <v>2401</v>
      </c>
      <c r="Q213" t="s">
        <v>2401</v>
      </c>
      <c r="R213" t="s">
        <v>2401</v>
      </c>
      <c r="S213" t="s">
        <v>2401</v>
      </c>
    </row>
    <row r="214" spans="1:19">
      <c r="A214" t="s">
        <v>3282</v>
      </c>
      <c r="B214" t="s">
        <v>3283</v>
      </c>
      <c r="C214" t="s">
        <v>2401</v>
      </c>
      <c r="D214" t="s">
        <v>2401</v>
      </c>
      <c r="E214" t="s">
        <v>2401</v>
      </c>
      <c r="F214" t="s">
        <v>2401</v>
      </c>
      <c r="G214" t="s">
        <v>2401</v>
      </c>
      <c r="H214" t="s">
        <v>2401</v>
      </c>
      <c r="I214" t="s">
        <v>2401</v>
      </c>
      <c r="J214" t="s">
        <v>3284</v>
      </c>
      <c r="K214" t="s">
        <v>2615</v>
      </c>
      <c r="L214" t="s">
        <v>2401</v>
      </c>
      <c r="M214" s="14">
        <v>45565.691666666666</v>
      </c>
      <c r="N214" t="s">
        <v>3285</v>
      </c>
      <c r="O214" t="s">
        <v>3286</v>
      </c>
      <c r="P214" t="s">
        <v>2401</v>
      </c>
      <c r="Q214" t="s">
        <v>2401</v>
      </c>
      <c r="R214" t="s">
        <v>2401</v>
      </c>
      <c r="S214" t="s">
        <v>2401</v>
      </c>
    </row>
    <row r="215" spans="1:19">
      <c r="A215" t="s">
        <v>3287</v>
      </c>
      <c r="B215" t="s">
        <v>3288</v>
      </c>
      <c r="C215" t="s">
        <v>2401</v>
      </c>
      <c r="D215" t="s">
        <v>2401</v>
      </c>
      <c r="E215" t="s">
        <v>2401</v>
      </c>
      <c r="F215" t="s">
        <v>2401</v>
      </c>
      <c r="G215" t="s">
        <v>2401</v>
      </c>
      <c r="H215" t="s">
        <v>2401</v>
      </c>
      <c r="I215" t="s">
        <v>2401</v>
      </c>
      <c r="J215" t="s">
        <v>2401</v>
      </c>
      <c r="K215" t="s">
        <v>2401</v>
      </c>
      <c r="L215" t="s">
        <v>2401</v>
      </c>
      <c r="M215" s="14">
        <v>45390.607638888891</v>
      </c>
      <c r="N215" t="s">
        <v>2401</v>
      </c>
      <c r="O215" t="s">
        <v>2401</v>
      </c>
      <c r="P215" t="s">
        <v>2401</v>
      </c>
      <c r="Q215" t="s">
        <v>2401</v>
      </c>
      <c r="R215" t="s">
        <v>2401</v>
      </c>
      <c r="S215" t="s">
        <v>2401</v>
      </c>
    </row>
    <row r="216" spans="1:19">
      <c r="A216" t="s">
        <v>3289</v>
      </c>
      <c r="B216" t="s">
        <v>3290</v>
      </c>
      <c r="C216" t="s">
        <v>2401</v>
      </c>
      <c r="D216" t="s">
        <v>2401</v>
      </c>
      <c r="E216" t="s">
        <v>2401</v>
      </c>
      <c r="F216" t="s">
        <v>2401</v>
      </c>
      <c r="G216" t="s">
        <v>2401</v>
      </c>
      <c r="H216" t="s">
        <v>2401</v>
      </c>
      <c r="I216" t="s">
        <v>61</v>
      </c>
      <c r="J216" t="s">
        <v>3291</v>
      </c>
      <c r="K216" t="s">
        <v>3049</v>
      </c>
      <c r="L216" t="s">
        <v>2401</v>
      </c>
      <c r="M216" s="14">
        <v>45399.554861111108</v>
      </c>
      <c r="N216" t="s">
        <v>3292</v>
      </c>
      <c r="O216" t="s">
        <v>3293</v>
      </c>
      <c r="P216" t="s">
        <v>2401</v>
      </c>
      <c r="Q216" t="s">
        <v>2401</v>
      </c>
      <c r="R216" t="s">
        <v>2401</v>
      </c>
      <c r="S216" t="s">
        <v>2401</v>
      </c>
    </row>
    <row r="217" spans="1:19">
      <c r="A217" t="s">
        <v>3294</v>
      </c>
      <c r="B217" t="s">
        <v>3295</v>
      </c>
      <c r="C217" t="s">
        <v>2401</v>
      </c>
      <c r="D217" t="s">
        <v>2401</v>
      </c>
      <c r="E217" t="s">
        <v>2401</v>
      </c>
      <c r="F217" t="s">
        <v>2401</v>
      </c>
      <c r="G217" t="s">
        <v>2401</v>
      </c>
      <c r="H217" t="s">
        <v>2401</v>
      </c>
      <c r="I217" t="s">
        <v>2401</v>
      </c>
      <c r="J217" t="s">
        <v>3296</v>
      </c>
      <c r="K217" t="s">
        <v>3147</v>
      </c>
      <c r="L217" t="s">
        <v>2401</v>
      </c>
      <c r="M217" s="14">
        <v>45399.554861111108</v>
      </c>
      <c r="N217" t="s">
        <v>3297</v>
      </c>
      <c r="O217" t="s">
        <v>3298</v>
      </c>
      <c r="P217" t="s">
        <v>2401</v>
      </c>
      <c r="Q217" t="s">
        <v>2401</v>
      </c>
      <c r="R217" t="s">
        <v>2401</v>
      </c>
      <c r="S217" t="s">
        <v>2401</v>
      </c>
    </row>
    <row r="218" spans="1:19">
      <c r="A218" t="s">
        <v>3299</v>
      </c>
      <c r="B218" t="s">
        <v>3300</v>
      </c>
      <c r="C218" t="s">
        <v>2401</v>
      </c>
      <c r="D218" t="s">
        <v>2401</v>
      </c>
      <c r="E218" t="s">
        <v>2401</v>
      </c>
      <c r="F218" t="s">
        <v>2401</v>
      </c>
      <c r="G218" t="s">
        <v>2401</v>
      </c>
      <c r="H218" t="s">
        <v>2401</v>
      </c>
      <c r="I218" t="s">
        <v>2401</v>
      </c>
      <c r="J218" t="s">
        <v>3301</v>
      </c>
      <c r="K218" t="s">
        <v>2779</v>
      </c>
      <c r="L218" t="s">
        <v>2401</v>
      </c>
      <c r="M218" s="14">
        <v>45399.554861111108</v>
      </c>
      <c r="N218" t="s">
        <v>3302</v>
      </c>
      <c r="O218" t="s">
        <v>3176</v>
      </c>
      <c r="P218" t="s">
        <v>2401</v>
      </c>
      <c r="Q218" t="s">
        <v>2401</v>
      </c>
      <c r="R218" t="s">
        <v>2401</v>
      </c>
      <c r="S218" t="s">
        <v>2401</v>
      </c>
    </row>
    <row r="219" spans="1:19">
      <c r="A219" t="s">
        <v>3303</v>
      </c>
      <c r="B219" t="s">
        <v>1186</v>
      </c>
      <c r="C219" t="s">
        <v>2401</v>
      </c>
      <c r="D219" t="s">
        <v>2401</v>
      </c>
      <c r="E219" t="s">
        <v>2401</v>
      </c>
      <c r="F219" t="s">
        <v>2401</v>
      </c>
      <c r="G219" t="s">
        <v>2401</v>
      </c>
      <c r="H219" t="s">
        <v>2401</v>
      </c>
      <c r="I219" t="s">
        <v>2401</v>
      </c>
      <c r="J219" t="s">
        <v>3304</v>
      </c>
      <c r="K219" t="s">
        <v>2401</v>
      </c>
      <c r="L219" t="s">
        <v>2401</v>
      </c>
      <c r="M219" s="14">
        <v>45390.607638888891</v>
      </c>
      <c r="N219" t="s">
        <v>2401</v>
      </c>
      <c r="O219" t="s">
        <v>2401</v>
      </c>
      <c r="P219" t="s">
        <v>2401</v>
      </c>
      <c r="Q219" t="s">
        <v>2401</v>
      </c>
      <c r="R219" t="s">
        <v>2401</v>
      </c>
      <c r="S219" t="s">
        <v>2401</v>
      </c>
    </row>
    <row r="220" spans="1:19">
      <c r="A220" t="s">
        <v>3305</v>
      </c>
      <c r="B220" t="s">
        <v>3306</v>
      </c>
      <c r="C220" t="s">
        <v>2401</v>
      </c>
      <c r="D220" t="s">
        <v>2401</v>
      </c>
      <c r="E220" t="s">
        <v>2401</v>
      </c>
      <c r="F220" t="s">
        <v>2401</v>
      </c>
      <c r="G220" t="s">
        <v>2401</v>
      </c>
      <c r="H220" t="s">
        <v>2401</v>
      </c>
      <c r="I220" t="s">
        <v>2401</v>
      </c>
      <c r="J220" t="s">
        <v>3307</v>
      </c>
      <c r="K220" t="s">
        <v>3308</v>
      </c>
      <c r="L220" t="s">
        <v>2401</v>
      </c>
      <c r="M220" s="14">
        <v>45399.554861111108</v>
      </c>
      <c r="N220" t="s">
        <v>3309</v>
      </c>
      <c r="O220" t="s">
        <v>3310</v>
      </c>
      <c r="P220" t="s">
        <v>2401</v>
      </c>
      <c r="Q220" t="s">
        <v>2401</v>
      </c>
      <c r="R220" t="s">
        <v>2401</v>
      </c>
      <c r="S220" t="s">
        <v>2401</v>
      </c>
    </row>
    <row r="221" spans="1:19">
      <c r="A221" t="s">
        <v>3311</v>
      </c>
      <c r="B221" t="s">
        <v>3312</v>
      </c>
      <c r="C221" t="s">
        <v>2401</v>
      </c>
      <c r="D221" t="s">
        <v>2401</v>
      </c>
      <c r="E221" t="s">
        <v>2401</v>
      </c>
      <c r="F221" t="s">
        <v>2401</v>
      </c>
      <c r="G221" t="s">
        <v>2401</v>
      </c>
      <c r="H221" t="s">
        <v>2401</v>
      </c>
      <c r="I221" t="s">
        <v>2401</v>
      </c>
      <c r="J221" t="s">
        <v>2401</v>
      </c>
      <c r="K221" t="s">
        <v>2499</v>
      </c>
      <c r="L221" t="s">
        <v>2401</v>
      </c>
      <c r="M221" s="14">
        <v>45390.607638888891</v>
      </c>
      <c r="N221" t="s">
        <v>2401</v>
      </c>
      <c r="O221" t="s">
        <v>3313</v>
      </c>
      <c r="P221" t="s">
        <v>2401</v>
      </c>
      <c r="Q221" t="s">
        <v>2401</v>
      </c>
      <c r="R221" t="s">
        <v>2401</v>
      </c>
      <c r="S221" t="s">
        <v>2401</v>
      </c>
    </row>
    <row r="222" spans="1:19">
      <c r="A222" t="s">
        <v>3314</v>
      </c>
      <c r="B222" t="s">
        <v>3312</v>
      </c>
      <c r="C222" t="s">
        <v>2401</v>
      </c>
      <c r="D222" t="s">
        <v>2401</v>
      </c>
      <c r="E222" t="s">
        <v>2401</v>
      </c>
      <c r="F222" t="s">
        <v>2401</v>
      </c>
      <c r="G222" t="s">
        <v>2401</v>
      </c>
      <c r="H222" t="s">
        <v>2401</v>
      </c>
      <c r="I222" t="s">
        <v>2401</v>
      </c>
      <c r="J222" t="s">
        <v>3315</v>
      </c>
      <c r="K222" t="s">
        <v>2499</v>
      </c>
      <c r="L222" t="s">
        <v>2401</v>
      </c>
      <c r="M222" s="14">
        <v>45384.55972222222</v>
      </c>
      <c r="N222" t="s">
        <v>3316</v>
      </c>
      <c r="O222" t="s">
        <v>3313</v>
      </c>
      <c r="P222" t="s">
        <v>3317</v>
      </c>
      <c r="Q222">
        <v>1</v>
      </c>
      <c r="R222" t="s">
        <v>2401</v>
      </c>
      <c r="S222" t="s">
        <v>3318</v>
      </c>
    </row>
    <row r="223" spans="1:19">
      <c r="A223" t="s">
        <v>3319</v>
      </c>
      <c r="B223" t="s">
        <v>3320</v>
      </c>
      <c r="C223" t="s">
        <v>2401</v>
      </c>
      <c r="D223" t="s">
        <v>2401</v>
      </c>
      <c r="E223" t="s">
        <v>2401</v>
      </c>
      <c r="F223" t="s">
        <v>2401</v>
      </c>
      <c r="G223" t="s">
        <v>2401</v>
      </c>
      <c r="H223" t="s">
        <v>2401</v>
      </c>
      <c r="I223" t="s">
        <v>2401</v>
      </c>
      <c r="J223" t="s">
        <v>3321</v>
      </c>
      <c r="K223" t="s">
        <v>2406</v>
      </c>
      <c r="L223" t="s">
        <v>2401</v>
      </c>
      <c r="M223" s="14">
        <v>45517.415972222225</v>
      </c>
      <c r="N223" t="s">
        <v>3322</v>
      </c>
      <c r="O223" t="s">
        <v>3323</v>
      </c>
      <c r="P223" t="s">
        <v>2401</v>
      </c>
      <c r="Q223" t="s">
        <v>2401</v>
      </c>
      <c r="R223" t="s">
        <v>2401</v>
      </c>
      <c r="S223" t="s">
        <v>2401</v>
      </c>
    </row>
    <row r="224" spans="1:19">
      <c r="A224" t="s">
        <v>3324</v>
      </c>
      <c r="B224" t="s">
        <v>271</v>
      </c>
      <c r="C224" t="s">
        <v>2401</v>
      </c>
      <c r="D224" t="s">
        <v>2401</v>
      </c>
      <c r="E224" t="s">
        <v>2401</v>
      </c>
      <c r="F224" t="s">
        <v>2401</v>
      </c>
      <c r="G224" t="s">
        <v>2401</v>
      </c>
      <c r="H224" t="s">
        <v>2401</v>
      </c>
      <c r="I224" t="s">
        <v>2401</v>
      </c>
      <c r="J224" t="s">
        <v>3325</v>
      </c>
      <c r="K224" t="s">
        <v>2877</v>
      </c>
      <c r="L224" t="s">
        <v>2401</v>
      </c>
      <c r="M224" s="14">
        <v>45565.570833333331</v>
      </c>
      <c r="N224" t="s">
        <v>3326</v>
      </c>
      <c r="O224" t="s">
        <v>3327</v>
      </c>
      <c r="P224" t="s">
        <v>2401</v>
      </c>
      <c r="Q224" t="s">
        <v>2401</v>
      </c>
      <c r="R224" t="s">
        <v>2401</v>
      </c>
      <c r="S224" t="s">
        <v>2401</v>
      </c>
    </row>
    <row r="225" spans="1:19">
      <c r="A225" t="s">
        <v>3328</v>
      </c>
      <c r="B225" t="s">
        <v>3329</v>
      </c>
      <c r="C225" t="s">
        <v>2401</v>
      </c>
      <c r="D225" t="s">
        <v>2401</v>
      </c>
      <c r="E225" t="s">
        <v>2401</v>
      </c>
      <c r="F225" t="s">
        <v>2401</v>
      </c>
      <c r="G225" t="s">
        <v>2401</v>
      </c>
      <c r="H225" t="s">
        <v>2401</v>
      </c>
      <c r="I225" t="s">
        <v>2401</v>
      </c>
      <c r="J225" t="s">
        <v>3330</v>
      </c>
      <c r="K225" t="s">
        <v>2615</v>
      </c>
      <c r="L225" t="s">
        <v>2401</v>
      </c>
      <c r="M225" s="14">
        <v>45565.69027777778</v>
      </c>
      <c r="N225" t="s">
        <v>3331</v>
      </c>
      <c r="O225" t="s">
        <v>3332</v>
      </c>
      <c r="P225" t="s">
        <v>2401</v>
      </c>
      <c r="Q225" t="s">
        <v>2401</v>
      </c>
      <c r="R225" t="s">
        <v>2401</v>
      </c>
      <c r="S225" t="s">
        <v>2401</v>
      </c>
    </row>
    <row r="226" spans="1:19">
      <c r="A226" t="s">
        <v>3333</v>
      </c>
      <c r="B226" t="s">
        <v>3334</v>
      </c>
      <c r="C226" t="s">
        <v>2401</v>
      </c>
      <c r="D226" t="s">
        <v>2401</v>
      </c>
      <c r="E226" t="s">
        <v>2401</v>
      </c>
      <c r="F226" t="s">
        <v>2401</v>
      </c>
      <c r="G226" t="s">
        <v>2401</v>
      </c>
      <c r="H226" t="s">
        <v>2401</v>
      </c>
      <c r="I226" t="s">
        <v>2401</v>
      </c>
      <c r="J226" t="s">
        <v>3335</v>
      </c>
      <c r="K226" t="s">
        <v>2492</v>
      </c>
      <c r="L226" t="s">
        <v>2401</v>
      </c>
      <c r="M226" s="14">
        <v>45565.645138888889</v>
      </c>
      <c r="N226" t="s">
        <v>3336</v>
      </c>
      <c r="O226" t="s">
        <v>3337</v>
      </c>
      <c r="P226" t="s">
        <v>2401</v>
      </c>
      <c r="Q226" t="s">
        <v>2401</v>
      </c>
      <c r="R226" t="s">
        <v>2401</v>
      </c>
      <c r="S226" t="s">
        <v>2401</v>
      </c>
    </row>
    <row r="227" spans="1:19">
      <c r="A227" t="s">
        <v>3338</v>
      </c>
      <c r="B227" t="s">
        <v>3339</v>
      </c>
      <c r="C227" t="s">
        <v>2401</v>
      </c>
      <c r="D227" t="s">
        <v>2401</v>
      </c>
      <c r="E227" t="s">
        <v>2401</v>
      </c>
      <c r="F227" t="s">
        <v>2401</v>
      </c>
      <c r="G227" t="s">
        <v>2401</v>
      </c>
      <c r="H227" t="s">
        <v>2401</v>
      </c>
      <c r="I227" t="s">
        <v>2401</v>
      </c>
      <c r="J227" t="s">
        <v>3340</v>
      </c>
      <c r="K227" t="s">
        <v>3049</v>
      </c>
      <c r="L227" t="s">
        <v>2401</v>
      </c>
      <c r="M227" s="14">
        <v>45565.645138888889</v>
      </c>
      <c r="N227" t="s">
        <v>3341</v>
      </c>
      <c r="O227" t="s">
        <v>2401</v>
      </c>
      <c r="P227" t="s">
        <v>2401</v>
      </c>
      <c r="Q227" t="s">
        <v>2401</v>
      </c>
      <c r="R227" t="s">
        <v>2401</v>
      </c>
      <c r="S227" t="s">
        <v>2401</v>
      </c>
    </row>
    <row r="228" spans="1:19">
      <c r="A228" t="s">
        <v>3342</v>
      </c>
      <c r="B228" t="s">
        <v>215</v>
      </c>
      <c r="C228" t="s">
        <v>2401</v>
      </c>
      <c r="D228" t="s">
        <v>2401</v>
      </c>
      <c r="E228" t="s">
        <v>2401</v>
      </c>
      <c r="F228" t="s">
        <v>2401</v>
      </c>
      <c r="G228" t="s">
        <v>2401</v>
      </c>
      <c r="H228" t="s">
        <v>2401</v>
      </c>
      <c r="I228" t="s">
        <v>2401</v>
      </c>
      <c r="J228" t="s">
        <v>2401</v>
      </c>
      <c r="K228" t="s">
        <v>2877</v>
      </c>
      <c r="L228" t="s">
        <v>2401</v>
      </c>
      <c r="M228" s="14">
        <v>45390.607638888891</v>
      </c>
      <c r="N228" t="s">
        <v>2401</v>
      </c>
      <c r="O228" t="s">
        <v>3343</v>
      </c>
      <c r="P228" t="s">
        <v>2401</v>
      </c>
      <c r="Q228" t="s">
        <v>2401</v>
      </c>
      <c r="R228" t="s">
        <v>2401</v>
      </c>
      <c r="S228" t="s">
        <v>2401</v>
      </c>
    </row>
    <row r="229" spans="1:19">
      <c r="A229" t="s">
        <v>3344</v>
      </c>
      <c r="B229" t="s">
        <v>3345</v>
      </c>
      <c r="C229" t="s">
        <v>2401</v>
      </c>
      <c r="D229" t="s">
        <v>2401</v>
      </c>
      <c r="E229" t="s">
        <v>2401</v>
      </c>
      <c r="F229" t="s">
        <v>2401</v>
      </c>
      <c r="G229" t="s">
        <v>2401</v>
      </c>
      <c r="H229" t="s">
        <v>2401</v>
      </c>
      <c r="I229" t="s">
        <v>2401</v>
      </c>
      <c r="J229" t="s">
        <v>2401</v>
      </c>
      <c r="K229" t="s">
        <v>2401</v>
      </c>
      <c r="L229" t="s">
        <v>2401</v>
      </c>
      <c r="M229" s="14">
        <v>45399.554861111108</v>
      </c>
      <c r="N229" t="s">
        <v>2401</v>
      </c>
      <c r="O229" t="s">
        <v>2401</v>
      </c>
      <c r="P229" t="s">
        <v>2401</v>
      </c>
      <c r="Q229" t="s">
        <v>2401</v>
      </c>
      <c r="R229" t="s">
        <v>2401</v>
      </c>
      <c r="S229" t="s">
        <v>2401</v>
      </c>
    </row>
    <row r="230" spans="1:19">
      <c r="A230" t="s">
        <v>3346</v>
      </c>
      <c r="B230" t="s">
        <v>3347</v>
      </c>
      <c r="C230" t="s">
        <v>2401</v>
      </c>
      <c r="D230" t="s">
        <v>2401</v>
      </c>
      <c r="E230" t="s">
        <v>2401</v>
      </c>
      <c r="F230" t="s">
        <v>2401</v>
      </c>
      <c r="G230" t="s">
        <v>2401</v>
      </c>
      <c r="H230" t="s">
        <v>2401</v>
      </c>
      <c r="I230" t="s">
        <v>2401</v>
      </c>
      <c r="J230" t="s">
        <v>3348</v>
      </c>
      <c r="K230" t="s">
        <v>3071</v>
      </c>
      <c r="L230" t="s">
        <v>2401</v>
      </c>
      <c r="M230" s="14">
        <v>45565.645138888889</v>
      </c>
      <c r="N230" t="s">
        <v>3349</v>
      </c>
      <c r="O230" t="s">
        <v>3350</v>
      </c>
      <c r="P230" t="s">
        <v>2401</v>
      </c>
      <c r="Q230" t="s">
        <v>2401</v>
      </c>
      <c r="R230" t="s">
        <v>2401</v>
      </c>
      <c r="S230" t="s">
        <v>2401</v>
      </c>
    </row>
    <row r="231" spans="1:19">
      <c r="A231" t="s">
        <v>3351</v>
      </c>
      <c r="B231" t="s">
        <v>3347</v>
      </c>
      <c r="C231" t="s">
        <v>2401</v>
      </c>
      <c r="D231" t="s">
        <v>2401</v>
      </c>
      <c r="E231" t="s">
        <v>2401</v>
      </c>
      <c r="F231" t="s">
        <v>2401</v>
      </c>
      <c r="G231" t="s">
        <v>2401</v>
      </c>
      <c r="H231" t="s">
        <v>2401</v>
      </c>
      <c r="I231" t="s">
        <v>2401</v>
      </c>
      <c r="J231" t="s">
        <v>3352</v>
      </c>
      <c r="K231" t="s">
        <v>2492</v>
      </c>
      <c r="L231" t="s">
        <v>2401</v>
      </c>
      <c r="M231" s="14">
        <v>45565.645138888889</v>
      </c>
      <c r="N231" t="s">
        <v>3353</v>
      </c>
      <c r="O231" t="s">
        <v>3354</v>
      </c>
      <c r="P231" t="s">
        <v>2401</v>
      </c>
      <c r="Q231" t="s">
        <v>2401</v>
      </c>
      <c r="R231" t="s">
        <v>2401</v>
      </c>
      <c r="S231" t="s">
        <v>2401</v>
      </c>
    </row>
    <row r="232" spans="1:19">
      <c r="A232" t="s">
        <v>3355</v>
      </c>
      <c r="B232" t="s">
        <v>1205</v>
      </c>
      <c r="C232" t="s">
        <v>2401</v>
      </c>
      <c r="D232" t="s">
        <v>2401</v>
      </c>
      <c r="E232" t="s">
        <v>2401</v>
      </c>
      <c r="F232" t="s">
        <v>2401</v>
      </c>
      <c r="G232" t="s">
        <v>2401</v>
      </c>
      <c r="H232" t="s">
        <v>2401</v>
      </c>
      <c r="I232" t="s">
        <v>2401</v>
      </c>
      <c r="J232" t="s">
        <v>2401</v>
      </c>
      <c r="K232" t="s">
        <v>2401</v>
      </c>
      <c r="L232" t="s">
        <v>2401</v>
      </c>
      <c r="M232" s="14">
        <v>45399.554861111108</v>
      </c>
      <c r="N232" t="s">
        <v>2401</v>
      </c>
      <c r="O232" t="s">
        <v>2401</v>
      </c>
      <c r="P232" t="s">
        <v>2401</v>
      </c>
      <c r="Q232" t="s">
        <v>2401</v>
      </c>
      <c r="R232" t="s">
        <v>2401</v>
      </c>
      <c r="S232" t="s">
        <v>2401</v>
      </c>
    </row>
    <row r="233" spans="1:19">
      <c r="A233" t="s">
        <v>3356</v>
      </c>
      <c r="B233" t="s">
        <v>3357</v>
      </c>
      <c r="C233" t="s">
        <v>2401</v>
      </c>
      <c r="D233" t="s">
        <v>2401</v>
      </c>
      <c r="E233" t="s">
        <v>2401</v>
      </c>
      <c r="F233" t="s">
        <v>2401</v>
      </c>
      <c r="G233" t="s">
        <v>2401</v>
      </c>
      <c r="H233" t="s">
        <v>2401</v>
      </c>
      <c r="I233" t="s">
        <v>2401</v>
      </c>
      <c r="J233" t="s">
        <v>3358</v>
      </c>
      <c r="K233" t="s">
        <v>2433</v>
      </c>
      <c r="L233" t="s">
        <v>2401</v>
      </c>
      <c r="M233" s="14">
        <v>45565.5625</v>
      </c>
      <c r="N233" t="s">
        <v>3359</v>
      </c>
      <c r="O233" t="s">
        <v>3360</v>
      </c>
      <c r="P233" t="s">
        <v>2401</v>
      </c>
      <c r="Q233" t="s">
        <v>2401</v>
      </c>
      <c r="R233" t="s">
        <v>2401</v>
      </c>
      <c r="S233" t="s">
        <v>2401</v>
      </c>
    </row>
    <row r="234" spans="1:19">
      <c r="A234" t="s">
        <v>3361</v>
      </c>
      <c r="B234" t="s">
        <v>3362</v>
      </c>
      <c r="C234" t="s">
        <v>2401</v>
      </c>
      <c r="D234" t="s">
        <v>2401</v>
      </c>
      <c r="E234" t="s">
        <v>2401</v>
      </c>
      <c r="F234" t="s">
        <v>2401</v>
      </c>
      <c r="G234" t="s">
        <v>2401</v>
      </c>
      <c r="H234" t="s">
        <v>2401</v>
      </c>
      <c r="I234" t="s">
        <v>2401</v>
      </c>
      <c r="J234" t="s">
        <v>3363</v>
      </c>
      <c r="K234" t="s">
        <v>3364</v>
      </c>
      <c r="L234" t="s">
        <v>2401</v>
      </c>
      <c r="M234" s="14">
        <v>45399.554861111108</v>
      </c>
      <c r="N234" t="s">
        <v>3365</v>
      </c>
      <c r="O234" t="s">
        <v>2401</v>
      </c>
      <c r="P234" t="s">
        <v>2401</v>
      </c>
      <c r="Q234" t="s">
        <v>2401</v>
      </c>
      <c r="R234" t="s">
        <v>2401</v>
      </c>
      <c r="S234" t="s">
        <v>2401</v>
      </c>
    </row>
    <row r="235" spans="1:19">
      <c r="A235" t="s">
        <v>3366</v>
      </c>
      <c r="B235" t="s">
        <v>1208</v>
      </c>
      <c r="C235" t="s">
        <v>2401</v>
      </c>
      <c r="D235" t="s">
        <v>2401</v>
      </c>
      <c r="E235" t="s">
        <v>2401</v>
      </c>
      <c r="F235" t="s">
        <v>2401</v>
      </c>
      <c r="G235" t="s">
        <v>2401</v>
      </c>
      <c r="H235" t="s">
        <v>2401</v>
      </c>
      <c r="I235" t="s">
        <v>2401</v>
      </c>
      <c r="J235" t="s">
        <v>3367</v>
      </c>
      <c r="K235" t="s">
        <v>3147</v>
      </c>
      <c r="L235" t="s">
        <v>2401</v>
      </c>
      <c r="M235" s="14">
        <v>45534.874305555553</v>
      </c>
      <c r="N235" t="s">
        <v>3368</v>
      </c>
      <c r="O235" t="s">
        <v>3369</v>
      </c>
      <c r="P235" t="s">
        <v>2401</v>
      </c>
      <c r="Q235" t="s">
        <v>2401</v>
      </c>
      <c r="R235" t="s">
        <v>2401</v>
      </c>
      <c r="S235" t="s">
        <v>2401</v>
      </c>
    </row>
    <row r="236" spans="1:19">
      <c r="A236" t="s">
        <v>3370</v>
      </c>
      <c r="B236" t="s">
        <v>1208</v>
      </c>
      <c r="C236" t="s">
        <v>2401</v>
      </c>
      <c r="D236" t="s">
        <v>2401</v>
      </c>
      <c r="E236" t="s">
        <v>2401</v>
      </c>
      <c r="F236" t="s">
        <v>2401</v>
      </c>
      <c r="G236" t="s">
        <v>2401</v>
      </c>
      <c r="H236" t="s">
        <v>2401</v>
      </c>
      <c r="I236" t="s">
        <v>2401</v>
      </c>
      <c r="J236" t="s">
        <v>2401</v>
      </c>
      <c r="K236" t="s">
        <v>2401</v>
      </c>
      <c r="L236" t="s">
        <v>2401</v>
      </c>
      <c r="M236" s="14">
        <v>45390.607638888891</v>
      </c>
      <c r="N236" t="s">
        <v>2401</v>
      </c>
      <c r="O236" t="s">
        <v>2401</v>
      </c>
      <c r="P236" t="s">
        <v>2401</v>
      </c>
      <c r="Q236" t="s">
        <v>2401</v>
      </c>
      <c r="R236" t="s">
        <v>2401</v>
      </c>
      <c r="S236" t="s">
        <v>2401</v>
      </c>
    </row>
    <row r="237" spans="1:19">
      <c r="A237" t="s">
        <v>3371</v>
      </c>
      <c r="B237" t="s">
        <v>3372</v>
      </c>
      <c r="C237" t="s">
        <v>2401</v>
      </c>
      <c r="D237" t="s">
        <v>2401</v>
      </c>
      <c r="E237" t="s">
        <v>2401</v>
      </c>
      <c r="F237" t="s">
        <v>2401</v>
      </c>
      <c r="G237" t="s">
        <v>2401</v>
      </c>
      <c r="H237" t="s">
        <v>2401</v>
      </c>
      <c r="I237" t="s">
        <v>2401</v>
      </c>
      <c r="J237" t="s">
        <v>2401</v>
      </c>
      <c r="K237" t="s">
        <v>3049</v>
      </c>
      <c r="L237" t="s">
        <v>2401</v>
      </c>
      <c r="M237" s="14">
        <v>45390.607638888891</v>
      </c>
      <c r="N237" t="s">
        <v>2401</v>
      </c>
      <c r="O237" t="s">
        <v>3373</v>
      </c>
      <c r="P237" t="s">
        <v>2401</v>
      </c>
      <c r="Q237" t="s">
        <v>2401</v>
      </c>
      <c r="R237" t="s">
        <v>2401</v>
      </c>
      <c r="S237" t="s">
        <v>2401</v>
      </c>
    </row>
    <row r="238" spans="1:19">
      <c r="A238" t="s">
        <v>3374</v>
      </c>
      <c r="B238" t="s">
        <v>3375</v>
      </c>
      <c r="C238" t="s">
        <v>2401</v>
      </c>
      <c r="D238" t="s">
        <v>2401</v>
      </c>
      <c r="E238" t="s">
        <v>2401</v>
      </c>
      <c r="F238" t="s">
        <v>2401</v>
      </c>
      <c r="G238" t="s">
        <v>2401</v>
      </c>
      <c r="H238" t="s">
        <v>2401</v>
      </c>
      <c r="I238" t="s">
        <v>2401</v>
      </c>
      <c r="J238" t="s">
        <v>3376</v>
      </c>
      <c r="K238" t="s">
        <v>2433</v>
      </c>
      <c r="L238" t="s">
        <v>2401</v>
      </c>
      <c r="M238" s="14">
        <v>45565.566666666666</v>
      </c>
      <c r="N238" t="s">
        <v>3377</v>
      </c>
      <c r="O238" t="s">
        <v>2401</v>
      </c>
      <c r="P238" t="s">
        <v>2401</v>
      </c>
      <c r="Q238" t="s">
        <v>2401</v>
      </c>
      <c r="R238" t="s">
        <v>2401</v>
      </c>
      <c r="S238" t="s">
        <v>2401</v>
      </c>
    </row>
    <row r="239" spans="1:19">
      <c r="A239" t="s">
        <v>3378</v>
      </c>
      <c r="B239" t="s">
        <v>3379</v>
      </c>
      <c r="C239" t="s">
        <v>2401</v>
      </c>
      <c r="D239" t="s">
        <v>2401</v>
      </c>
      <c r="E239" t="s">
        <v>2401</v>
      </c>
      <c r="F239" t="s">
        <v>2401</v>
      </c>
      <c r="G239" t="s">
        <v>2401</v>
      </c>
      <c r="H239" t="s">
        <v>2401</v>
      </c>
      <c r="I239" t="s">
        <v>2401</v>
      </c>
      <c r="J239" t="s">
        <v>2401</v>
      </c>
      <c r="K239" t="s">
        <v>2401</v>
      </c>
      <c r="L239" t="s">
        <v>2401</v>
      </c>
      <c r="M239" s="14">
        <v>45517.415972222225</v>
      </c>
      <c r="N239" t="s">
        <v>2401</v>
      </c>
      <c r="O239" t="s">
        <v>2401</v>
      </c>
      <c r="P239" t="s">
        <v>2401</v>
      </c>
      <c r="Q239" t="s">
        <v>2401</v>
      </c>
      <c r="R239" t="s">
        <v>2401</v>
      </c>
      <c r="S239" t="s">
        <v>2401</v>
      </c>
    </row>
    <row r="240" spans="1:19">
      <c r="A240" t="s">
        <v>3380</v>
      </c>
      <c r="B240" t="s">
        <v>3381</v>
      </c>
      <c r="C240" t="s">
        <v>2401</v>
      </c>
      <c r="D240" t="s">
        <v>2401</v>
      </c>
      <c r="E240" t="s">
        <v>2401</v>
      </c>
      <c r="F240" t="s">
        <v>2401</v>
      </c>
      <c r="G240" t="s">
        <v>2401</v>
      </c>
      <c r="H240" t="s">
        <v>2401</v>
      </c>
      <c r="I240" t="s">
        <v>2401</v>
      </c>
      <c r="J240" t="s">
        <v>2401</v>
      </c>
      <c r="K240" t="s">
        <v>2401</v>
      </c>
      <c r="L240" t="s">
        <v>2401</v>
      </c>
      <c r="M240" s="14">
        <v>45399.554861111108</v>
      </c>
      <c r="N240" t="s">
        <v>2401</v>
      </c>
      <c r="O240" t="s">
        <v>2401</v>
      </c>
      <c r="P240" t="s">
        <v>2401</v>
      </c>
      <c r="Q240" t="s">
        <v>2401</v>
      </c>
      <c r="R240" t="s">
        <v>2401</v>
      </c>
      <c r="S240" t="s">
        <v>2401</v>
      </c>
    </row>
    <row r="241" spans="1:19">
      <c r="A241" t="s">
        <v>3382</v>
      </c>
      <c r="B241" t="s">
        <v>3383</v>
      </c>
      <c r="C241" t="s">
        <v>2401</v>
      </c>
      <c r="D241" t="s">
        <v>2401</v>
      </c>
      <c r="E241" t="s">
        <v>2401</v>
      </c>
      <c r="F241" t="s">
        <v>2401</v>
      </c>
      <c r="G241" t="s">
        <v>2401</v>
      </c>
      <c r="H241" t="s">
        <v>2401</v>
      </c>
      <c r="I241" t="s">
        <v>2401</v>
      </c>
      <c r="J241" t="s">
        <v>3384</v>
      </c>
      <c r="K241" t="s">
        <v>2433</v>
      </c>
      <c r="L241" t="s">
        <v>2401</v>
      </c>
      <c r="M241" s="14">
        <v>45565.56527777778</v>
      </c>
      <c r="N241" t="s">
        <v>3385</v>
      </c>
      <c r="O241" t="s">
        <v>3386</v>
      </c>
      <c r="P241" t="s">
        <v>2401</v>
      </c>
      <c r="Q241" t="s">
        <v>2401</v>
      </c>
      <c r="R241" t="s">
        <v>2401</v>
      </c>
      <c r="S241" t="s">
        <v>2401</v>
      </c>
    </row>
    <row r="242" spans="1:19">
      <c r="A242" t="s">
        <v>3387</v>
      </c>
      <c r="B242" t="s">
        <v>3388</v>
      </c>
      <c r="C242" t="s">
        <v>2401</v>
      </c>
      <c r="D242" t="s">
        <v>2401</v>
      </c>
      <c r="E242" t="s">
        <v>2401</v>
      </c>
      <c r="F242" t="s">
        <v>2401</v>
      </c>
      <c r="G242" t="s">
        <v>2401</v>
      </c>
      <c r="H242" t="s">
        <v>2401</v>
      </c>
      <c r="I242" t="s">
        <v>2401</v>
      </c>
      <c r="J242" t="s">
        <v>3389</v>
      </c>
      <c r="K242" t="s">
        <v>2492</v>
      </c>
      <c r="L242" t="s">
        <v>2401</v>
      </c>
      <c r="M242" s="14">
        <v>45565.566666666666</v>
      </c>
      <c r="N242" t="s">
        <v>3390</v>
      </c>
      <c r="O242" t="s">
        <v>2401</v>
      </c>
      <c r="P242" t="s">
        <v>2401</v>
      </c>
      <c r="Q242" t="s">
        <v>2401</v>
      </c>
      <c r="R242" t="s">
        <v>2401</v>
      </c>
      <c r="S242" t="s">
        <v>2401</v>
      </c>
    </row>
    <row r="243" spans="1:19">
      <c r="A243" t="s">
        <v>3391</v>
      </c>
      <c r="B243" t="s">
        <v>3392</v>
      </c>
      <c r="C243" t="s">
        <v>2401</v>
      </c>
      <c r="D243" t="s">
        <v>2401</v>
      </c>
      <c r="E243" t="s">
        <v>2401</v>
      </c>
      <c r="F243" t="s">
        <v>2401</v>
      </c>
      <c r="G243" t="s">
        <v>2401</v>
      </c>
      <c r="H243" t="s">
        <v>2401</v>
      </c>
      <c r="I243" t="s">
        <v>2401</v>
      </c>
      <c r="J243" t="s">
        <v>3393</v>
      </c>
      <c r="K243" t="s">
        <v>2421</v>
      </c>
      <c r="L243" t="s">
        <v>2401</v>
      </c>
      <c r="M243" s="14">
        <v>45399.554861111108</v>
      </c>
      <c r="N243" t="s">
        <v>3394</v>
      </c>
      <c r="O243" t="s">
        <v>3395</v>
      </c>
      <c r="P243" t="s">
        <v>2401</v>
      </c>
      <c r="Q243" t="s">
        <v>2401</v>
      </c>
      <c r="R243" t="s">
        <v>2401</v>
      </c>
      <c r="S243" t="s">
        <v>2401</v>
      </c>
    </row>
    <row r="244" spans="1:19">
      <c r="A244" t="s">
        <v>3396</v>
      </c>
      <c r="B244" t="s">
        <v>1213</v>
      </c>
      <c r="C244" t="s">
        <v>2401</v>
      </c>
      <c r="D244" t="s">
        <v>2401</v>
      </c>
      <c r="E244" t="s">
        <v>2401</v>
      </c>
      <c r="F244" t="s">
        <v>2401</v>
      </c>
      <c r="G244" t="s">
        <v>2401</v>
      </c>
      <c r="H244" t="s">
        <v>2401</v>
      </c>
      <c r="I244" t="s">
        <v>2401</v>
      </c>
      <c r="J244" t="s">
        <v>2401</v>
      </c>
      <c r="K244" t="s">
        <v>2401</v>
      </c>
      <c r="L244" t="s">
        <v>2401</v>
      </c>
      <c r="M244" s="14">
        <v>45390.607638888891</v>
      </c>
      <c r="N244" t="s">
        <v>2401</v>
      </c>
      <c r="O244" t="s">
        <v>2401</v>
      </c>
      <c r="P244" t="s">
        <v>2401</v>
      </c>
      <c r="Q244" t="s">
        <v>2401</v>
      </c>
      <c r="R244" t="s">
        <v>2401</v>
      </c>
      <c r="S244" t="s">
        <v>2401</v>
      </c>
    </row>
    <row r="245" spans="1:19">
      <c r="A245" t="s">
        <v>3397</v>
      </c>
      <c r="B245" t="s">
        <v>3398</v>
      </c>
      <c r="C245" t="s">
        <v>2401</v>
      </c>
      <c r="D245" t="s">
        <v>2401</v>
      </c>
      <c r="E245" t="s">
        <v>2401</v>
      </c>
      <c r="F245" t="s">
        <v>2401</v>
      </c>
      <c r="G245" t="s">
        <v>2401</v>
      </c>
      <c r="H245" t="s">
        <v>2401</v>
      </c>
      <c r="I245" t="s">
        <v>2401</v>
      </c>
      <c r="J245" t="s">
        <v>3399</v>
      </c>
      <c r="K245" t="s">
        <v>3071</v>
      </c>
      <c r="L245" t="s">
        <v>2401</v>
      </c>
      <c r="M245" s="14">
        <v>45565.671527777777</v>
      </c>
      <c r="N245" t="s">
        <v>3400</v>
      </c>
      <c r="O245" t="s">
        <v>3401</v>
      </c>
      <c r="P245" t="s">
        <v>2401</v>
      </c>
      <c r="Q245" t="s">
        <v>2401</v>
      </c>
      <c r="R245" t="s">
        <v>2401</v>
      </c>
      <c r="S245" t="s">
        <v>2401</v>
      </c>
    </row>
    <row r="246" spans="1:19">
      <c r="A246" t="s">
        <v>3402</v>
      </c>
      <c r="B246" t="s">
        <v>3403</v>
      </c>
      <c r="C246" t="s">
        <v>2401</v>
      </c>
      <c r="D246" t="s">
        <v>2401</v>
      </c>
      <c r="E246" t="s">
        <v>2401</v>
      </c>
      <c r="F246" t="s">
        <v>2401</v>
      </c>
      <c r="G246" t="s">
        <v>2401</v>
      </c>
      <c r="H246" t="s">
        <v>2401</v>
      </c>
      <c r="I246" t="s">
        <v>2401</v>
      </c>
      <c r="J246" t="s">
        <v>3404</v>
      </c>
      <c r="K246" t="s">
        <v>2433</v>
      </c>
      <c r="L246" t="s">
        <v>2401</v>
      </c>
      <c r="M246" s="14">
        <v>45565.65347222222</v>
      </c>
      <c r="N246" t="s">
        <v>3405</v>
      </c>
      <c r="O246" t="s">
        <v>3406</v>
      </c>
      <c r="P246" t="s">
        <v>2401</v>
      </c>
      <c r="Q246" t="s">
        <v>2401</v>
      </c>
      <c r="R246" t="s">
        <v>2401</v>
      </c>
      <c r="S246" t="s">
        <v>2401</v>
      </c>
    </row>
    <row r="247" spans="1:19">
      <c r="A247" t="s">
        <v>3407</v>
      </c>
      <c r="B247" t="s">
        <v>3403</v>
      </c>
      <c r="C247" t="s">
        <v>2401</v>
      </c>
      <c r="D247" t="s">
        <v>2401</v>
      </c>
      <c r="E247" t="s">
        <v>2401</v>
      </c>
      <c r="F247" t="s">
        <v>2401</v>
      </c>
      <c r="G247" t="s">
        <v>2401</v>
      </c>
      <c r="H247" t="s">
        <v>2401</v>
      </c>
      <c r="I247" t="s">
        <v>61</v>
      </c>
      <c r="J247" t="s">
        <v>3408</v>
      </c>
      <c r="K247" t="s">
        <v>2433</v>
      </c>
      <c r="L247" t="s">
        <v>2401</v>
      </c>
      <c r="M247" s="14">
        <v>45399.554861111108</v>
      </c>
      <c r="N247" t="s">
        <v>3409</v>
      </c>
      <c r="O247" t="s">
        <v>3406</v>
      </c>
      <c r="P247" t="s">
        <v>2401</v>
      </c>
      <c r="Q247" t="s">
        <v>2401</v>
      </c>
      <c r="R247" t="s">
        <v>2401</v>
      </c>
      <c r="S247" t="s">
        <v>2401</v>
      </c>
    </row>
    <row r="248" spans="1:19">
      <c r="A248" t="s">
        <v>3410</v>
      </c>
      <c r="B248" t="s">
        <v>3403</v>
      </c>
      <c r="C248" t="s">
        <v>2401</v>
      </c>
      <c r="D248" t="s">
        <v>2401</v>
      </c>
      <c r="E248" t="s">
        <v>2401</v>
      </c>
      <c r="F248" t="s">
        <v>2401</v>
      </c>
      <c r="G248" t="s">
        <v>2401</v>
      </c>
      <c r="H248" t="s">
        <v>2401</v>
      </c>
      <c r="I248" t="s">
        <v>2401</v>
      </c>
      <c r="J248" t="s">
        <v>2401</v>
      </c>
      <c r="K248" t="s">
        <v>2401</v>
      </c>
      <c r="L248" t="s">
        <v>2401</v>
      </c>
      <c r="M248" s="14">
        <v>45390.607638888891</v>
      </c>
      <c r="N248" t="s">
        <v>2401</v>
      </c>
      <c r="O248" t="s">
        <v>2586</v>
      </c>
      <c r="P248" t="s">
        <v>2401</v>
      </c>
      <c r="Q248" t="s">
        <v>2401</v>
      </c>
      <c r="R248" t="s">
        <v>2401</v>
      </c>
      <c r="S248" t="s">
        <v>2401</v>
      </c>
    </row>
    <row r="249" spans="1:19">
      <c r="A249" t="s">
        <v>3411</v>
      </c>
      <c r="B249" t="s">
        <v>3412</v>
      </c>
      <c r="C249" t="s">
        <v>2401</v>
      </c>
      <c r="D249" t="s">
        <v>2401</v>
      </c>
      <c r="E249" t="s">
        <v>2401</v>
      </c>
      <c r="F249" t="s">
        <v>2401</v>
      </c>
      <c r="G249" t="s">
        <v>2401</v>
      </c>
      <c r="H249" t="s">
        <v>2401</v>
      </c>
      <c r="I249" t="s">
        <v>2401</v>
      </c>
      <c r="J249" t="s">
        <v>3413</v>
      </c>
      <c r="K249" t="s">
        <v>2433</v>
      </c>
      <c r="L249" t="s">
        <v>2401</v>
      </c>
      <c r="M249" s="14">
        <v>45565.695833333331</v>
      </c>
      <c r="N249" t="s">
        <v>3414</v>
      </c>
      <c r="O249" t="s">
        <v>3415</v>
      </c>
      <c r="P249" t="s">
        <v>2401</v>
      </c>
      <c r="Q249" t="s">
        <v>2401</v>
      </c>
      <c r="R249" t="s">
        <v>2401</v>
      </c>
      <c r="S249" t="s">
        <v>2401</v>
      </c>
    </row>
    <row r="250" spans="1:19">
      <c r="A250" t="s">
        <v>3416</v>
      </c>
      <c r="B250" t="s">
        <v>3417</v>
      </c>
      <c r="C250" t="s">
        <v>2401</v>
      </c>
      <c r="D250" t="s">
        <v>2401</v>
      </c>
      <c r="E250" t="s">
        <v>2401</v>
      </c>
      <c r="F250" t="s">
        <v>2401</v>
      </c>
      <c r="G250" t="s">
        <v>2401</v>
      </c>
      <c r="H250" t="s">
        <v>2401</v>
      </c>
      <c r="I250" t="s">
        <v>2401</v>
      </c>
      <c r="J250" t="s">
        <v>3418</v>
      </c>
      <c r="K250" t="s">
        <v>2433</v>
      </c>
      <c r="L250" t="s">
        <v>2401</v>
      </c>
      <c r="M250" s="14">
        <v>45565.570833333331</v>
      </c>
      <c r="N250" t="s">
        <v>3419</v>
      </c>
      <c r="O250" t="s">
        <v>3420</v>
      </c>
      <c r="P250" t="s">
        <v>2401</v>
      </c>
      <c r="Q250" t="s">
        <v>2401</v>
      </c>
      <c r="R250" t="s">
        <v>2401</v>
      </c>
      <c r="S250" t="s">
        <v>2401</v>
      </c>
    </row>
    <row r="251" spans="1:19">
      <c r="A251" t="s">
        <v>3421</v>
      </c>
      <c r="B251" t="s">
        <v>3422</v>
      </c>
      <c r="C251" t="s">
        <v>2401</v>
      </c>
      <c r="D251" t="s">
        <v>2401</v>
      </c>
      <c r="E251" t="s">
        <v>2401</v>
      </c>
      <c r="F251" t="s">
        <v>2401</v>
      </c>
      <c r="G251" t="s">
        <v>2401</v>
      </c>
      <c r="H251" t="s">
        <v>2401</v>
      </c>
      <c r="I251" t="s">
        <v>2401</v>
      </c>
      <c r="J251" t="s">
        <v>3423</v>
      </c>
      <c r="K251" t="s">
        <v>2433</v>
      </c>
      <c r="L251" t="s">
        <v>2401</v>
      </c>
      <c r="M251" s="14">
        <v>45565.645138888889</v>
      </c>
      <c r="N251" t="s">
        <v>3424</v>
      </c>
      <c r="O251" t="s">
        <v>3425</v>
      </c>
      <c r="P251" t="s">
        <v>2401</v>
      </c>
      <c r="Q251" t="s">
        <v>2401</v>
      </c>
      <c r="R251" t="s">
        <v>2401</v>
      </c>
      <c r="S251" t="s">
        <v>2401</v>
      </c>
    </row>
    <row r="252" spans="1:19">
      <c r="A252" t="s">
        <v>3426</v>
      </c>
      <c r="B252" t="s">
        <v>3427</v>
      </c>
      <c r="C252" t="s">
        <v>2401</v>
      </c>
      <c r="D252" t="s">
        <v>2401</v>
      </c>
      <c r="E252" t="s">
        <v>2401</v>
      </c>
      <c r="F252" t="s">
        <v>2401</v>
      </c>
      <c r="G252" t="s">
        <v>2401</v>
      </c>
      <c r="H252" t="s">
        <v>2401</v>
      </c>
      <c r="I252" t="s">
        <v>2401</v>
      </c>
      <c r="J252" t="s">
        <v>3428</v>
      </c>
      <c r="K252" t="s">
        <v>2548</v>
      </c>
      <c r="L252" t="s">
        <v>2401</v>
      </c>
      <c r="M252" s="14">
        <v>45399.554861111108</v>
      </c>
      <c r="N252" t="s">
        <v>3429</v>
      </c>
      <c r="O252" t="s">
        <v>3430</v>
      </c>
      <c r="P252" t="s">
        <v>2401</v>
      </c>
      <c r="Q252" t="s">
        <v>2401</v>
      </c>
      <c r="R252" t="s">
        <v>2401</v>
      </c>
      <c r="S252" t="s">
        <v>2401</v>
      </c>
    </row>
    <row r="253" spans="1:19">
      <c r="A253" t="s">
        <v>3431</v>
      </c>
      <c r="B253" t="s">
        <v>3432</v>
      </c>
      <c r="C253" t="s">
        <v>2401</v>
      </c>
      <c r="D253" t="s">
        <v>2401</v>
      </c>
      <c r="E253" t="s">
        <v>2401</v>
      </c>
      <c r="F253" t="s">
        <v>2401</v>
      </c>
      <c r="G253" t="s">
        <v>2401</v>
      </c>
      <c r="H253" t="s">
        <v>2401</v>
      </c>
      <c r="I253" t="s">
        <v>2401</v>
      </c>
      <c r="J253" t="s">
        <v>3433</v>
      </c>
      <c r="K253" t="s">
        <v>3434</v>
      </c>
      <c r="L253" t="s">
        <v>2401</v>
      </c>
      <c r="M253" s="14">
        <v>45397.690972222219</v>
      </c>
      <c r="N253" t="s">
        <v>3435</v>
      </c>
      <c r="O253" t="s">
        <v>3436</v>
      </c>
      <c r="P253" t="s">
        <v>3437</v>
      </c>
      <c r="Q253">
        <v>1</v>
      </c>
      <c r="R253" t="s">
        <v>2401</v>
      </c>
      <c r="S253" t="s">
        <v>3438</v>
      </c>
    </row>
    <row r="254" spans="1:19">
      <c r="A254" t="s">
        <v>3439</v>
      </c>
      <c r="B254" t="s">
        <v>3440</v>
      </c>
      <c r="C254" t="s">
        <v>2401</v>
      </c>
      <c r="D254" t="s">
        <v>2401</v>
      </c>
      <c r="E254" t="s">
        <v>2401</v>
      </c>
      <c r="F254" t="s">
        <v>2401</v>
      </c>
      <c r="G254" t="s">
        <v>2401</v>
      </c>
      <c r="H254" t="s">
        <v>2401</v>
      </c>
      <c r="I254" t="s">
        <v>2401</v>
      </c>
      <c r="J254" t="s">
        <v>3441</v>
      </c>
      <c r="K254" t="s">
        <v>2438</v>
      </c>
      <c r="L254" t="s">
        <v>2401</v>
      </c>
      <c r="M254" s="14">
        <v>45399.554861111108</v>
      </c>
      <c r="N254" t="s">
        <v>3442</v>
      </c>
      <c r="O254" t="s">
        <v>3443</v>
      </c>
      <c r="P254" t="s">
        <v>2401</v>
      </c>
      <c r="Q254" t="s">
        <v>2401</v>
      </c>
      <c r="R254" t="s">
        <v>2401</v>
      </c>
      <c r="S254" t="s">
        <v>2401</v>
      </c>
    </row>
    <row r="255" spans="1:19">
      <c r="A255" t="s">
        <v>3444</v>
      </c>
      <c r="B255" t="s">
        <v>3445</v>
      </c>
      <c r="C255" t="s">
        <v>2401</v>
      </c>
      <c r="D255" t="s">
        <v>2401</v>
      </c>
      <c r="E255" t="s">
        <v>2401</v>
      </c>
      <c r="F255" t="s">
        <v>2401</v>
      </c>
      <c r="G255" t="s">
        <v>2401</v>
      </c>
      <c r="H255" t="s">
        <v>2401</v>
      </c>
      <c r="I255" t="s">
        <v>2401</v>
      </c>
      <c r="J255" t="s">
        <v>3446</v>
      </c>
      <c r="K255" t="s">
        <v>3071</v>
      </c>
      <c r="L255" t="s">
        <v>2401</v>
      </c>
      <c r="M255" s="14">
        <v>45565.697916666664</v>
      </c>
      <c r="N255" t="s">
        <v>3447</v>
      </c>
      <c r="O255" t="s">
        <v>3448</v>
      </c>
      <c r="P255" t="s">
        <v>2401</v>
      </c>
      <c r="Q255" t="s">
        <v>2401</v>
      </c>
      <c r="R255" t="s">
        <v>2401</v>
      </c>
      <c r="S255" t="s">
        <v>2401</v>
      </c>
    </row>
    <row r="256" spans="1:19">
      <c r="A256" t="s">
        <v>3449</v>
      </c>
      <c r="B256" t="s">
        <v>3450</v>
      </c>
      <c r="C256" t="s">
        <v>2564</v>
      </c>
      <c r="D256" t="s">
        <v>2401</v>
      </c>
      <c r="E256" t="s">
        <v>2401</v>
      </c>
      <c r="F256" t="s">
        <v>2401</v>
      </c>
      <c r="G256" t="s">
        <v>2401</v>
      </c>
      <c r="H256" t="s">
        <v>2401</v>
      </c>
      <c r="I256" t="s">
        <v>2401</v>
      </c>
      <c r="J256" t="s">
        <v>3451</v>
      </c>
      <c r="K256" t="s">
        <v>2406</v>
      </c>
      <c r="L256" t="s">
        <v>1031</v>
      </c>
      <c r="M256" s="14">
        <v>45485.71597222222</v>
      </c>
      <c r="N256" t="s">
        <v>3452</v>
      </c>
      <c r="O256" t="s">
        <v>3453</v>
      </c>
      <c r="P256" t="s">
        <v>2401</v>
      </c>
      <c r="Q256" t="s">
        <v>2401</v>
      </c>
      <c r="R256" t="s">
        <v>2401</v>
      </c>
      <c r="S256" t="s">
        <v>2401</v>
      </c>
    </row>
    <row r="257" spans="1:19">
      <c r="A257" t="s">
        <v>3454</v>
      </c>
      <c r="B257" t="s">
        <v>1223</v>
      </c>
      <c r="C257" t="s">
        <v>2401</v>
      </c>
      <c r="D257" t="s">
        <v>2401</v>
      </c>
      <c r="E257" t="s">
        <v>2401</v>
      </c>
      <c r="F257" t="s">
        <v>2401</v>
      </c>
      <c r="G257" t="s">
        <v>2401</v>
      </c>
      <c r="H257" t="s">
        <v>2401</v>
      </c>
      <c r="I257" t="s">
        <v>2401</v>
      </c>
      <c r="J257" t="s">
        <v>3455</v>
      </c>
      <c r="K257" t="s">
        <v>2499</v>
      </c>
      <c r="L257" t="s">
        <v>2401</v>
      </c>
      <c r="M257" s="14">
        <v>45399.554861111108</v>
      </c>
      <c r="N257" t="s">
        <v>3456</v>
      </c>
      <c r="O257" t="s">
        <v>3457</v>
      </c>
      <c r="P257" t="s">
        <v>2401</v>
      </c>
      <c r="Q257" t="s">
        <v>2401</v>
      </c>
      <c r="R257" t="s">
        <v>2401</v>
      </c>
      <c r="S257" t="s">
        <v>2401</v>
      </c>
    </row>
    <row r="258" spans="1:19">
      <c r="A258" t="s">
        <v>3458</v>
      </c>
      <c r="B258" t="s">
        <v>3459</v>
      </c>
      <c r="C258" t="s">
        <v>2401</v>
      </c>
      <c r="D258" t="s">
        <v>2401</v>
      </c>
      <c r="E258" t="s">
        <v>2401</v>
      </c>
      <c r="F258" t="s">
        <v>2401</v>
      </c>
      <c r="G258" t="s">
        <v>2401</v>
      </c>
      <c r="H258" t="s">
        <v>2401</v>
      </c>
      <c r="I258" t="s">
        <v>2401</v>
      </c>
      <c r="J258" t="s">
        <v>3460</v>
      </c>
      <c r="K258" t="s">
        <v>2720</v>
      </c>
      <c r="L258" t="s">
        <v>2401</v>
      </c>
      <c r="M258" s="14">
        <v>45399.554861111108</v>
      </c>
      <c r="N258" t="s">
        <v>3461</v>
      </c>
      <c r="O258" t="s">
        <v>3462</v>
      </c>
      <c r="P258" t="s">
        <v>2401</v>
      </c>
      <c r="Q258" t="s">
        <v>2401</v>
      </c>
      <c r="R258" t="s">
        <v>2401</v>
      </c>
      <c r="S258" t="s">
        <v>2401</v>
      </c>
    </row>
    <row r="259" spans="1:19">
      <c r="A259" t="s">
        <v>3463</v>
      </c>
      <c r="B259" t="s">
        <v>3464</v>
      </c>
      <c r="C259" t="s">
        <v>2401</v>
      </c>
      <c r="D259" t="s">
        <v>2401</v>
      </c>
      <c r="E259" t="s">
        <v>2401</v>
      </c>
      <c r="F259" t="s">
        <v>2401</v>
      </c>
      <c r="G259" t="s">
        <v>2401</v>
      </c>
      <c r="H259" t="s">
        <v>2401</v>
      </c>
      <c r="I259" t="s">
        <v>2401</v>
      </c>
      <c r="J259" t="s">
        <v>3465</v>
      </c>
      <c r="K259" t="s">
        <v>3466</v>
      </c>
      <c r="L259" t="s">
        <v>2401</v>
      </c>
      <c r="M259" s="14">
        <v>45391.345138888886</v>
      </c>
      <c r="N259" t="s">
        <v>3467</v>
      </c>
      <c r="O259" t="s">
        <v>2401</v>
      </c>
      <c r="P259" t="s">
        <v>3468</v>
      </c>
      <c r="Q259">
        <v>1</v>
      </c>
      <c r="R259" t="s">
        <v>2401</v>
      </c>
      <c r="S259" t="s">
        <v>3469</v>
      </c>
    </row>
    <row r="260" spans="1:19">
      <c r="A260" t="s">
        <v>3470</v>
      </c>
      <c r="B260" t="s">
        <v>3471</v>
      </c>
      <c r="C260" t="s">
        <v>2401</v>
      </c>
      <c r="D260" t="s">
        <v>2401</v>
      </c>
      <c r="E260" t="s">
        <v>2401</v>
      </c>
      <c r="F260" t="s">
        <v>2401</v>
      </c>
      <c r="G260" t="s">
        <v>2401</v>
      </c>
      <c r="H260" t="s">
        <v>2401</v>
      </c>
      <c r="I260" t="s">
        <v>2401</v>
      </c>
      <c r="J260" t="s">
        <v>3472</v>
      </c>
      <c r="K260" t="s">
        <v>3473</v>
      </c>
      <c r="L260" t="s">
        <v>2401</v>
      </c>
      <c r="M260" s="14">
        <v>45565.690972222219</v>
      </c>
      <c r="N260" t="s">
        <v>3474</v>
      </c>
      <c r="O260" t="s">
        <v>3475</v>
      </c>
      <c r="P260" t="s">
        <v>2401</v>
      </c>
      <c r="Q260" t="s">
        <v>2401</v>
      </c>
      <c r="R260" t="s">
        <v>2401</v>
      </c>
      <c r="S260" t="s">
        <v>2401</v>
      </c>
    </row>
    <row r="261" spans="1:19">
      <c r="A261" t="s">
        <v>3476</v>
      </c>
      <c r="B261" t="s">
        <v>1227</v>
      </c>
      <c r="C261" t="s">
        <v>2401</v>
      </c>
      <c r="D261" t="s">
        <v>2401</v>
      </c>
      <c r="E261" t="s">
        <v>2401</v>
      </c>
      <c r="F261" t="s">
        <v>2401</v>
      </c>
      <c r="G261" t="s">
        <v>2401</v>
      </c>
      <c r="H261" t="s">
        <v>2401</v>
      </c>
      <c r="I261" t="s">
        <v>2401</v>
      </c>
      <c r="J261" t="s">
        <v>3477</v>
      </c>
      <c r="K261" t="s">
        <v>2448</v>
      </c>
      <c r="L261" t="s">
        <v>2401</v>
      </c>
      <c r="M261" s="14">
        <v>45534.874305555553</v>
      </c>
      <c r="N261" t="s">
        <v>3478</v>
      </c>
      <c r="O261" t="s">
        <v>3479</v>
      </c>
      <c r="P261" t="s">
        <v>2401</v>
      </c>
      <c r="Q261" t="s">
        <v>2401</v>
      </c>
      <c r="R261" t="s">
        <v>2401</v>
      </c>
      <c r="S261" t="s">
        <v>2401</v>
      </c>
    </row>
    <row r="262" spans="1:19">
      <c r="A262" t="s">
        <v>3480</v>
      </c>
      <c r="B262" t="s">
        <v>3481</v>
      </c>
      <c r="C262" t="s">
        <v>2401</v>
      </c>
      <c r="D262" t="s">
        <v>2401</v>
      </c>
      <c r="E262" t="s">
        <v>2401</v>
      </c>
      <c r="F262" t="s">
        <v>2401</v>
      </c>
      <c r="G262" t="s">
        <v>2401</v>
      </c>
      <c r="H262" t="s">
        <v>2401</v>
      </c>
      <c r="I262" t="s">
        <v>2401</v>
      </c>
      <c r="J262" t="s">
        <v>3482</v>
      </c>
      <c r="K262" t="s">
        <v>3483</v>
      </c>
      <c r="L262" t="s">
        <v>2401</v>
      </c>
      <c r="M262" s="14">
        <v>45534.874305555553</v>
      </c>
      <c r="N262" t="s">
        <v>3484</v>
      </c>
      <c r="O262" t="s">
        <v>3485</v>
      </c>
      <c r="P262" t="s">
        <v>2401</v>
      </c>
      <c r="Q262" t="s">
        <v>2401</v>
      </c>
      <c r="R262" t="s">
        <v>2401</v>
      </c>
      <c r="S262" t="s">
        <v>2401</v>
      </c>
    </row>
    <row r="263" spans="1:19">
      <c r="A263" t="s">
        <v>3486</v>
      </c>
      <c r="B263" t="s">
        <v>3487</v>
      </c>
      <c r="C263" t="s">
        <v>2401</v>
      </c>
      <c r="D263" t="s">
        <v>2401</v>
      </c>
      <c r="E263" t="s">
        <v>2401</v>
      </c>
      <c r="F263" t="s">
        <v>2401</v>
      </c>
      <c r="G263" t="s">
        <v>2401</v>
      </c>
      <c r="H263" t="s">
        <v>2401</v>
      </c>
      <c r="I263" t="s">
        <v>2401</v>
      </c>
      <c r="J263" t="s">
        <v>3488</v>
      </c>
      <c r="K263" t="s">
        <v>2406</v>
      </c>
      <c r="L263" t="s">
        <v>2401</v>
      </c>
      <c r="M263" s="14">
        <v>45399.554861111108</v>
      </c>
      <c r="N263" t="s">
        <v>3489</v>
      </c>
      <c r="O263" t="s">
        <v>2401</v>
      </c>
      <c r="P263" t="s">
        <v>2401</v>
      </c>
      <c r="Q263" t="s">
        <v>2401</v>
      </c>
      <c r="R263" t="s">
        <v>2401</v>
      </c>
      <c r="S263" t="s">
        <v>2401</v>
      </c>
    </row>
    <row r="264" spans="1:19">
      <c r="A264" t="s">
        <v>3490</v>
      </c>
      <c r="B264" t="s">
        <v>3491</v>
      </c>
      <c r="C264" t="s">
        <v>2401</v>
      </c>
      <c r="D264" t="s">
        <v>2401</v>
      </c>
      <c r="E264" t="s">
        <v>2401</v>
      </c>
      <c r="F264" t="s">
        <v>2401</v>
      </c>
      <c r="G264" t="s">
        <v>2401</v>
      </c>
      <c r="H264" t="s">
        <v>2401</v>
      </c>
      <c r="I264" t="s">
        <v>2401</v>
      </c>
      <c r="J264" t="s">
        <v>3492</v>
      </c>
      <c r="K264" t="s">
        <v>2755</v>
      </c>
      <c r="L264" t="s">
        <v>2401</v>
      </c>
      <c r="M264" s="14">
        <v>45534.874305555553</v>
      </c>
      <c r="N264" t="s">
        <v>3493</v>
      </c>
      <c r="O264" t="s">
        <v>3494</v>
      </c>
      <c r="P264" t="s">
        <v>2401</v>
      </c>
      <c r="Q264" t="s">
        <v>2401</v>
      </c>
      <c r="R264" t="s">
        <v>2401</v>
      </c>
      <c r="S264" t="s">
        <v>2401</v>
      </c>
    </row>
    <row r="265" spans="1:19">
      <c r="A265" t="s">
        <v>3495</v>
      </c>
      <c r="B265" t="s">
        <v>3496</v>
      </c>
      <c r="C265" t="s">
        <v>2401</v>
      </c>
      <c r="D265" t="s">
        <v>2401</v>
      </c>
      <c r="E265" t="s">
        <v>2401</v>
      </c>
      <c r="F265" t="s">
        <v>2401</v>
      </c>
      <c r="G265" t="s">
        <v>2401</v>
      </c>
      <c r="H265" t="s">
        <v>2401</v>
      </c>
      <c r="I265" t="s">
        <v>2401</v>
      </c>
      <c r="J265" t="s">
        <v>2401</v>
      </c>
      <c r="K265" t="s">
        <v>2401</v>
      </c>
      <c r="L265" t="s">
        <v>2401</v>
      </c>
      <c r="M265" s="14">
        <v>45390.607638888891</v>
      </c>
      <c r="N265" t="s">
        <v>2401</v>
      </c>
      <c r="O265" t="s">
        <v>2401</v>
      </c>
      <c r="P265" t="s">
        <v>2401</v>
      </c>
      <c r="Q265" t="s">
        <v>2401</v>
      </c>
      <c r="R265" t="s">
        <v>2401</v>
      </c>
      <c r="S265" t="s">
        <v>2401</v>
      </c>
    </row>
    <row r="266" spans="1:19">
      <c r="A266" t="s">
        <v>3497</v>
      </c>
      <c r="B266" t="s">
        <v>3498</v>
      </c>
      <c r="C266" t="s">
        <v>2401</v>
      </c>
      <c r="D266" t="s">
        <v>2401</v>
      </c>
      <c r="E266" t="s">
        <v>2401</v>
      </c>
      <c r="F266" t="s">
        <v>2401</v>
      </c>
      <c r="G266" t="s">
        <v>2401</v>
      </c>
      <c r="H266" t="s">
        <v>2401</v>
      </c>
      <c r="I266" t="s">
        <v>61</v>
      </c>
      <c r="J266" t="s">
        <v>3499</v>
      </c>
      <c r="K266" t="s">
        <v>2401</v>
      </c>
      <c r="L266" t="s">
        <v>2401</v>
      </c>
      <c r="M266" s="14">
        <v>45399.554861111108</v>
      </c>
      <c r="N266" t="s">
        <v>3500</v>
      </c>
      <c r="O266" t="s">
        <v>2401</v>
      </c>
      <c r="P266" t="s">
        <v>2401</v>
      </c>
      <c r="Q266" t="s">
        <v>2401</v>
      </c>
      <c r="R266" t="s">
        <v>2401</v>
      </c>
      <c r="S266" t="s">
        <v>2401</v>
      </c>
    </row>
    <row r="267" spans="1:19">
      <c r="A267" t="s">
        <v>3501</v>
      </c>
      <c r="B267" t="s">
        <v>3502</v>
      </c>
      <c r="C267" t="s">
        <v>2401</v>
      </c>
      <c r="D267" t="s">
        <v>2401</v>
      </c>
      <c r="E267" t="s">
        <v>2401</v>
      </c>
      <c r="F267" t="s">
        <v>2401</v>
      </c>
      <c r="G267" t="s">
        <v>2401</v>
      </c>
      <c r="H267" t="s">
        <v>2401</v>
      </c>
      <c r="I267" t="s">
        <v>2401</v>
      </c>
      <c r="J267" t="s">
        <v>2401</v>
      </c>
      <c r="K267" t="s">
        <v>2401</v>
      </c>
      <c r="L267" t="s">
        <v>2401</v>
      </c>
      <c r="M267" s="14">
        <v>45422.895833333336</v>
      </c>
      <c r="N267" t="s">
        <v>2401</v>
      </c>
      <c r="O267" t="s">
        <v>2401</v>
      </c>
      <c r="P267" t="s">
        <v>2401</v>
      </c>
      <c r="Q267" t="s">
        <v>2401</v>
      </c>
      <c r="R267" t="s">
        <v>2401</v>
      </c>
      <c r="S267" t="s">
        <v>2401</v>
      </c>
    </row>
    <row r="268" spans="1:19">
      <c r="A268" t="s">
        <v>3503</v>
      </c>
      <c r="B268" t="s">
        <v>3504</v>
      </c>
      <c r="C268" t="s">
        <v>2401</v>
      </c>
      <c r="D268" t="s">
        <v>2401</v>
      </c>
      <c r="E268" t="s">
        <v>2401</v>
      </c>
      <c r="F268" t="s">
        <v>2401</v>
      </c>
      <c r="G268" t="s">
        <v>2401</v>
      </c>
      <c r="H268" t="s">
        <v>2401</v>
      </c>
      <c r="I268" t="s">
        <v>2401</v>
      </c>
      <c r="J268" t="s">
        <v>3505</v>
      </c>
      <c r="K268" t="s">
        <v>2427</v>
      </c>
      <c r="L268" t="s">
        <v>2401</v>
      </c>
      <c r="M268" s="14">
        <v>45565.699305555558</v>
      </c>
      <c r="N268" t="s">
        <v>2401</v>
      </c>
      <c r="O268" t="s">
        <v>2401</v>
      </c>
      <c r="P268" t="s">
        <v>2401</v>
      </c>
      <c r="Q268" t="s">
        <v>2401</v>
      </c>
      <c r="R268" t="s">
        <v>2401</v>
      </c>
      <c r="S268" t="s">
        <v>2401</v>
      </c>
    </row>
    <row r="269" spans="1:19">
      <c r="A269" t="s">
        <v>3506</v>
      </c>
      <c r="B269" t="s">
        <v>3507</v>
      </c>
      <c r="C269" t="s">
        <v>2401</v>
      </c>
      <c r="D269" t="s">
        <v>2401</v>
      </c>
      <c r="E269" t="s">
        <v>2401</v>
      </c>
      <c r="F269" t="s">
        <v>2401</v>
      </c>
      <c r="G269" t="s">
        <v>2401</v>
      </c>
      <c r="H269" t="s">
        <v>2401</v>
      </c>
      <c r="I269" t="s">
        <v>2401</v>
      </c>
      <c r="J269" t="s">
        <v>3508</v>
      </c>
      <c r="K269" t="s">
        <v>2401</v>
      </c>
      <c r="L269" t="s">
        <v>2401</v>
      </c>
      <c r="M269" s="14">
        <v>45399.554861111108</v>
      </c>
      <c r="N269" t="s">
        <v>3509</v>
      </c>
      <c r="O269" t="s">
        <v>2401</v>
      </c>
      <c r="P269" t="s">
        <v>2401</v>
      </c>
      <c r="Q269" t="s">
        <v>2401</v>
      </c>
      <c r="R269" t="s">
        <v>2401</v>
      </c>
      <c r="S269" t="s">
        <v>2401</v>
      </c>
    </row>
    <row r="270" spans="1:19">
      <c r="A270" t="s">
        <v>3510</v>
      </c>
      <c r="B270" t="s">
        <v>3511</v>
      </c>
      <c r="C270" t="s">
        <v>2401</v>
      </c>
      <c r="D270" t="s">
        <v>2401</v>
      </c>
      <c r="E270" t="s">
        <v>2401</v>
      </c>
      <c r="F270" t="s">
        <v>2401</v>
      </c>
      <c r="G270" t="s">
        <v>2401</v>
      </c>
      <c r="H270" t="s">
        <v>2401</v>
      </c>
      <c r="I270" t="s">
        <v>2401</v>
      </c>
      <c r="J270" t="s">
        <v>3512</v>
      </c>
      <c r="K270" t="s">
        <v>2401</v>
      </c>
      <c r="L270" t="s">
        <v>2401</v>
      </c>
      <c r="M270" s="14">
        <v>45399.554861111108</v>
      </c>
      <c r="N270" t="s">
        <v>2401</v>
      </c>
      <c r="O270" t="s">
        <v>2401</v>
      </c>
      <c r="P270" t="s">
        <v>2401</v>
      </c>
      <c r="Q270" t="s">
        <v>2401</v>
      </c>
      <c r="R270" t="s">
        <v>2401</v>
      </c>
      <c r="S270" t="s">
        <v>2401</v>
      </c>
    </row>
    <row r="271" spans="1:19">
      <c r="A271" t="s">
        <v>3513</v>
      </c>
      <c r="B271" t="s">
        <v>3514</v>
      </c>
      <c r="C271" t="s">
        <v>2401</v>
      </c>
      <c r="D271" t="s">
        <v>2401</v>
      </c>
      <c r="E271" t="s">
        <v>2401</v>
      </c>
      <c r="F271" t="s">
        <v>2401</v>
      </c>
      <c r="G271" t="s">
        <v>2401</v>
      </c>
      <c r="H271" t="s">
        <v>2401</v>
      </c>
      <c r="I271" t="s">
        <v>2401</v>
      </c>
      <c r="J271" t="s">
        <v>2401</v>
      </c>
      <c r="K271" t="s">
        <v>2720</v>
      </c>
      <c r="L271" t="s">
        <v>2401</v>
      </c>
      <c r="M271" s="14">
        <v>45502.577777777777</v>
      </c>
      <c r="N271" t="s">
        <v>2401</v>
      </c>
      <c r="O271" t="s">
        <v>2401</v>
      </c>
      <c r="P271" t="s">
        <v>2401</v>
      </c>
      <c r="Q271" t="s">
        <v>2401</v>
      </c>
      <c r="R271" t="s">
        <v>2401</v>
      </c>
      <c r="S271" t="s">
        <v>2401</v>
      </c>
    </row>
    <row r="272" spans="1:19">
      <c r="A272" t="s">
        <v>3515</v>
      </c>
      <c r="B272" t="s">
        <v>3516</v>
      </c>
      <c r="C272" t="s">
        <v>2401</v>
      </c>
      <c r="D272" t="s">
        <v>2401</v>
      </c>
      <c r="E272" t="s">
        <v>2401</v>
      </c>
      <c r="F272" t="s">
        <v>2401</v>
      </c>
      <c r="G272" t="s">
        <v>2401</v>
      </c>
      <c r="H272" t="s">
        <v>2401</v>
      </c>
      <c r="I272" t="s">
        <v>2401</v>
      </c>
      <c r="J272" t="s">
        <v>3517</v>
      </c>
      <c r="K272" t="s">
        <v>3518</v>
      </c>
      <c r="L272" t="s">
        <v>2401</v>
      </c>
      <c r="M272" s="14">
        <v>45399.554861111108</v>
      </c>
      <c r="N272" t="s">
        <v>3519</v>
      </c>
      <c r="O272" t="s">
        <v>3520</v>
      </c>
      <c r="P272" t="s">
        <v>2401</v>
      </c>
      <c r="Q272" t="s">
        <v>2401</v>
      </c>
      <c r="R272" t="s">
        <v>2401</v>
      </c>
      <c r="S272" t="s">
        <v>2401</v>
      </c>
    </row>
    <row r="273" spans="1:19">
      <c r="A273" t="s">
        <v>3521</v>
      </c>
      <c r="B273" t="s">
        <v>3522</v>
      </c>
      <c r="C273" t="s">
        <v>2401</v>
      </c>
      <c r="D273" t="s">
        <v>2401</v>
      </c>
      <c r="E273" t="s">
        <v>2401</v>
      </c>
      <c r="F273" t="s">
        <v>2401</v>
      </c>
      <c r="G273" t="s">
        <v>2401</v>
      </c>
      <c r="H273" t="s">
        <v>2401</v>
      </c>
      <c r="I273" t="s">
        <v>2401</v>
      </c>
      <c r="J273" t="s">
        <v>3523</v>
      </c>
      <c r="K273" t="s">
        <v>3473</v>
      </c>
      <c r="L273" t="s">
        <v>2401</v>
      </c>
      <c r="M273" s="14">
        <v>45565.669444444444</v>
      </c>
      <c r="N273" t="s">
        <v>3524</v>
      </c>
      <c r="O273" t="s">
        <v>3525</v>
      </c>
      <c r="P273" t="s">
        <v>2401</v>
      </c>
      <c r="Q273" t="s">
        <v>2401</v>
      </c>
      <c r="R273" t="s">
        <v>2401</v>
      </c>
      <c r="S273" t="s">
        <v>2401</v>
      </c>
    </row>
    <row r="274" spans="1:19">
      <c r="A274" t="s">
        <v>3526</v>
      </c>
      <c r="B274" t="s">
        <v>3527</v>
      </c>
      <c r="C274" t="s">
        <v>2401</v>
      </c>
      <c r="D274" t="s">
        <v>2401</v>
      </c>
      <c r="E274" t="s">
        <v>2401</v>
      </c>
      <c r="F274" t="s">
        <v>2401</v>
      </c>
      <c r="G274" t="s">
        <v>2401</v>
      </c>
      <c r="H274" t="s">
        <v>2401</v>
      </c>
      <c r="I274" t="s">
        <v>2401</v>
      </c>
      <c r="J274" t="s">
        <v>3528</v>
      </c>
      <c r="K274" t="s">
        <v>2406</v>
      </c>
      <c r="L274" t="s">
        <v>2401</v>
      </c>
      <c r="M274" s="14">
        <v>45565.645138888889</v>
      </c>
      <c r="N274" t="s">
        <v>3529</v>
      </c>
      <c r="O274" t="s">
        <v>2401</v>
      </c>
      <c r="P274" t="s">
        <v>2401</v>
      </c>
      <c r="Q274" t="s">
        <v>2401</v>
      </c>
      <c r="R274" t="s">
        <v>2401</v>
      </c>
      <c r="S274" t="s">
        <v>2401</v>
      </c>
    </row>
    <row r="275" spans="1:19">
      <c r="A275" t="s">
        <v>3530</v>
      </c>
      <c r="B275" t="s">
        <v>3531</v>
      </c>
      <c r="C275" t="s">
        <v>2401</v>
      </c>
      <c r="D275" t="s">
        <v>2401</v>
      </c>
      <c r="E275" t="s">
        <v>2401</v>
      </c>
      <c r="F275" t="s">
        <v>2401</v>
      </c>
      <c r="G275" t="s">
        <v>2401</v>
      </c>
      <c r="H275" t="s">
        <v>2401</v>
      </c>
      <c r="I275" t="s">
        <v>2401</v>
      </c>
      <c r="J275" t="s">
        <v>3532</v>
      </c>
      <c r="K275" t="s">
        <v>2406</v>
      </c>
      <c r="L275" t="s">
        <v>2401</v>
      </c>
      <c r="M275" s="14">
        <v>45554.469444444447</v>
      </c>
      <c r="N275" t="s">
        <v>3533</v>
      </c>
      <c r="O275" t="s">
        <v>2401</v>
      </c>
      <c r="P275" t="s">
        <v>2401</v>
      </c>
      <c r="Q275" t="s">
        <v>2401</v>
      </c>
      <c r="R275" t="s">
        <v>2401</v>
      </c>
      <c r="S275" t="s">
        <v>2401</v>
      </c>
    </row>
    <row r="276" spans="1:19">
      <c r="A276" t="s">
        <v>3534</v>
      </c>
      <c r="B276" t="s">
        <v>3535</v>
      </c>
      <c r="C276" t="s">
        <v>2401</v>
      </c>
      <c r="D276" t="s">
        <v>2401</v>
      </c>
      <c r="E276" t="s">
        <v>2401</v>
      </c>
      <c r="F276" t="s">
        <v>2401</v>
      </c>
      <c r="G276" t="s">
        <v>2401</v>
      </c>
      <c r="H276" t="s">
        <v>2401</v>
      </c>
      <c r="I276" t="s">
        <v>2401</v>
      </c>
      <c r="J276" t="s">
        <v>2401</v>
      </c>
      <c r="K276" t="s">
        <v>2406</v>
      </c>
      <c r="L276" t="s">
        <v>2401</v>
      </c>
      <c r="M276" s="14">
        <v>45390.607638888891</v>
      </c>
      <c r="N276" t="s">
        <v>2401</v>
      </c>
      <c r="O276" t="s">
        <v>3536</v>
      </c>
      <c r="P276" t="s">
        <v>2401</v>
      </c>
      <c r="Q276" t="s">
        <v>2401</v>
      </c>
      <c r="R276" t="s">
        <v>2401</v>
      </c>
      <c r="S276" t="s">
        <v>2401</v>
      </c>
    </row>
    <row r="277" spans="1:19">
      <c r="A277" t="s">
        <v>3537</v>
      </c>
      <c r="B277" t="s">
        <v>1231</v>
      </c>
      <c r="C277" t="s">
        <v>2401</v>
      </c>
      <c r="D277" t="s">
        <v>2401</v>
      </c>
      <c r="E277" t="s">
        <v>2401</v>
      </c>
      <c r="F277" t="s">
        <v>2401</v>
      </c>
      <c r="G277" t="s">
        <v>2401</v>
      </c>
      <c r="H277" t="s">
        <v>2401</v>
      </c>
      <c r="I277" t="s">
        <v>2401</v>
      </c>
      <c r="J277" t="s">
        <v>2401</v>
      </c>
      <c r="K277" t="s">
        <v>2401</v>
      </c>
      <c r="L277" t="s">
        <v>2401</v>
      </c>
      <c r="M277" s="14">
        <v>45399.554861111108</v>
      </c>
      <c r="N277" t="s">
        <v>2401</v>
      </c>
      <c r="O277" t="s">
        <v>2401</v>
      </c>
      <c r="P277" t="s">
        <v>2401</v>
      </c>
      <c r="Q277" t="s">
        <v>2401</v>
      </c>
      <c r="R277" t="s">
        <v>2401</v>
      </c>
      <c r="S277" t="s">
        <v>2401</v>
      </c>
    </row>
    <row r="278" spans="1:19">
      <c r="A278" t="s">
        <v>3538</v>
      </c>
      <c r="B278" t="s">
        <v>3539</v>
      </c>
      <c r="C278" t="s">
        <v>2401</v>
      </c>
      <c r="D278" t="s">
        <v>2401</v>
      </c>
      <c r="E278" t="s">
        <v>2401</v>
      </c>
      <c r="F278" t="s">
        <v>2401</v>
      </c>
      <c r="G278" t="s">
        <v>2401</v>
      </c>
      <c r="H278" t="s">
        <v>2401</v>
      </c>
      <c r="I278" t="s">
        <v>2401</v>
      </c>
      <c r="J278" t="s">
        <v>3540</v>
      </c>
      <c r="K278" t="s">
        <v>2406</v>
      </c>
      <c r="L278" t="s">
        <v>2401</v>
      </c>
      <c r="M278" s="14">
        <v>45399.554861111108</v>
      </c>
      <c r="N278" t="s">
        <v>3541</v>
      </c>
      <c r="O278" t="s">
        <v>3542</v>
      </c>
      <c r="P278" t="s">
        <v>2401</v>
      </c>
      <c r="Q278" t="s">
        <v>2401</v>
      </c>
      <c r="R278" t="s">
        <v>2401</v>
      </c>
      <c r="S278" t="s">
        <v>2401</v>
      </c>
    </row>
    <row r="279" spans="1:19">
      <c r="A279" t="s">
        <v>3543</v>
      </c>
      <c r="B279" t="s">
        <v>3544</v>
      </c>
      <c r="C279" t="s">
        <v>2401</v>
      </c>
      <c r="D279" t="s">
        <v>2401</v>
      </c>
      <c r="E279" t="s">
        <v>2401</v>
      </c>
      <c r="F279" t="s">
        <v>2401</v>
      </c>
      <c r="G279" t="s">
        <v>2401</v>
      </c>
      <c r="H279" t="s">
        <v>2401</v>
      </c>
      <c r="I279" t="s">
        <v>2401</v>
      </c>
      <c r="J279" t="s">
        <v>2401</v>
      </c>
      <c r="K279" t="s">
        <v>3308</v>
      </c>
      <c r="L279" t="s">
        <v>2401</v>
      </c>
      <c r="M279" s="14">
        <v>45390.607638888891</v>
      </c>
      <c r="N279" t="s">
        <v>2401</v>
      </c>
      <c r="O279" t="s">
        <v>2401</v>
      </c>
      <c r="P279" t="s">
        <v>2401</v>
      </c>
      <c r="Q279" t="s">
        <v>2401</v>
      </c>
      <c r="R279" t="s">
        <v>2401</v>
      </c>
      <c r="S279" t="s">
        <v>2401</v>
      </c>
    </row>
    <row r="280" spans="1:19">
      <c r="A280" t="s">
        <v>3545</v>
      </c>
      <c r="B280" t="s">
        <v>3546</v>
      </c>
      <c r="C280" t="s">
        <v>2401</v>
      </c>
      <c r="D280" t="s">
        <v>2401</v>
      </c>
      <c r="E280" t="s">
        <v>2401</v>
      </c>
      <c r="F280" t="s">
        <v>2401</v>
      </c>
      <c r="G280" t="s">
        <v>2401</v>
      </c>
      <c r="H280" t="s">
        <v>2401</v>
      </c>
      <c r="I280" t="s">
        <v>2401</v>
      </c>
      <c r="J280" t="s">
        <v>2401</v>
      </c>
      <c r="K280" t="s">
        <v>2401</v>
      </c>
      <c r="L280" t="s">
        <v>2401</v>
      </c>
      <c r="M280" s="14">
        <v>45399.554861111108</v>
      </c>
      <c r="N280" t="s">
        <v>2401</v>
      </c>
      <c r="O280" t="s">
        <v>2401</v>
      </c>
      <c r="P280" t="s">
        <v>2401</v>
      </c>
      <c r="Q280" t="s">
        <v>2401</v>
      </c>
      <c r="R280" t="s">
        <v>2401</v>
      </c>
      <c r="S280" t="s">
        <v>2401</v>
      </c>
    </row>
    <row r="281" spans="1:19">
      <c r="A281" t="s">
        <v>3547</v>
      </c>
      <c r="B281" t="s">
        <v>3548</v>
      </c>
      <c r="C281" t="s">
        <v>2401</v>
      </c>
      <c r="D281" t="s">
        <v>2401</v>
      </c>
      <c r="E281" t="s">
        <v>2401</v>
      </c>
      <c r="F281" t="s">
        <v>2401</v>
      </c>
      <c r="G281" t="s">
        <v>2401</v>
      </c>
      <c r="H281" t="s">
        <v>2401</v>
      </c>
      <c r="I281" t="s">
        <v>2401</v>
      </c>
      <c r="J281" t="s">
        <v>2401</v>
      </c>
      <c r="K281" t="s">
        <v>2401</v>
      </c>
      <c r="L281" t="s">
        <v>2401</v>
      </c>
      <c r="M281" s="14">
        <v>45399.554861111108</v>
      </c>
      <c r="N281" t="s">
        <v>2401</v>
      </c>
      <c r="O281" t="s">
        <v>2401</v>
      </c>
      <c r="P281" t="s">
        <v>2401</v>
      </c>
      <c r="Q281" t="s">
        <v>2401</v>
      </c>
      <c r="R281" t="s">
        <v>2401</v>
      </c>
      <c r="S281" t="s">
        <v>2401</v>
      </c>
    </row>
    <row r="282" spans="1:19">
      <c r="A282" t="s">
        <v>3549</v>
      </c>
      <c r="B282" t="s">
        <v>3550</v>
      </c>
      <c r="C282" t="s">
        <v>2401</v>
      </c>
      <c r="D282" t="s">
        <v>2401</v>
      </c>
      <c r="E282" t="s">
        <v>2401</v>
      </c>
      <c r="F282" t="s">
        <v>2401</v>
      </c>
      <c r="G282" t="s">
        <v>2401</v>
      </c>
      <c r="H282" t="s">
        <v>2401</v>
      </c>
      <c r="I282" t="s">
        <v>2401</v>
      </c>
      <c r="J282" t="s">
        <v>3551</v>
      </c>
      <c r="K282" t="s">
        <v>2438</v>
      </c>
      <c r="L282" t="s">
        <v>2401</v>
      </c>
      <c r="M282" s="14">
        <v>45534.874305555553</v>
      </c>
      <c r="N282" t="s">
        <v>3552</v>
      </c>
      <c r="O282" t="s">
        <v>2401</v>
      </c>
      <c r="P282" t="s">
        <v>2401</v>
      </c>
      <c r="Q282" t="s">
        <v>2401</v>
      </c>
      <c r="R282" t="s">
        <v>2401</v>
      </c>
      <c r="S282" t="s">
        <v>2401</v>
      </c>
    </row>
    <row r="283" spans="1:19">
      <c r="A283" t="s">
        <v>3553</v>
      </c>
      <c r="B283" t="s">
        <v>3554</v>
      </c>
      <c r="C283" t="s">
        <v>2401</v>
      </c>
      <c r="D283" t="s">
        <v>2401</v>
      </c>
      <c r="E283" t="s">
        <v>2401</v>
      </c>
      <c r="F283" t="s">
        <v>2401</v>
      </c>
      <c r="G283" t="s">
        <v>2401</v>
      </c>
      <c r="H283" t="s">
        <v>2401</v>
      </c>
      <c r="I283" t="s">
        <v>2401</v>
      </c>
      <c r="J283" t="s">
        <v>3555</v>
      </c>
      <c r="K283" t="s">
        <v>2499</v>
      </c>
      <c r="L283" t="s">
        <v>2401</v>
      </c>
      <c r="M283" s="14">
        <v>45565.671527777777</v>
      </c>
      <c r="N283" t="s">
        <v>3556</v>
      </c>
      <c r="O283" t="s">
        <v>2401</v>
      </c>
      <c r="P283" t="s">
        <v>2401</v>
      </c>
      <c r="Q283" t="s">
        <v>2401</v>
      </c>
      <c r="R283" t="s">
        <v>2401</v>
      </c>
      <c r="S283" t="s">
        <v>2401</v>
      </c>
    </row>
    <row r="284" spans="1:19">
      <c r="A284" t="s">
        <v>3557</v>
      </c>
      <c r="B284" t="s">
        <v>3558</v>
      </c>
      <c r="C284" t="s">
        <v>2401</v>
      </c>
      <c r="D284" t="s">
        <v>2401</v>
      </c>
      <c r="E284" t="s">
        <v>2401</v>
      </c>
      <c r="F284" t="s">
        <v>2401</v>
      </c>
      <c r="G284" t="s">
        <v>2401</v>
      </c>
      <c r="H284" t="s">
        <v>2401</v>
      </c>
      <c r="I284" t="s">
        <v>2401</v>
      </c>
      <c r="J284" t="s">
        <v>3559</v>
      </c>
      <c r="K284" t="s">
        <v>2492</v>
      </c>
      <c r="L284" t="s">
        <v>2401</v>
      </c>
      <c r="M284" s="14">
        <v>45565.676388888889</v>
      </c>
      <c r="N284" t="s">
        <v>3560</v>
      </c>
      <c r="O284" t="s">
        <v>3561</v>
      </c>
      <c r="P284" t="s">
        <v>2401</v>
      </c>
      <c r="Q284" t="s">
        <v>2401</v>
      </c>
      <c r="R284" t="s">
        <v>2401</v>
      </c>
      <c r="S284" t="s">
        <v>2401</v>
      </c>
    </row>
    <row r="285" spans="1:19">
      <c r="A285" t="s">
        <v>3562</v>
      </c>
      <c r="B285" t="s">
        <v>3563</v>
      </c>
      <c r="C285" t="s">
        <v>2401</v>
      </c>
      <c r="D285" t="s">
        <v>2401</v>
      </c>
      <c r="E285" t="s">
        <v>2401</v>
      </c>
      <c r="F285" t="s">
        <v>2401</v>
      </c>
      <c r="G285" t="s">
        <v>2401</v>
      </c>
      <c r="H285" t="s">
        <v>2401</v>
      </c>
      <c r="I285" t="s">
        <v>2401</v>
      </c>
      <c r="J285" t="s">
        <v>2401</v>
      </c>
      <c r="K285" t="s">
        <v>3564</v>
      </c>
      <c r="L285" t="s">
        <v>2401</v>
      </c>
      <c r="M285" s="14">
        <v>45390.607638888891</v>
      </c>
      <c r="N285" t="s">
        <v>2401</v>
      </c>
      <c r="O285" t="s">
        <v>3565</v>
      </c>
      <c r="P285" t="s">
        <v>2401</v>
      </c>
      <c r="Q285" t="s">
        <v>2401</v>
      </c>
      <c r="R285" t="s">
        <v>2401</v>
      </c>
      <c r="S285" t="s">
        <v>2401</v>
      </c>
    </row>
    <row r="286" spans="1:19">
      <c r="A286" t="s">
        <v>3566</v>
      </c>
      <c r="B286" t="s">
        <v>3567</v>
      </c>
      <c r="C286" t="s">
        <v>2401</v>
      </c>
      <c r="D286" t="s">
        <v>2401</v>
      </c>
      <c r="E286" t="s">
        <v>2401</v>
      </c>
      <c r="F286" t="s">
        <v>2401</v>
      </c>
      <c r="G286" t="s">
        <v>2401</v>
      </c>
      <c r="H286" t="s">
        <v>2401</v>
      </c>
      <c r="I286" t="s">
        <v>2401</v>
      </c>
      <c r="J286" t="s">
        <v>2401</v>
      </c>
      <c r="K286" t="s">
        <v>2401</v>
      </c>
      <c r="L286" t="s">
        <v>2401</v>
      </c>
      <c r="M286" s="14">
        <v>45399.554861111108</v>
      </c>
      <c r="N286" t="s">
        <v>2401</v>
      </c>
      <c r="O286" t="s">
        <v>2401</v>
      </c>
      <c r="P286" t="s">
        <v>2401</v>
      </c>
      <c r="Q286" t="s">
        <v>2401</v>
      </c>
      <c r="R286" t="s">
        <v>2401</v>
      </c>
      <c r="S286" t="s">
        <v>2401</v>
      </c>
    </row>
    <row r="287" spans="1:19">
      <c r="A287" t="s">
        <v>3568</v>
      </c>
      <c r="B287" t="s">
        <v>3569</v>
      </c>
      <c r="C287" t="s">
        <v>2401</v>
      </c>
      <c r="D287" t="s">
        <v>2401</v>
      </c>
      <c r="E287" t="s">
        <v>2401</v>
      </c>
      <c r="F287" t="s">
        <v>2401</v>
      </c>
      <c r="G287" t="s">
        <v>2401</v>
      </c>
      <c r="H287" t="s">
        <v>2401</v>
      </c>
      <c r="I287" t="s">
        <v>61</v>
      </c>
      <c r="J287" t="s">
        <v>3570</v>
      </c>
      <c r="K287" t="s">
        <v>2401</v>
      </c>
      <c r="L287" t="s">
        <v>2401</v>
      </c>
      <c r="M287" s="14">
        <v>45399.554861111108</v>
      </c>
      <c r="N287" t="s">
        <v>3571</v>
      </c>
      <c r="O287" t="s">
        <v>3572</v>
      </c>
      <c r="P287" t="s">
        <v>2401</v>
      </c>
      <c r="Q287" t="s">
        <v>2401</v>
      </c>
      <c r="R287" t="s">
        <v>2401</v>
      </c>
      <c r="S287" t="s">
        <v>2401</v>
      </c>
    </row>
    <row r="288" spans="1:19">
      <c r="A288" t="s">
        <v>3573</v>
      </c>
      <c r="B288" t="s">
        <v>3569</v>
      </c>
      <c r="C288" t="s">
        <v>2401</v>
      </c>
      <c r="D288" t="s">
        <v>2401</v>
      </c>
      <c r="E288" t="s">
        <v>2401</v>
      </c>
      <c r="F288" t="s">
        <v>2401</v>
      </c>
      <c r="G288" t="s">
        <v>2401</v>
      </c>
      <c r="H288" t="s">
        <v>2401</v>
      </c>
      <c r="I288" t="s">
        <v>2401</v>
      </c>
      <c r="J288" t="s">
        <v>2401</v>
      </c>
      <c r="K288" t="s">
        <v>2567</v>
      </c>
      <c r="L288" t="s">
        <v>2401</v>
      </c>
      <c r="M288" s="14">
        <v>45390.607638888891</v>
      </c>
      <c r="N288" t="s">
        <v>2401</v>
      </c>
      <c r="O288" t="s">
        <v>2586</v>
      </c>
      <c r="P288" t="s">
        <v>2401</v>
      </c>
      <c r="Q288" t="s">
        <v>2401</v>
      </c>
      <c r="R288" t="s">
        <v>2401</v>
      </c>
      <c r="S288" t="s">
        <v>2401</v>
      </c>
    </row>
    <row r="289" spans="1:19">
      <c r="A289" t="s">
        <v>3574</v>
      </c>
      <c r="B289" t="s">
        <v>3575</v>
      </c>
      <c r="C289" t="s">
        <v>2401</v>
      </c>
      <c r="D289" t="s">
        <v>2401</v>
      </c>
      <c r="E289" t="s">
        <v>2401</v>
      </c>
      <c r="F289" t="s">
        <v>2401</v>
      </c>
      <c r="G289" t="s">
        <v>2401</v>
      </c>
      <c r="H289" t="s">
        <v>2401</v>
      </c>
      <c r="I289" t="s">
        <v>2401</v>
      </c>
      <c r="J289" t="s">
        <v>2401</v>
      </c>
      <c r="K289" t="s">
        <v>2401</v>
      </c>
      <c r="L289" t="s">
        <v>2401</v>
      </c>
      <c r="M289" s="14">
        <v>45390.607638888891</v>
      </c>
      <c r="N289" t="s">
        <v>2401</v>
      </c>
      <c r="O289" t="s">
        <v>3576</v>
      </c>
      <c r="P289" t="s">
        <v>2401</v>
      </c>
      <c r="Q289" t="s">
        <v>2401</v>
      </c>
      <c r="R289" t="s">
        <v>2401</v>
      </c>
      <c r="S289" t="s">
        <v>2401</v>
      </c>
    </row>
    <row r="290" spans="1:19">
      <c r="A290" t="s">
        <v>3577</v>
      </c>
      <c r="B290" t="s">
        <v>3578</v>
      </c>
      <c r="C290" t="s">
        <v>2401</v>
      </c>
      <c r="D290" t="s">
        <v>2401</v>
      </c>
      <c r="E290" t="s">
        <v>2401</v>
      </c>
      <c r="F290" t="s">
        <v>2401</v>
      </c>
      <c r="G290" t="s">
        <v>2401</v>
      </c>
      <c r="H290" t="s">
        <v>2401</v>
      </c>
      <c r="I290" t="s">
        <v>2401</v>
      </c>
      <c r="J290" t="s">
        <v>3578</v>
      </c>
      <c r="K290" t="s">
        <v>2743</v>
      </c>
      <c r="L290" t="s">
        <v>2401</v>
      </c>
      <c r="M290" s="14">
        <v>45565.683333333334</v>
      </c>
      <c r="N290" t="s">
        <v>3579</v>
      </c>
      <c r="O290" t="s">
        <v>2401</v>
      </c>
      <c r="P290" t="s">
        <v>2401</v>
      </c>
      <c r="Q290" t="s">
        <v>2401</v>
      </c>
      <c r="R290" t="s">
        <v>2401</v>
      </c>
      <c r="S290" t="s">
        <v>2401</v>
      </c>
    </row>
    <row r="291" spans="1:19">
      <c r="A291" t="s">
        <v>3580</v>
      </c>
      <c r="B291" t="s">
        <v>3581</v>
      </c>
      <c r="C291" t="s">
        <v>2401</v>
      </c>
      <c r="D291" t="s">
        <v>2401</v>
      </c>
      <c r="E291" t="s">
        <v>2401</v>
      </c>
      <c r="F291" t="s">
        <v>2401</v>
      </c>
      <c r="G291" t="s">
        <v>2401</v>
      </c>
      <c r="H291" t="s">
        <v>2401</v>
      </c>
      <c r="I291" t="s">
        <v>2401</v>
      </c>
      <c r="J291" t="s">
        <v>3582</v>
      </c>
      <c r="K291" t="s">
        <v>2720</v>
      </c>
      <c r="L291" t="s">
        <v>2401</v>
      </c>
      <c r="M291" s="14">
        <v>45554.472916666666</v>
      </c>
      <c r="N291" t="s">
        <v>3583</v>
      </c>
      <c r="O291" t="s">
        <v>3584</v>
      </c>
      <c r="P291" t="s">
        <v>2401</v>
      </c>
      <c r="Q291" t="s">
        <v>2401</v>
      </c>
      <c r="R291" t="s">
        <v>2401</v>
      </c>
      <c r="S291" t="s">
        <v>2401</v>
      </c>
    </row>
    <row r="292" spans="1:19">
      <c r="A292" t="s">
        <v>3585</v>
      </c>
      <c r="B292" t="s">
        <v>3586</v>
      </c>
      <c r="C292" t="s">
        <v>2401</v>
      </c>
      <c r="D292" t="s">
        <v>2401</v>
      </c>
      <c r="E292" t="s">
        <v>2401</v>
      </c>
      <c r="F292" t="s">
        <v>2401</v>
      </c>
      <c r="G292" t="s">
        <v>2401</v>
      </c>
      <c r="H292" t="s">
        <v>2401</v>
      </c>
      <c r="I292" t="s">
        <v>2401</v>
      </c>
      <c r="J292" t="s">
        <v>3587</v>
      </c>
      <c r="K292" t="s">
        <v>3071</v>
      </c>
      <c r="L292" t="s">
        <v>2401</v>
      </c>
      <c r="M292" s="14">
        <v>45565.558333333334</v>
      </c>
      <c r="N292" t="s">
        <v>3588</v>
      </c>
      <c r="O292" t="s">
        <v>2401</v>
      </c>
      <c r="P292" t="s">
        <v>2401</v>
      </c>
      <c r="Q292" t="s">
        <v>2401</v>
      </c>
      <c r="R292" t="s">
        <v>2401</v>
      </c>
      <c r="S292" t="s">
        <v>2401</v>
      </c>
    </row>
    <row r="293" spans="1:19">
      <c r="A293" t="s">
        <v>3589</v>
      </c>
      <c r="B293" t="s">
        <v>3590</v>
      </c>
      <c r="C293" t="s">
        <v>2401</v>
      </c>
      <c r="D293" t="s">
        <v>2401</v>
      </c>
      <c r="E293" t="s">
        <v>2401</v>
      </c>
      <c r="F293" t="s">
        <v>2401</v>
      </c>
      <c r="G293" t="s">
        <v>2401</v>
      </c>
      <c r="H293" t="s">
        <v>2401</v>
      </c>
      <c r="I293" t="s">
        <v>2401</v>
      </c>
      <c r="J293" t="s">
        <v>3591</v>
      </c>
      <c r="K293" t="s">
        <v>3592</v>
      </c>
      <c r="L293" t="s">
        <v>2401</v>
      </c>
      <c r="M293" s="14">
        <v>45390.607638888891</v>
      </c>
      <c r="N293" t="s">
        <v>3593</v>
      </c>
      <c r="O293" t="s">
        <v>3594</v>
      </c>
      <c r="P293" t="s">
        <v>2401</v>
      </c>
      <c r="Q293" t="s">
        <v>2401</v>
      </c>
      <c r="R293" t="s">
        <v>2401</v>
      </c>
      <c r="S293" t="s">
        <v>2401</v>
      </c>
    </row>
    <row r="294" spans="1:19">
      <c r="A294" t="s">
        <v>3595</v>
      </c>
      <c r="B294" t="s">
        <v>3596</v>
      </c>
      <c r="C294" t="s">
        <v>2401</v>
      </c>
      <c r="D294" t="s">
        <v>2401</v>
      </c>
      <c r="E294" t="s">
        <v>2401</v>
      </c>
      <c r="F294" t="s">
        <v>2401</v>
      </c>
      <c r="G294" t="s">
        <v>2401</v>
      </c>
      <c r="H294" t="s">
        <v>2401</v>
      </c>
      <c r="I294" t="s">
        <v>2401</v>
      </c>
      <c r="J294" t="s">
        <v>2401</v>
      </c>
      <c r="K294" t="s">
        <v>2401</v>
      </c>
      <c r="L294" t="s">
        <v>2401</v>
      </c>
      <c r="M294" s="14">
        <v>45517.415972222225</v>
      </c>
      <c r="N294" t="s">
        <v>2401</v>
      </c>
      <c r="O294" t="s">
        <v>2401</v>
      </c>
      <c r="P294" t="s">
        <v>2401</v>
      </c>
      <c r="Q294" t="s">
        <v>2401</v>
      </c>
      <c r="R294" t="s">
        <v>2401</v>
      </c>
      <c r="S294" t="s">
        <v>2401</v>
      </c>
    </row>
    <row r="295" spans="1:19">
      <c r="A295" t="s">
        <v>3597</v>
      </c>
      <c r="B295" t="s">
        <v>3596</v>
      </c>
      <c r="C295" t="s">
        <v>2401</v>
      </c>
      <c r="D295" t="s">
        <v>2401</v>
      </c>
      <c r="E295" t="s">
        <v>2401</v>
      </c>
      <c r="F295" t="s">
        <v>2401</v>
      </c>
      <c r="G295" t="s">
        <v>2401</v>
      </c>
      <c r="H295" t="s">
        <v>2401</v>
      </c>
      <c r="I295" t="s">
        <v>2401</v>
      </c>
      <c r="J295" t="s">
        <v>3598</v>
      </c>
      <c r="K295" t="s">
        <v>2784</v>
      </c>
      <c r="L295" t="s">
        <v>2401</v>
      </c>
      <c r="M295" s="14">
        <v>45510.42291666667</v>
      </c>
      <c r="N295" t="s">
        <v>3599</v>
      </c>
      <c r="O295" t="s">
        <v>2401</v>
      </c>
      <c r="P295" t="s">
        <v>2401</v>
      </c>
      <c r="Q295" t="s">
        <v>2401</v>
      </c>
      <c r="R295" t="s">
        <v>2401</v>
      </c>
      <c r="S295" t="s">
        <v>2401</v>
      </c>
    </row>
    <row r="296" spans="1:19">
      <c r="A296" t="s">
        <v>3600</v>
      </c>
      <c r="B296" t="s">
        <v>3601</v>
      </c>
      <c r="C296" t="s">
        <v>2401</v>
      </c>
      <c r="D296" t="s">
        <v>2401</v>
      </c>
      <c r="E296" t="s">
        <v>2401</v>
      </c>
      <c r="F296" t="s">
        <v>2401</v>
      </c>
      <c r="G296" t="s">
        <v>2401</v>
      </c>
      <c r="H296" t="s">
        <v>2401</v>
      </c>
      <c r="I296" t="s">
        <v>2401</v>
      </c>
      <c r="J296" t="s">
        <v>3602</v>
      </c>
      <c r="K296" t="s">
        <v>2784</v>
      </c>
      <c r="L296" t="s">
        <v>2401</v>
      </c>
      <c r="M296" s="14">
        <v>45399.554861111108</v>
      </c>
      <c r="N296" t="s">
        <v>3603</v>
      </c>
      <c r="O296" t="s">
        <v>3604</v>
      </c>
      <c r="P296" t="s">
        <v>2401</v>
      </c>
      <c r="Q296" t="s">
        <v>2401</v>
      </c>
      <c r="R296" t="s">
        <v>2401</v>
      </c>
      <c r="S296" t="s">
        <v>2401</v>
      </c>
    </row>
    <row r="297" spans="1:19">
      <c r="A297" t="s">
        <v>3605</v>
      </c>
      <c r="B297" t="s">
        <v>3606</v>
      </c>
      <c r="C297" t="s">
        <v>2401</v>
      </c>
      <c r="D297" t="s">
        <v>2401</v>
      </c>
      <c r="E297" t="s">
        <v>2401</v>
      </c>
      <c r="F297" t="s">
        <v>2401</v>
      </c>
      <c r="G297" t="s">
        <v>2401</v>
      </c>
      <c r="H297" t="s">
        <v>2401</v>
      </c>
      <c r="I297" t="s">
        <v>2401</v>
      </c>
      <c r="J297" t="s">
        <v>3607</v>
      </c>
      <c r="K297" t="s">
        <v>3071</v>
      </c>
      <c r="L297" t="s">
        <v>2401</v>
      </c>
      <c r="M297" s="14">
        <v>45565.645138888889</v>
      </c>
      <c r="N297" t="s">
        <v>3608</v>
      </c>
      <c r="O297" t="s">
        <v>2401</v>
      </c>
      <c r="P297" t="s">
        <v>2401</v>
      </c>
      <c r="Q297" t="s">
        <v>2401</v>
      </c>
      <c r="R297" t="s">
        <v>2401</v>
      </c>
      <c r="S297" t="s">
        <v>2401</v>
      </c>
    </row>
    <row r="298" spans="1:19">
      <c r="A298" t="s">
        <v>3609</v>
      </c>
      <c r="B298" t="s">
        <v>3610</v>
      </c>
      <c r="C298" t="s">
        <v>2401</v>
      </c>
      <c r="D298" t="s">
        <v>2401</v>
      </c>
      <c r="E298" t="s">
        <v>2401</v>
      </c>
      <c r="F298" t="s">
        <v>2401</v>
      </c>
      <c r="G298" t="s">
        <v>2401</v>
      </c>
      <c r="H298" t="s">
        <v>2401</v>
      </c>
      <c r="I298" t="s">
        <v>2401</v>
      </c>
      <c r="J298" t="s">
        <v>3611</v>
      </c>
      <c r="K298" t="s">
        <v>3088</v>
      </c>
      <c r="L298" t="s">
        <v>2401</v>
      </c>
      <c r="M298" s="14">
        <v>45565.656944444447</v>
      </c>
      <c r="N298" t="s">
        <v>3612</v>
      </c>
      <c r="O298" t="s">
        <v>2401</v>
      </c>
      <c r="P298" t="s">
        <v>2401</v>
      </c>
      <c r="Q298" t="s">
        <v>2401</v>
      </c>
      <c r="R298" t="s">
        <v>2401</v>
      </c>
      <c r="S298" t="s">
        <v>2401</v>
      </c>
    </row>
    <row r="299" spans="1:19">
      <c r="A299" t="s">
        <v>3613</v>
      </c>
      <c r="B299" t="s">
        <v>1241</v>
      </c>
      <c r="C299" t="s">
        <v>2401</v>
      </c>
      <c r="D299" t="s">
        <v>2401</v>
      </c>
      <c r="E299" t="s">
        <v>2401</v>
      </c>
      <c r="F299" t="s">
        <v>2401</v>
      </c>
      <c r="G299" t="s">
        <v>2401</v>
      </c>
      <c r="H299" t="s">
        <v>2401</v>
      </c>
      <c r="I299" t="s">
        <v>2401</v>
      </c>
      <c r="J299" t="s">
        <v>3614</v>
      </c>
      <c r="K299" t="s">
        <v>2401</v>
      </c>
      <c r="L299" t="s">
        <v>2401</v>
      </c>
      <c r="M299" s="14">
        <v>45399.554861111108</v>
      </c>
      <c r="N299" t="s">
        <v>3615</v>
      </c>
      <c r="O299" t="s">
        <v>2401</v>
      </c>
      <c r="P299" t="s">
        <v>2401</v>
      </c>
      <c r="Q299" t="s">
        <v>2401</v>
      </c>
      <c r="R299" t="s">
        <v>2401</v>
      </c>
      <c r="S299" t="s">
        <v>2401</v>
      </c>
    </row>
    <row r="300" spans="1:19">
      <c r="A300" t="s">
        <v>3616</v>
      </c>
      <c r="B300" t="s">
        <v>3617</v>
      </c>
      <c r="C300" t="s">
        <v>2401</v>
      </c>
      <c r="D300" t="s">
        <v>2401</v>
      </c>
      <c r="E300" t="s">
        <v>2401</v>
      </c>
      <c r="F300" t="s">
        <v>2401</v>
      </c>
      <c r="G300" t="s">
        <v>2401</v>
      </c>
      <c r="H300" t="s">
        <v>2401</v>
      </c>
      <c r="I300" t="s">
        <v>2401</v>
      </c>
      <c r="J300" t="s">
        <v>2401</v>
      </c>
      <c r="K300" t="s">
        <v>2401</v>
      </c>
      <c r="L300" t="s">
        <v>2401</v>
      </c>
      <c r="M300" s="14">
        <v>45399.554861111108</v>
      </c>
      <c r="N300" t="s">
        <v>2401</v>
      </c>
      <c r="O300" t="s">
        <v>2401</v>
      </c>
      <c r="P300" t="s">
        <v>2401</v>
      </c>
      <c r="Q300" t="s">
        <v>2401</v>
      </c>
      <c r="R300" t="s">
        <v>2401</v>
      </c>
      <c r="S300" t="s">
        <v>2401</v>
      </c>
    </row>
    <row r="301" spans="1:19">
      <c r="A301" t="s">
        <v>3618</v>
      </c>
      <c r="B301" t="s">
        <v>3619</v>
      </c>
      <c r="C301" t="s">
        <v>2401</v>
      </c>
      <c r="D301" t="s">
        <v>2401</v>
      </c>
      <c r="E301" t="s">
        <v>2401</v>
      </c>
      <c r="F301" t="s">
        <v>2401</v>
      </c>
      <c r="G301" t="s">
        <v>2401</v>
      </c>
      <c r="H301" t="s">
        <v>2401</v>
      </c>
      <c r="I301" t="s">
        <v>2401</v>
      </c>
      <c r="J301" t="s">
        <v>3620</v>
      </c>
      <c r="K301" t="s">
        <v>3621</v>
      </c>
      <c r="L301" t="s">
        <v>2401</v>
      </c>
      <c r="M301" s="14">
        <v>45534.874305555553</v>
      </c>
      <c r="N301" t="s">
        <v>3622</v>
      </c>
      <c r="O301" t="s">
        <v>3623</v>
      </c>
      <c r="P301" t="s">
        <v>2401</v>
      </c>
      <c r="Q301" t="s">
        <v>2401</v>
      </c>
      <c r="R301" t="s">
        <v>2401</v>
      </c>
      <c r="S301" t="s">
        <v>2401</v>
      </c>
    </row>
    <row r="302" spans="1:19">
      <c r="A302" t="s">
        <v>3624</v>
      </c>
      <c r="B302" t="s">
        <v>3619</v>
      </c>
      <c r="C302" t="s">
        <v>2401</v>
      </c>
      <c r="D302" t="s">
        <v>2401</v>
      </c>
      <c r="E302" t="s">
        <v>2401</v>
      </c>
      <c r="F302" t="s">
        <v>2401</v>
      </c>
      <c r="G302" t="s">
        <v>2401</v>
      </c>
      <c r="H302" t="s">
        <v>2401</v>
      </c>
      <c r="I302" t="s">
        <v>61</v>
      </c>
      <c r="J302" t="s">
        <v>3625</v>
      </c>
      <c r="K302" t="s">
        <v>3621</v>
      </c>
      <c r="L302" t="s">
        <v>2401</v>
      </c>
      <c r="M302" s="14">
        <v>45399.554861111108</v>
      </c>
      <c r="N302" t="s">
        <v>3626</v>
      </c>
      <c r="O302" t="s">
        <v>3623</v>
      </c>
      <c r="P302" t="s">
        <v>2401</v>
      </c>
      <c r="Q302" t="s">
        <v>2401</v>
      </c>
      <c r="R302" t="s">
        <v>2401</v>
      </c>
      <c r="S302" t="s">
        <v>2401</v>
      </c>
    </row>
    <row r="303" spans="1:19">
      <c r="A303" t="s">
        <v>3627</v>
      </c>
      <c r="B303" t="s">
        <v>3619</v>
      </c>
      <c r="C303" t="s">
        <v>2401</v>
      </c>
      <c r="D303" t="s">
        <v>2401</v>
      </c>
      <c r="E303" t="s">
        <v>2401</v>
      </c>
      <c r="F303" t="s">
        <v>2401</v>
      </c>
      <c r="G303" t="s">
        <v>2401</v>
      </c>
      <c r="H303" t="s">
        <v>2401</v>
      </c>
      <c r="I303" t="s">
        <v>2401</v>
      </c>
      <c r="J303" t="s">
        <v>2401</v>
      </c>
      <c r="K303" t="s">
        <v>3621</v>
      </c>
      <c r="L303" t="s">
        <v>2401</v>
      </c>
      <c r="M303" s="14">
        <v>45390.607638888891</v>
      </c>
      <c r="N303" t="s">
        <v>2401</v>
      </c>
      <c r="O303" t="s">
        <v>3628</v>
      </c>
      <c r="P303" t="s">
        <v>2401</v>
      </c>
      <c r="Q303" t="s">
        <v>2401</v>
      </c>
      <c r="R303" t="s">
        <v>2401</v>
      </c>
      <c r="S303" t="s">
        <v>2401</v>
      </c>
    </row>
    <row r="304" spans="1:19">
      <c r="A304" t="s">
        <v>3629</v>
      </c>
      <c r="B304" t="s">
        <v>3630</v>
      </c>
      <c r="C304" t="s">
        <v>2401</v>
      </c>
      <c r="D304" t="s">
        <v>2401</v>
      </c>
      <c r="E304" t="s">
        <v>2401</v>
      </c>
      <c r="F304" t="s">
        <v>2401</v>
      </c>
      <c r="G304" t="s">
        <v>2401</v>
      </c>
      <c r="H304" t="s">
        <v>2401</v>
      </c>
      <c r="I304" t="s">
        <v>2401</v>
      </c>
      <c r="J304" t="s">
        <v>3630</v>
      </c>
      <c r="K304" t="s">
        <v>2401</v>
      </c>
      <c r="L304" t="s">
        <v>2401</v>
      </c>
      <c r="M304" s="14">
        <v>45565.69027777778</v>
      </c>
      <c r="N304" t="s">
        <v>2401</v>
      </c>
      <c r="O304" t="s">
        <v>2401</v>
      </c>
      <c r="P304" t="s">
        <v>2401</v>
      </c>
      <c r="Q304" t="s">
        <v>2401</v>
      </c>
      <c r="R304" t="s">
        <v>2401</v>
      </c>
      <c r="S304" t="s">
        <v>2401</v>
      </c>
    </row>
    <row r="305" spans="1:19">
      <c r="A305" t="s">
        <v>3631</v>
      </c>
      <c r="B305" t="s">
        <v>3632</v>
      </c>
      <c r="C305" t="s">
        <v>2401</v>
      </c>
      <c r="D305" t="s">
        <v>2401</v>
      </c>
      <c r="E305" t="s">
        <v>2401</v>
      </c>
      <c r="F305" t="s">
        <v>2401</v>
      </c>
      <c r="G305" t="s">
        <v>2401</v>
      </c>
      <c r="H305" t="s">
        <v>2401</v>
      </c>
      <c r="I305" t="s">
        <v>2401</v>
      </c>
      <c r="J305" t="s">
        <v>3633</v>
      </c>
      <c r="K305" t="s">
        <v>2448</v>
      </c>
      <c r="L305" t="s">
        <v>2401</v>
      </c>
      <c r="M305" s="14">
        <v>45384.566666666666</v>
      </c>
      <c r="N305" t="s">
        <v>3634</v>
      </c>
      <c r="O305" t="s">
        <v>2401</v>
      </c>
      <c r="P305" t="s">
        <v>3635</v>
      </c>
      <c r="Q305">
        <v>2</v>
      </c>
      <c r="R305" t="s">
        <v>2401</v>
      </c>
      <c r="S305" t="s">
        <v>3636</v>
      </c>
    </row>
    <row r="306" spans="1:19">
      <c r="A306" t="s">
        <v>3637</v>
      </c>
      <c r="B306" t="s">
        <v>3638</v>
      </c>
      <c r="C306" t="s">
        <v>2401</v>
      </c>
      <c r="D306" t="s">
        <v>2401</v>
      </c>
      <c r="E306" t="s">
        <v>2401</v>
      </c>
      <c r="F306" t="s">
        <v>2401</v>
      </c>
      <c r="G306" t="s">
        <v>2401</v>
      </c>
      <c r="H306" t="s">
        <v>2401</v>
      </c>
      <c r="I306" t="s">
        <v>2401</v>
      </c>
      <c r="J306" t="s">
        <v>3638</v>
      </c>
      <c r="K306" t="s">
        <v>2401</v>
      </c>
      <c r="L306" t="s">
        <v>2401</v>
      </c>
      <c r="M306" s="14">
        <v>45534.874305555553</v>
      </c>
      <c r="N306" t="s">
        <v>2401</v>
      </c>
      <c r="O306" t="s">
        <v>2401</v>
      </c>
      <c r="P306" t="s">
        <v>2401</v>
      </c>
      <c r="Q306" t="s">
        <v>2401</v>
      </c>
      <c r="R306" t="s">
        <v>2401</v>
      </c>
      <c r="S306" t="s">
        <v>2401</v>
      </c>
    </row>
    <row r="307" spans="1:19">
      <c r="A307" t="s">
        <v>3639</v>
      </c>
      <c r="B307" t="s">
        <v>3640</v>
      </c>
      <c r="C307" t="s">
        <v>2401</v>
      </c>
      <c r="D307" t="s">
        <v>2401</v>
      </c>
      <c r="E307" t="s">
        <v>2401</v>
      </c>
      <c r="F307" t="s">
        <v>2401</v>
      </c>
      <c r="G307" t="s">
        <v>2401</v>
      </c>
      <c r="H307" t="s">
        <v>2401</v>
      </c>
      <c r="I307" t="s">
        <v>2401</v>
      </c>
      <c r="J307" t="s">
        <v>3641</v>
      </c>
      <c r="K307" t="s">
        <v>3071</v>
      </c>
      <c r="L307" t="s">
        <v>2401</v>
      </c>
      <c r="M307" s="14">
        <v>45565.665972222225</v>
      </c>
      <c r="N307" t="s">
        <v>3642</v>
      </c>
      <c r="O307" t="s">
        <v>2401</v>
      </c>
      <c r="P307" t="s">
        <v>2401</v>
      </c>
      <c r="Q307" t="s">
        <v>2401</v>
      </c>
      <c r="R307" t="s">
        <v>2401</v>
      </c>
      <c r="S307" t="s">
        <v>2401</v>
      </c>
    </row>
    <row r="308" spans="1:19">
      <c r="A308" t="s">
        <v>3643</v>
      </c>
      <c r="B308" t="s">
        <v>3644</v>
      </c>
      <c r="C308" t="s">
        <v>2401</v>
      </c>
      <c r="D308" t="s">
        <v>2401</v>
      </c>
      <c r="E308" t="s">
        <v>2401</v>
      </c>
      <c r="F308" t="s">
        <v>2401</v>
      </c>
      <c r="G308" t="s">
        <v>2401</v>
      </c>
      <c r="H308" t="s">
        <v>2401</v>
      </c>
      <c r="I308" t="s">
        <v>2401</v>
      </c>
      <c r="J308" t="s">
        <v>3645</v>
      </c>
      <c r="K308" t="s">
        <v>2749</v>
      </c>
      <c r="L308" t="s">
        <v>2401</v>
      </c>
      <c r="M308" s="14">
        <v>45565.665972222225</v>
      </c>
      <c r="N308" t="s">
        <v>3646</v>
      </c>
      <c r="O308" t="s">
        <v>2401</v>
      </c>
      <c r="P308" t="s">
        <v>2401</v>
      </c>
      <c r="Q308" t="s">
        <v>2401</v>
      </c>
      <c r="R308" t="s">
        <v>2401</v>
      </c>
      <c r="S308" t="s">
        <v>2401</v>
      </c>
    </row>
    <row r="309" spans="1:19">
      <c r="A309" t="s">
        <v>3647</v>
      </c>
      <c r="B309" t="s">
        <v>3648</v>
      </c>
      <c r="C309" t="s">
        <v>2401</v>
      </c>
      <c r="D309" t="s">
        <v>2401</v>
      </c>
      <c r="E309" t="s">
        <v>2401</v>
      </c>
      <c r="F309" t="s">
        <v>2401</v>
      </c>
      <c r="G309" t="s">
        <v>2401</v>
      </c>
      <c r="H309" t="s">
        <v>2401</v>
      </c>
      <c r="I309" t="s">
        <v>2401</v>
      </c>
      <c r="J309" t="s">
        <v>3649</v>
      </c>
      <c r="K309" t="s">
        <v>2709</v>
      </c>
      <c r="L309" t="s">
        <v>2401</v>
      </c>
      <c r="M309" s="14">
        <v>45565.681250000001</v>
      </c>
      <c r="N309" t="s">
        <v>3650</v>
      </c>
      <c r="O309" t="s">
        <v>3651</v>
      </c>
      <c r="P309" t="s">
        <v>2401</v>
      </c>
      <c r="Q309" t="s">
        <v>2401</v>
      </c>
      <c r="R309" t="s">
        <v>2401</v>
      </c>
      <c r="S309" t="s">
        <v>2401</v>
      </c>
    </row>
    <row r="310" spans="1:19">
      <c r="A310" t="s">
        <v>3652</v>
      </c>
      <c r="B310" t="s">
        <v>3653</v>
      </c>
      <c r="C310" t="s">
        <v>2401</v>
      </c>
      <c r="D310" t="s">
        <v>2401</v>
      </c>
      <c r="E310" t="s">
        <v>2401</v>
      </c>
      <c r="F310" t="s">
        <v>2401</v>
      </c>
      <c r="G310" t="s">
        <v>2401</v>
      </c>
      <c r="H310" t="s">
        <v>2401</v>
      </c>
      <c r="I310" t="s">
        <v>2401</v>
      </c>
      <c r="J310" t="s">
        <v>3654</v>
      </c>
      <c r="K310" t="s">
        <v>3155</v>
      </c>
      <c r="L310" t="s">
        <v>2401</v>
      </c>
      <c r="M310" s="14">
        <v>45399.554861111108</v>
      </c>
      <c r="N310" t="s">
        <v>3655</v>
      </c>
      <c r="O310" t="s">
        <v>3656</v>
      </c>
      <c r="P310" t="s">
        <v>2401</v>
      </c>
      <c r="Q310" t="s">
        <v>2401</v>
      </c>
      <c r="R310" t="s">
        <v>2401</v>
      </c>
      <c r="S310" t="s">
        <v>2401</v>
      </c>
    </row>
    <row r="311" spans="1:19">
      <c r="A311" t="s">
        <v>3657</v>
      </c>
      <c r="B311" t="s">
        <v>3658</v>
      </c>
      <c r="C311" t="s">
        <v>2401</v>
      </c>
      <c r="D311" t="s">
        <v>2401</v>
      </c>
      <c r="E311" t="s">
        <v>2401</v>
      </c>
      <c r="F311" t="s">
        <v>2401</v>
      </c>
      <c r="G311" t="s">
        <v>2401</v>
      </c>
      <c r="H311" t="s">
        <v>2401</v>
      </c>
      <c r="I311" t="s">
        <v>2401</v>
      </c>
      <c r="J311" t="s">
        <v>2401</v>
      </c>
      <c r="K311" t="s">
        <v>2401</v>
      </c>
      <c r="L311" t="s">
        <v>2401</v>
      </c>
      <c r="M311" s="14">
        <v>45422.895833333336</v>
      </c>
      <c r="N311" t="s">
        <v>2401</v>
      </c>
      <c r="O311" t="s">
        <v>2401</v>
      </c>
      <c r="P311" t="s">
        <v>2401</v>
      </c>
      <c r="Q311" t="s">
        <v>2401</v>
      </c>
      <c r="R311" t="s">
        <v>2401</v>
      </c>
      <c r="S311" t="s">
        <v>2401</v>
      </c>
    </row>
    <row r="312" spans="1:19">
      <c r="A312" t="s">
        <v>3659</v>
      </c>
      <c r="B312" t="s">
        <v>3658</v>
      </c>
      <c r="C312" t="s">
        <v>2401</v>
      </c>
      <c r="D312" t="s">
        <v>2401</v>
      </c>
      <c r="E312" t="s">
        <v>2401</v>
      </c>
      <c r="F312" t="s">
        <v>2401</v>
      </c>
      <c r="G312" t="s">
        <v>2401</v>
      </c>
      <c r="H312" t="s">
        <v>2401</v>
      </c>
      <c r="I312" t="s">
        <v>2401</v>
      </c>
      <c r="J312" t="s">
        <v>2401</v>
      </c>
      <c r="K312" t="s">
        <v>2401</v>
      </c>
      <c r="L312" t="s">
        <v>2401</v>
      </c>
      <c r="M312" s="14">
        <v>45422.895833333336</v>
      </c>
      <c r="N312" t="s">
        <v>2401</v>
      </c>
      <c r="O312" t="s">
        <v>2401</v>
      </c>
      <c r="P312" t="s">
        <v>2401</v>
      </c>
      <c r="Q312" t="s">
        <v>2401</v>
      </c>
      <c r="R312" t="s">
        <v>2401</v>
      </c>
      <c r="S312" t="s">
        <v>2401</v>
      </c>
    </row>
    <row r="313" spans="1:19">
      <c r="A313" t="s">
        <v>3660</v>
      </c>
      <c r="B313" t="s">
        <v>3661</v>
      </c>
      <c r="C313" t="s">
        <v>2401</v>
      </c>
      <c r="D313" t="s">
        <v>2401</v>
      </c>
      <c r="E313" t="s">
        <v>2401</v>
      </c>
      <c r="F313" t="s">
        <v>2401</v>
      </c>
      <c r="G313" t="s">
        <v>2401</v>
      </c>
      <c r="H313" t="s">
        <v>2401</v>
      </c>
      <c r="I313" t="s">
        <v>2401</v>
      </c>
      <c r="J313" t="s">
        <v>3662</v>
      </c>
      <c r="K313" t="s">
        <v>3663</v>
      </c>
      <c r="L313" t="s">
        <v>2401</v>
      </c>
      <c r="M313" s="14">
        <v>45509.718055555553</v>
      </c>
      <c r="N313" t="s">
        <v>3664</v>
      </c>
      <c r="O313" t="s">
        <v>2401</v>
      </c>
      <c r="P313" t="s">
        <v>2401</v>
      </c>
      <c r="Q313" t="s">
        <v>2401</v>
      </c>
      <c r="R313" t="s">
        <v>2401</v>
      </c>
      <c r="S313" t="s">
        <v>2401</v>
      </c>
    </row>
    <row r="314" spans="1:19">
      <c r="A314" t="s">
        <v>3665</v>
      </c>
      <c r="B314" t="s">
        <v>3666</v>
      </c>
      <c r="C314" t="s">
        <v>2401</v>
      </c>
      <c r="D314" t="s">
        <v>2401</v>
      </c>
      <c r="E314" t="s">
        <v>2401</v>
      </c>
      <c r="F314" t="s">
        <v>2401</v>
      </c>
      <c r="G314" t="s">
        <v>2401</v>
      </c>
      <c r="H314" t="s">
        <v>2401</v>
      </c>
      <c r="I314" t="s">
        <v>2401</v>
      </c>
      <c r="J314" t="s">
        <v>3667</v>
      </c>
      <c r="K314" t="s">
        <v>2401</v>
      </c>
      <c r="L314" t="s">
        <v>2401</v>
      </c>
      <c r="M314" s="14">
        <v>45565.65</v>
      </c>
      <c r="N314" t="s">
        <v>2401</v>
      </c>
      <c r="O314" t="s">
        <v>2401</v>
      </c>
      <c r="P314" t="s">
        <v>2401</v>
      </c>
      <c r="Q314" t="s">
        <v>2401</v>
      </c>
      <c r="R314" t="s">
        <v>2401</v>
      </c>
      <c r="S314" t="s">
        <v>2401</v>
      </c>
    </row>
    <row r="315" spans="1:19">
      <c r="A315" t="s">
        <v>3668</v>
      </c>
      <c r="B315" t="s">
        <v>3669</v>
      </c>
      <c r="C315" t="s">
        <v>2401</v>
      </c>
      <c r="D315" t="s">
        <v>2401</v>
      </c>
      <c r="E315" t="s">
        <v>2401</v>
      </c>
      <c r="F315" t="s">
        <v>2401</v>
      </c>
      <c r="G315" t="s">
        <v>2401</v>
      </c>
      <c r="H315" t="s">
        <v>2401</v>
      </c>
      <c r="I315" t="s">
        <v>2401</v>
      </c>
      <c r="J315" t="s">
        <v>3670</v>
      </c>
      <c r="K315" t="s">
        <v>2406</v>
      </c>
      <c r="L315" t="s">
        <v>2401</v>
      </c>
      <c r="M315" s="14">
        <v>45534.874305555553</v>
      </c>
      <c r="N315" t="s">
        <v>3671</v>
      </c>
      <c r="O315" t="s">
        <v>3672</v>
      </c>
      <c r="P315" t="s">
        <v>2401</v>
      </c>
      <c r="Q315" t="s">
        <v>2401</v>
      </c>
      <c r="R315" t="s">
        <v>2401</v>
      </c>
      <c r="S315" t="s">
        <v>2401</v>
      </c>
    </row>
    <row r="316" spans="1:19">
      <c r="A316" t="s">
        <v>3673</v>
      </c>
      <c r="B316" t="s">
        <v>3674</v>
      </c>
      <c r="C316" t="s">
        <v>2401</v>
      </c>
      <c r="D316" t="s">
        <v>2401</v>
      </c>
      <c r="E316" t="s">
        <v>2401</v>
      </c>
      <c r="F316" t="s">
        <v>2401</v>
      </c>
      <c r="G316" t="s">
        <v>2401</v>
      </c>
      <c r="H316" t="s">
        <v>2401</v>
      </c>
      <c r="I316" t="s">
        <v>2401</v>
      </c>
      <c r="J316" t="s">
        <v>3675</v>
      </c>
      <c r="K316" t="s">
        <v>2433</v>
      </c>
      <c r="L316" t="s">
        <v>2401</v>
      </c>
      <c r="M316" s="14">
        <v>45565.570833333331</v>
      </c>
      <c r="N316" t="s">
        <v>3676</v>
      </c>
      <c r="O316" t="s">
        <v>3677</v>
      </c>
      <c r="P316" t="s">
        <v>2401</v>
      </c>
      <c r="Q316" t="s">
        <v>2401</v>
      </c>
      <c r="R316" t="s">
        <v>2401</v>
      </c>
      <c r="S316" t="s">
        <v>2401</v>
      </c>
    </row>
    <row r="317" spans="1:19">
      <c r="A317" t="s">
        <v>3678</v>
      </c>
      <c r="B317" t="s">
        <v>3674</v>
      </c>
      <c r="C317" t="s">
        <v>2401</v>
      </c>
      <c r="D317" t="s">
        <v>2401</v>
      </c>
      <c r="E317" t="s">
        <v>2401</v>
      </c>
      <c r="F317" t="s">
        <v>2401</v>
      </c>
      <c r="G317" t="s">
        <v>2401</v>
      </c>
      <c r="H317" t="s">
        <v>2401</v>
      </c>
      <c r="I317" t="s">
        <v>2401</v>
      </c>
      <c r="J317" t="s">
        <v>3675</v>
      </c>
      <c r="K317" t="s">
        <v>2433</v>
      </c>
      <c r="L317" t="s">
        <v>2401</v>
      </c>
      <c r="M317" s="14">
        <v>45565.570833333331</v>
      </c>
      <c r="N317" t="s">
        <v>3676</v>
      </c>
      <c r="O317" t="s">
        <v>3677</v>
      </c>
      <c r="P317" t="s">
        <v>2401</v>
      </c>
      <c r="Q317" t="s">
        <v>2401</v>
      </c>
      <c r="R317" t="s">
        <v>2401</v>
      </c>
      <c r="S317" t="s">
        <v>2401</v>
      </c>
    </row>
    <row r="318" spans="1:19">
      <c r="A318" t="s">
        <v>3679</v>
      </c>
      <c r="B318" t="s">
        <v>3680</v>
      </c>
      <c r="C318" t="s">
        <v>2401</v>
      </c>
      <c r="D318" t="s">
        <v>2401</v>
      </c>
      <c r="E318" t="s">
        <v>2401</v>
      </c>
      <c r="F318" t="s">
        <v>2401</v>
      </c>
      <c r="G318" t="s">
        <v>2401</v>
      </c>
      <c r="H318" t="s">
        <v>2401</v>
      </c>
      <c r="I318" t="s">
        <v>2401</v>
      </c>
      <c r="J318" t="s">
        <v>3680</v>
      </c>
      <c r="K318" t="s">
        <v>2401</v>
      </c>
      <c r="L318" t="s">
        <v>2401</v>
      </c>
      <c r="M318" s="14">
        <v>45534.874305555553</v>
      </c>
      <c r="N318" t="s">
        <v>2401</v>
      </c>
      <c r="O318" t="s">
        <v>2401</v>
      </c>
      <c r="P318" t="s">
        <v>2401</v>
      </c>
      <c r="Q318" t="s">
        <v>2401</v>
      </c>
      <c r="R318" t="s">
        <v>2401</v>
      </c>
      <c r="S318" t="s">
        <v>2401</v>
      </c>
    </row>
    <row r="319" spans="1:19">
      <c r="A319" t="s">
        <v>3681</v>
      </c>
      <c r="B319" t="s">
        <v>3682</v>
      </c>
      <c r="C319" t="s">
        <v>2401</v>
      </c>
      <c r="D319" t="s">
        <v>2401</v>
      </c>
      <c r="E319" t="s">
        <v>2401</v>
      </c>
      <c r="F319" t="s">
        <v>2401</v>
      </c>
      <c r="G319" t="s">
        <v>2401</v>
      </c>
      <c r="H319" t="s">
        <v>2401</v>
      </c>
      <c r="I319" t="s">
        <v>2401</v>
      </c>
      <c r="J319" t="s">
        <v>3683</v>
      </c>
      <c r="K319" t="s">
        <v>2406</v>
      </c>
      <c r="L319" t="s">
        <v>2401</v>
      </c>
      <c r="M319" s="14">
        <v>45534.874305555553</v>
      </c>
      <c r="N319" t="s">
        <v>3684</v>
      </c>
      <c r="O319" t="s">
        <v>2401</v>
      </c>
      <c r="P319" t="s">
        <v>2401</v>
      </c>
      <c r="Q319" t="s">
        <v>2401</v>
      </c>
      <c r="R319" t="s">
        <v>2401</v>
      </c>
      <c r="S319" t="s">
        <v>2401</v>
      </c>
    </row>
    <row r="320" spans="1:19">
      <c r="A320" t="s">
        <v>3685</v>
      </c>
      <c r="B320" t="s">
        <v>3686</v>
      </c>
      <c r="C320" t="s">
        <v>2401</v>
      </c>
      <c r="D320" t="s">
        <v>2401</v>
      </c>
      <c r="E320" t="s">
        <v>2401</v>
      </c>
      <c r="F320" t="s">
        <v>2401</v>
      </c>
      <c r="G320" t="s">
        <v>2401</v>
      </c>
      <c r="H320" t="s">
        <v>2401</v>
      </c>
      <c r="I320" t="s">
        <v>2401</v>
      </c>
      <c r="J320" t="s">
        <v>3687</v>
      </c>
      <c r="K320" t="s">
        <v>2448</v>
      </c>
      <c r="L320" t="s">
        <v>2549</v>
      </c>
      <c r="M320" s="14">
        <v>45520.395833333336</v>
      </c>
      <c r="N320" t="s">
        <v>3688</v>
      </c>
      <c r="O320" t="s">
        <v>2401</v>
      </c>
      <c r="P320" t="s">
        <v>2401</v>
      </c>
      <c r="Q320" t="s">
        <v>2401</v>
      </c>
      <c r="R320" t="s">
        <v>2401</v>
      </c>
      <c r="S320" t="s">
        <v>2401</v>
      </c>
    </row>
    <row r="321" spans="1:19">
      <c r="A321" t="s">
        <v>3689</v>
      </c>
      <c r="B321" t="s">
        <v>3690</v>
      </c>
      <c r="C321" t="s">
        <v>2401</v>
      </c>
      <c r="D321" t="s">
        <v>2401</v>
      </c>
      <c r="E321" t="s">
        <v>2401</v>
      </c>
      <c r="F321" t="s">
        <v>2401</v>
      </c>
      <c r="G321" t="s">
        <v>2401</v>
      </c>
      <c r="H321" t="s">
        <v>2401</v>
      </c>
      <c r="I321" t="s">
        <v>2401</v>
      </c>
      <c r="J321" t="s">
        <v>2401</v>
      </c>
      <c r="K321" t="s">
        <v>2448</v>
      </c>
      <c r="L321" t="s">
        <v>2538</v>
      </c>
      <c r="M321" s="14">
        <v>45390.607638888891</v>
      </c>
      <c r="N321" t="s">
        <v>2401</v>
      </c>
      <c r="O321" t="s">
        <v>2401</v>
      </c>
      <c r="P321" t="s">
        <v>3691</v>
      </c>
      <c r="Q321">
        <v>1</v>
      </c>
      <c r="R321" t="s">
        <v>2401</v>
      </c>
      <c r="S321" t="s">
        <v>3692</v>
      </c>
    </row>
    <row r="322" spans="1:19">
      <c r="A322" t="s">
        <v>3693</v>
      </c>
      <c r="B322" t="s">
        <v>3690</v>
      </c>
      <c r="C322" t="s">
        <v>2401</v>
      </c>
      <c r="D322" t="s">
        <v>2401</v>
      </c>
      <c r="E322" t="s">
        <v>2401</v>
      </c>
      <c r="F322" t="s">
        <v>2401</v>
      </c>
      <c r="G322" t="s">
        <v>2401</v>
      </c>
      <c r="H322" t="s">
        <v>2401</v>
      </c>
      <c r="I322" t="s">
        <v>2401</v>
      </c>
      <c r="J322" t="s">
        <v>2401</v>
      </c>
      <c r="K322" t="s">
        <v>2448</v>
      </c>
      <c r="L322" t="s">
        <v>2538</v>
      </c>
      <c r="M322" s="14">
        <v>45072.720138888886</v>
      </c>
      <c r="N322" t="s">
        <v>2401</v>
      </c>
      <c r="O322" t="s">
        <v>2401</v>
      </c>
      <c r="P322" t="s">
        <v>2401</v>
      </c>
      <c r="Q322" t="s">
        <v>2401</v>
      </c>
      <c r="R322" t="s">
        <v>2401</v>
      </c>
      <c r="S322" t="s">
        <v>2401</v>
      </c>
    </row>
    <row r="323" spans="1:19">
      <c r="A323" t="s">
        <v>3694</v>
      </c>
      <c r="B323" t="s">
        <v>3695</v>
      </c>
      <c r="C323" t="s">
        <v>2401</v>
      </c>
      <c r="D323" t="s">
        <v>2401</v>
      </c>
      <c r="E323" t="s">
        <v>2401</v>
      </c>
      <c r="F323" t="s">
        <v>2401</v>
      </c>
      <c r="G323" t="s">
        <v>2401</v>
      </c>
      <c r="H323" t="s">
        <v>2401</v>
      </c>
      <c r="I323" t="s">
        <v>2401</v>
      </c>
      <c r="J323" t="s">
        <v>3696</v>
      </c>
      <c r="K323" t="s">
        <v>2448</v>
      </c>
      <c r="L323" t="s">
        <v>2538</v>
      </c>
      <c r="M323" s="14">
        <v>45527.734027777777</v>
      </c>
      <c r="N323" t="s">
        <v>3697</v>
      </c>
      <c r="O323" t="s">
        <v>2401</v>
      </c>
      <c r="P323" t="s">
        <v>2401</v>
      </c>
      <c r="Q323" t="s">
        <v>2401</v>
      </c>
      <c r="R323" t="s">
        <v>2401</v>
      </c>
      <c r="S323" t="s">
        <v>2401</v>
      </c>
    </row>
    <row r="324" spans="1:19">
      <c r="A324" t="s">
        <v>3698</v>
      </c>
      <c r="B324" t="s">
        <v>3699</v>
      </c>
      <c r="C324" t="s">
        <v>2401</v>
      </c>
      <c r="D324" t="s">
        <v>2401</v>
      </c>
      <c r="E324" t="s">
        <v>2401</v>
      </c>
      <c r="F324" t="s">
        <v>2401</v>
      </c>
      <c r="G324" t="s">
        <v>2401</v>
      </c>
      <c r="H324" t="s">
        <v>2401</v>
      </c>
      <c r="I324" t="s">
        <v>2401</v>
      </c>
      <c r="J324" t="s">
        <v>3700</v>
      </c>
      <c r="K324" t="s">
        <v>2749</v>
      </c>
      <c r="L324" t="s">
        <v>2401</v>
      </c>
      <c r="M324" s="14">
        <v>45524.806944444441</v>
      </c>
      <c r="N324" t="s">
        <v>3701</v>
      </c>
      <c r="O324" t="s">
        <v>2401</v>
      </c>
      <c r="P324" t="s">
        <v>2401</v>
      </c>
      <c r="Q324" t="s">
        <v>2401</v>
      </c>
      <c r="R324" t="s">
        <v>2401</v>
      </c>
      <c r="S324" t="s">
        <v>2401</v>
      </c>
    </row>
    <row r="325" spans="1:19">
      <c r="A325" t="s">
        <v>3702</v>
      </c>
      <c r="B325" t="s">
        <v>3703</v>
      </c>
      <c r="C325" t="s">
        <v>2401</v>
      </c>
      <c r="D325" t="s">
        <v>2401</v>
      </c>
      <c r="E325" t="s">
        <v>2401</v>
      </c>
      <c r="F325" t="s">
        <v>2401</v>
      </c>
      <c r="G325" t="s">
        <v>2401</v>
      </c>
      <c r="H325" t="s">
        <v>2401</v>
      </c>
      <c r="I325" t="s">
        <v>2401</v>
      </c>
      <c r="J325" t="s">
        <v>3704</v>
      </c>
      <c r="K325" t="s">
        <v>3705</v>
      </c>
      <c r="L325" t="s">
        <v>2401</v>
      </c>
      <c r="M325" s="14">
        <v>45399.554861111108</v>
      </c>
      <c r="N325" t="s">
        <v>3706</v>
      </c>
      <c r="O325" t="s">
        <v>3707</v>
      </c>
      <c r="P325" t="s">
        <v>2401</v>
      </c>
      <c r="Q325" t="s">
        <v>2401</v>
      </c>
      <c r="R325" t="s">
        <v>2401</v>
      </c>
      <c r="S325" t="s">
        <v>2401</v>
      </c>
    </row>
    <row r="326" spans="1:19">
      <c r="A326" t="s">
        <v>3708</v>
      </c>
      <c r="B326" t="s">
        <v>1256</v>
      </c>
      <c r="C326" t="s">
        <v>2401</v>
      </c>
      <c r="D326" t="s">
        <v>2401</v>
      </c>
      <c r="E326" t="s">
        <v>2401</v>
      </c>
      <c r="F326" t="s">
        <v>2401</v>
      </c>
      <c r="G326" t="s">
        <v>2401</v>
      </c>
      <c r="H326" t="s">
        <v>2401</v>
      </c>
      <c r="I326" t="s">
        <v>2401</v>
      </c>
      <c r="J326" t="s">
        <v>3709</v>
      </c>
      <c r="K326" t="s">
        <v>2438</v>
      </c>
      <c r="L326" t="s">
        <v>2401</v>
      </c>
      <c r="M326" s="14">
        <v>45565.554166666669</v>
      </c>
      <c r="N326" t="s">
        <v>3710</v>
      </c>
      <c r="O326" t="s">
        <v>3711</v>
      </c>
      <c r="P326" t="s">
        <v>2401</v>
      </c>
      <c r="Q326" t="s">
        <v>2401</v>
      </c>
      <c r="R326" t="s">
        <v>2401</v>
      </c>
      <c r="S326" t="s">
        <v>2401</v>
      </c>
    </row>
    <row r="327" spans="1:19">
      <c r="A327" t="s">
        <v>3712</v>
      </c>
      <c r="B327" t="s">
        <v>1256</v>
      </c>
      <c r="C327" t="s">
        <v>2401</v>
      </c>
      <c r="D327" t="s">
        <v>2401</v>
      </c>
      <c r="E327" t="s">
        <v>2401</v>
      </c>
      <c r="F327" t="s">
        <v>2401</v>
      </c>
      <c r="G327" t="s">
        <v>2401</v>
      </c>
      <c r="H327" t="s">
        <v>2401</v>
      </c>
      <c r="I327" t="s">
        <v>61</v>
      </c>
      <c r="J327" t="s">
        <v>2401</v>
      </c>
      <c r="K327" t="s">
        <v>2401</v>
      </c>
      <c r="L327" t="s">
        <v>2401</v>
      </c>
      <c r="M327" s="14">
        <v>45399.554861111108</v>
      </c>
      <c r="N327" t="s">
        <v>2401</v>
      </c>
      <c r="O327" t="s">
        <v>2401</v>
      </c>
      <c r="P327" t="s">
        <v>2401</v>
      </c>
      <c r="Q327" t="s">
        <v>2401</v>
      </c>
      <c r="R327" t="s">
        <v>2401</v>
      </c>
      <c r="S327" t="s">
        <v>2401</v>
      </c>
    </row>
    <row r="328" spans="1:19">
      <c r="A328" t="s">
        <v>3713</v>
      </c>
      <c r="B328" t="s">
        <v>3714</v>
      </c>
      <c r="C328" t="s">
        <v>2401</v>
      </c>
      <c r="D328" t="s">
        <v>2401</v>
      </c>
      <c r="E328" t="s">
        <v>2401</v>
      </c>
      <c r="F328" t="s">
        <v>2401</v>
      </c>
      <c r="G328" t="s">
        <v>2401</v>
      </c>
      <c r="H328" t="s">
        <v>2401</v>
      </c>
      <c r="I328" t="s">
        <v>2401</v>
      </c>
      <c r="J328" t="s">
        <v>2401</v>
      </c>
      <c r="K328" t="s">
        <v>2401</v>
      </c>
      <c r="L328" t="s">
        <v>2401</v>
      </c>
      <c r="M328" s="14">
        <v>45390.607638888891</v>
      </c>
      <c r="N328" t="s">
        <v>2401</v>
      </c>
      <c r="O328" t="s">
        <v>2401</v>
      </c>
      <c r="P328" t="s">
        <v>2401</v>
      </c>
      <c r="Q328" t="s">
        <v>2401</v>
      </c>
      <c r="R328" t="s">
        <v>2401</v>
      </c>
      <c r="S328" t="s">
        <v>2401</v>
      </c>
    </row>
    <row r="329" spans="1:19">
      <c r="A329" t="s">
        <v>3715</v>
      </c>
      <c r="B329" t="s">
        <v>3716</v>
      </c>
      <c r="C329" t="s">
        <v>2401</v>
      </c>
      <c r="D329" t="s">
        <v>2401</v>
      </c>
      <c r="E329" t="s">
        <v>2401</v>
      </c>
      <c r="F329" t="s">
        <v>2401</v>
      </c>
      <c r="G329" t="s">
        <v>2401</v>
      </c>
      <c r="H329" t="s">
        <v>2401</v>
      </c>
      <c r="I329" t="s">
        <v>61</v>
      </c>
      <c r="J329" t="s">
        <v>3717</v>
      </c>
      <c r="K329" t="s">
        <v>3718</v>
      </c>
      <c r="L329" t="s">
        <v>2401</v>
      </c>
      <c r="M329" s="14">
        <v>45399.554861111108</v>
      </c>
      <c r="N329" t="s">
        <v>3719</v>
      </c>
      <c r="O329" t="s">
        <v>3720</v>
      </c>
      <c r="P329" t="s">
        <v>2401</v>
      </c>
      <c r="Q329" t="s">
        <v>2401</v>
      </c>
      <c r="R329" t="s">
        <v>2401</v>
      </c>
      <c r="S329" t="s">
        <v>2401</v>
      </c>
    </row>
    <row r="330" spans="1:19">
      <c r="A330" t="s">
        <v>3721</v>
      </c>
      <c r="B330" t="s">
        <v>3722</v>
      </c>
      <c r="C330" t="s">
        <v>2401</v>
      </c>
      <c r="D330" t="s">
        <v>2401</v>
      </c>
      <c r="E330" t="s">
        <v>2401</v>
      </c>
      <c r="F330" t="s">
        <v>2401</v>
      </c>
      <c r="G330" t="s">
        <v>2401</v>
      </c>
      <c r="H330" t="s">
        <v>2401</v>
      </c>
      <c r="I330" t="s">
        <v>2401</v>
      </c>
      <c r="J330" t="s">
        <v>3723</v>
      </c>
      <c r="K330" t="s">
        <v>2401</v>
      </c>
      <c r="L330" t="s">
        <v>2401</v>
      </c>
      <c r="M330" s="14">
        <v>45565.656944444447</v>
      </c>
      <c r="N330" t="s">
        <v>3724</v>
      </c>
      <c r="O330" t="s">
        <v>3725</v>
      </c>
      <c r="P330" t="s">
        <v>2401</v>
      </c>
      <c r="Q330" t="s">
        <v>2401</v>
      </c>
      <c r="R330" t="s">
        <v>2401</v>
      </c>
      <c r="S330" t="s">
        <v>2401</v>
      </c>
    </row>
    <row r="331" spans="1:19">
      <c r="A331" t="s">
        <v>3726</v>
      </c>
      <c r="B331" t="s">
        <v>3727</v>
      </c>
      <c r="C331" t="s">
        <v>2401</v>
      </c>
      <c r="D331" t="s">
        <v>2401</v>
      </c>
      <c r="E331" t="s">
        <v>2401</v>
      </c>
      <c r="F331" t="s">
        <v>2401</v>
      </c>
      <c r="G331" t="s">
        <v>2401</v>
      </c>
      <c r="H331" t="s">
        <v>2401</v>
      </c>
      <c r="I331" t="s">
        <v>2401</v>
      </c>
      <c r="J331" t="s">
        <v>3728</v>
      </c>
      <c r="K331" t="s">
        <v>3518</v>
      </c>
      <c r="L331" t="s">
        <v>2401</v>
      </c>
      <c r="M331" s="14">
        <v>45399.554861111108</v>
      </c>
      <c r="N331" t="s">
        <v>3729</v>
      </c>
      <c r="O331" t="s">
        <v>3730</v>
      </c>
      <c r="P331" t="s">
        <v>2401</v>
      </c>
      <c r="Q331" t="s">
        <v>2401</v>
      </c>
      <c r="R331" t="s">
        <v>2401</v>
      </c>
      <c r="S331" t="s">
        <v>2401</v>
      </c>
    </row>
    <row r="332" spans="1:19">
      <c r="A332" t="s">
        <v>3731</v>
      </c>
      <c r="B332" t="s">
        <v>3732</v>
      </c>
      <c r="C332" t="s">
        <v>2401</v>
      </c>
      <c r="D332" t="s">
        <v>2401</v>
      </c>
      <c r="E332" t="s">
        <v>2401</v>
      </c>
      <c r="F332" t="s">
        <v>2401</v>
      </c>
      <c r="G332" t="s">
        <v>2401</v>
      </c>
      <c r="H332" t="s">
        <v>2401</v>
      </c>
      <c r="I332" t="s">
        <v>2401</v>
      </c>
      <c r="J332" t="s">
        <v>3733</v>
      </c>
      <c r="K332" t="s">
        <v>2438</v>
      </c>
      <c r="L332" t="s">
        <v>2401</v>
      </c>
      <c r="M332" s="14">
        <v>45399.554861111108</v>
      </c>
      <c r="N332" t="s">
        <v>3734</v>
      </c>
      <c r="O332" t="s">
        <v>2401</v>
      </c>
      <c r="P332" t="s">
        <v>2401</v>
      </c>
      <c r="Q332" t="s">
        <v>2401</v>
      </c>
      <c r="R332" t="s">
        <v>2401</v>
      </c>
      <c r="S332" t="s">
        <v>2401</v>
      </c>
    </row>
    <row r="333" spans="1:19">
      <c r="A333" t="s">
        <v>3735</v>
      </c>
      <c r="B333" t="s">
        <v>3736</v>
      </c>
      <c r="C333" t="s">
        <v>2401</v>
      </c>
      <c r="D333" t="s">
        <v>2401</v>
      </c>
      <c r="E333" t="s">
        <v>2401</v>
      </c>
      <c r="F333" t="s">
        <v>2401</v>
      </c>
      <c r="G333" t="s">
        <v>2401</v>
      </c>
      <c r="H333" t="s">
        <v>2401</v>
      </c>
      <c r="I333" t="s">
        <v>2401</v>
      </c>
      <c r="J333" t="s">
        <v>2401</v>
      </c>
      <c r="K333" t="s">
        <v>2548</v>
      </c>
      <c r="L333" t="s">
        <v>2538</v>
      </c>
      <c r="M333" s="14">
        <v>45390.607638888891</v>
      </c>
      <c r="N333" t="s">
        <v>2401</v>
      </c>
      <c r="O333" t="s">
        <v>2401</v>
      </c>
      <c r="P333" t="s">
        <v>2401</v>
      </c>
      <c r="Q333" t="s">
        <v>2401</v>
      </c>
      <c r="R333" t="s">
        <v>2401</v>
      </c>
      <c r="S333" t="s">
        <v>2401</v>
      </c>
    </row>
    <row r="334" spans="1:19">
      <c r="A334" t="s">
        <v>3737</v>
      </c>
      <c r="B334" t="s">
        <v>3738</v>
      </c>
      <c r="C334" t="s">
        <v>2401</v>
      </c>
      <c r="D334" t="s">
        <v>2401</v>
      </c>
      <c r="E334" t="s">
        <v>2401</v>
      </c>
      <c r="F334" t="s">
        <v>2401</v>
      </c>
      <c r="G334" t="s">
        <v>2401</v>
      </c>
      <c r="H334" t="s">
        <v>2401</v>
      </c>
      <c r="I334" t="s">
        <v>2401</v>
      </c>
      <c r="J334" t="s">
        <v>3739</v>
      </c>
      <c r="K334" t="s">
        <v>2448</v>
      </c>
      <c r="L334" t="s">
        <v>2401</v>
      </c>
      <c r="M334" s="14">
        <v>45534.874305555553</v>
      </c>
      <c r="N334" t="s">
        <v>3740</v>
      </c>
      <c r="O334" t="s">
        <v>3741</v>
      </c>
      <c r="P334" t="s">
        <v>2401</v>
      </c>
      <c r="Q334" t="s">
        <v>2401</v>
      </c>
      <c r="R334" t="s">
        <v>2401</v>
      </c>
      <c r="S334" t="s">
        <v>2401</v>
      </c>
    </row>
    <row r="335" spans="1:19">
      <c r="A335" t="s">
        <v>3742</v>
      </c>
      <c r="B335" t="s">
        <v>3743</v>
      </c>
      <c r="C335" t="s">
        <v>2401</v>
      </c>
      <c r="D335" t="s">
        <v>2401</v>
      </c>
      <c r="E335" t="s">
        <v>2401</v>
      </c>
      <c r="F335" t="s">
        <v>2401</v>
      </c>
      <c r="G335" t="s">
        <v>2401</v>
      </c>
      <c r="H335" t="s">
        <v>2401</v>
      </c>
      <c r="I335" t="s">
        <v>2401</v>
      </c>
      <c r="J335" t="s">
        <v>3744</v>
      </c>
      <c r="K335" t="s">
        <v>3218</v>
      </c>
      <c r="L335" t="s">
        <v>2401</v>
      </c>
      <c r="M335" s="14">
        <v>45534.874305555553</v>
      </c>
      <c r="N335" t="s">
        <v>3745</v>
      </c>
      <c r="O335" t="s">
        <v>3746</v>
      </c>
      <c r="P335" t="s">
        <v>2401</v>
      </c>
      <c r="Q335" t="s">
        <v>2401</v>
      </c>
      <c r="R335" t="s">
        <v>2401</v>
      </c>
      <c r="S335" t="s">
        <v>2401</v>
      </c>
    </row>
    <row r="336" spans="1:19">
      <c r="A336" t="s">
        <v>3747</v>
      </c>
      <c r="B336" t="s">
        <v>1265</v>
      </c>
      <c r="C336" t="s">
        <v>2401</v>
      </c>
      <c r="D336" t="s">
        <v>2401</v>
      </c>
      <c r="E336" t="s">
        <v>2401</v>
      </c>
      <c r="F336" t="s">
        <v>2401</v>
      </c>
      <c r="G336" t="s">
        <v>2401</v>
      </c>
      <c r="H336" t="s">
        <v>2401</v>
      </c>
      <c r="I336" t="s">
        <v>2401</v>
      </c>
      <c r="J336" t="s">
        <v>2401</v>
      </c>
      <c r="K336" t="s">
        <v>2401</v>
      </c>
      <c r="L336" t="s">
        <v>2401</v>
      </c>
      <c r="M336" s="14">
        <v>45426.496527777781</v>
      </c>
      <c r="N336" t="s">
        <v>2401</v>
      </c>
      <c r="O336" t="s">
        <v>2401</v>
      </c>
      <c r="P336" t="s">
        <v>3748</v>
      </c>
      <c r="Q336">
        <v>1</v>
      </c>
      <c r="R336" t="s">
        <v>2401</v>
      </c>
      <c r="S336" t="s">
        <v>3749</v>
      </c>
    </row>
    <row r="337" spans="1:19">
      <c r="A337" t="s">
        <v>3750</v>
      </c>
      <c r="B337" t="s">
        <v>1268</v>
      </c>
      <c r="C337" t="s">
        <v>2401</v>
      </c>
      <c r="D337" t="s">
        <v>2401</v>
      </c>
      <c r="E337" t="s">
        <v>2401</v>
      </c>
      <c r="F337" t="s">
        <v>2401</v>
      </c>
      <c r="G337" t="s">
        <v>2401</v>
      </c>
      <c r="H337" t="s">
        <v>2401</v>
      </c>
      <c r="I337" t="s">
        <v>2401</v>
      </c>
      <c r="J337" t="s">
        <v>3751</v>
      </c>
      <c r="K337" t="s">
        <v>2615</v>
      </c>
      <c r="L337" t="s">
        <v>2401</v>
      </c>
      <c r="M337" s="14">
        <v>45565.566666666666</v>
      </c>
      <c r="N337" t="s">
        <v>3752</v>
      </c>
      <c r="O337" t="s">
        <v>3753</v>
      </c>
      <c r="P337" t="s">
        <v>2401</v>
      </c>
      <c r="Q337" t="s">
        <v>2401</v>
      </c>
      <c r="R337" t="s">
        <v>2401</v>
      </c>
      <c r="S337" t="s">
        <v>2401</v>
      </c>
    </row>
    <row r="338" spans="1:19">
      <c r="A338" t="s">
        <v>3754</v>
      </c>
      <c r="B338" t="s">
        <v>3755</v>
      </c>
      <c r="C338" t="s">
        <v>2401</v>
      </c>
      <c r="D338" t="s">
        <v>2401</v>
      </c>
      <c r="E338" t="s">
        <v>2401</v>
      </c>
      <c r="F338" t="s">
        <v>2401</v>
      </c>
      <c r="G338" t="s">
        <v>2401</v>
      </c>
      <c r="H338" t="s">
        <v>2401</v>
      </c>
      <c r="I338" t="s">
        <v>2401</v>
      </c>
      <c r="J338" t="s">
        <v>2401</v>
      </c>
      <c r="K338" t="s">
        <v>2401</v>
      </c>
      <c r="L338" t="s">
        <v>2401</v>
      </c>
      <c r="M338" s="14">
        <v>45399.554861111108</v>
      </c>
      <c r="N338" t="s">
        <v>2401</v>
      </c>
      <c r="O338" t="s">
        <v>2401</v>
      </c>
      <c r="P338" t="s">
        <v>2401</v>
      </c>
      <c r="Q338" t="s">
        <v>2401</v>
      </c>
      <c r="R338" t="s">
        <v>2401</v>
      </c>
      <c r="S338" t="s">
        <v>2401</v>
      </c>
    </row>
    <row r="339" spans="1:19">
      <c r="A339" t="s">
        <v>3756</v>
      </c>
      <c r="B339" t="s">
        <v>3757</v>
      </c>
      <c r="C339" t="s">
        <v>2401</v>
      </c>
      <c r="D339" t="s">
        <v>2401</v>
      </c>
      <c r="E339" t="s">
        <v>2401</v>
      </c>
      <c r="F339" t="s">
        <v>2401</v>
      </c>
      <c r="G339" t="s">
        <v>2401</v>
      </c>
      <c r="H339" t="s">
        <v>2401</v>
      </c>
      <c r="I339" t="s">
        <v>2401</v>
      </c>
      <c r="J339" t="s">
        <v>2401</v>
      </c>
      <c r="K339" t="s">
        <v>2401</v>
      </c>
      <c r="L339" t="s">
        <v>2401</v>
      </c>
      <c r="M339" s="14">
        <v>45399.554861111108</v>
      </c>
      <c r="N339" t="s">
        <v>2401</v>
      </c>
      <c r="O339" t="s">
        <v>2401</v>
      </c>
      <c r="P339" t="s">
        <v>2401</v>
      </c>
      <c r="Q339" t="s">
        <v>2401</v>
      </c>
      <c r="R339" t="s">
        <v>2401</v>
      </c>
      <c r="S339" t="s">
        <v>2401</v>
      </c>
    </row>
    <row r="340" spans="1:19">
      <c r="A340" t="s">
        <v>3758</v>
      </c>
      <c r="B340" t="s">
        <v>3759</v>
      </c>
      <c r="C340" t="s">
        <v>2401</v>
      </c>
      <c r="D340" t="s">
        <v>2401</v>
      </c>
      <c r="E340" t="s">
        <v>2401</v>
      </c>
      <c r="F340" t="s">
        <v>2401</v>
      </c>
      <c r="G340" t="s">
        <v>2401</v>
      </c>
      <c r="H340" t="s">
        <v>2401</v>
      </c>
      <c r="I340" t="s">
        <v>2401</v>
      </c>
      <c r="J340" t="s">
        <v>3760</v>
      </c>
      <c r="K340" t="s">
        <v>3473</v>
      </c>
      <c r="L340" t="s">
        <v>2401</v>
      </c>
      <c r="M340" s="14">
        <v>45565.656944444447</v>
      </c>
      <c r="N340" t="s">
        <v>3761</v>
      </c>
      <c r="O340" t="s">
        <v>3762</v>
      </c>
      <c r="P340" t="s">
        <v>2401</v>
      </c>
      <c r="Q340" t="s">
        <v>2401</v>
      </c>
      <c r="R340" t="s">
        <v>2401</v>
      </c>
      <c r="S340" t="s">
        <v>2401</v>
      </c>
    </row>
    <row r="341" spans="1:19">
      <c r="A341" t="s">
        <v>3763</v>
      </c>
      <c r="B341" t="s">
        <v>3764</v>
      </c>
      <c r="C341" t="s">
        <v>2401</v>
      </c>
      <c r="D341" t="s">
        <v>2401</v>
      </c>
      <c r="E341" t="s">
        <v>2401</v>
      </c>
      <c r="F341" t="s">
        <v>2401</v>
      </c>
      <c r="G341" t="s">
        <v>2401</v>
      </c>
      <c r="H341" t="s">
        <v>2401</v>
      </c>
      <c r="I341" t="s">
        <v>2401</v>
      </c>
      <c r="J341" t="s">
        <v>3765</v>
      </c>
      <c r="K341" t="s">
        <v>2548</v>
      </c>
      <c r="L341" t="s">
        <v>2401</v>
      </c>
      <c r="M341" s="14">
        <v>45384.563888888886</v>
      </c>
      <c r="N341" t="s">
        <v>3766</v>
      </c>
      <c r="O341" t="s">
        <v>3741</v>
      </c>
      <c r="P341" t="s">
        <v>3767</v>
      </c>
      <c r="Q341">
        <v>2</v>
      </c>
      <c r="R341" t="s">
        <v>2401</v>
      </c>
      <c r="S341" t="s">
        <v>3768</v>
      </c>
    </row>
    <row r="342" spans="1:19">
      <c r="A342" t="s">
        <v>3769</v>
      </c>
      <c r="B342" t="s">
        <v>3770</v>
      </c>
      <c r="C342" t="s">
        <v>2401</v>
      </c>
      <c r="D342" t="s">
        <v>2401</v>
      </c>
      <c r="E342" t="s">
        <v>2401</v>
      </c>
      <c r="F342" t="s">
        <v>2401</v>
      </c>
      <c r="G342" t="s">
        <v>2401</v>
      </c>
      <c r="H342" t="s">
        <v>2401</v>
      </c>
      <c r="I342" t="s">
        <v>2401</v>
      </c>
      <c r="J342" t="s">
        <v>3771</v>
      </c>
      <c r="K342" t="s">
        <v>2433</v>
      </c>
      <c r="L342" t="s">
        <v>2401</v>
      </c>
      <c r="M342" s="14">
        <v>45565.65</v>
      </c>
      <c r="N342" t="s">
        <v>3772</v>
      </c>
      <c r="O342" t="s">
        <v>3773</v>
      </c>
      <c r="P342" t="s">
        <v>2401</v>
      </c>
      <c r="Q342" t="s">
        <v>2401</v>
      </c>
      <c r="R342" t="s">
        <v>2401</v>
      </c>
      <c r="S342" t="s">
        <v>2401</v>
      </c>
    </row>
    <row r="343" spans="1:19">
      <c r="A343" t="s">
        <v>3774</v>
      </c>
      <c r="B343" t="s">
        <v>3775</v>
      </c>
      <c r="C343" t="s">
        <v>2401</v>
      </c>
      <c r="D343" t="s">
        <v>2401</v>
      </c>
      <c r="E343" t="s">
        <v>2401</v>
      </c>
      <c r="F343" t="s">
        <v>2401</v>
      </c>
      <c r="G343" t="s">
        <v>2401</v>
      </c>
      <c r="H343" t="s">
        <v>2401</v>
      </c>
      <c r="I343" t="s">
        <v>2401</v>
      </c>
      <c r="J343" t="s">
        <v>2401</v>
      </c>
      <c r="K343" t="s">
        <v>2401</v>
      </c>
      <c r="L343" t="s">
        <v>2401</v>
      </c>
      <c r="M343" s="14">
        <v>45399.554861111108</v>
      </c>
      <c r="N343" t="s">
        <v>2401</v>
      </c>
      <c r="O343" t="s">
        <v>2401</v>
      </c>
      <c r="P343" t="s">
        <v>2401</v>
      </c>
      <c r="Q343" t="s">
        <v>2401</v>
      </c>
      <c r="R343" t="s">
        <v>2401</v>
      </c>
      <c r="S343" t="s">
        <v>2401</v>
      </c>
    </row>
    <row r="344" spans="1:19">
      <c r="A344" t="s">
        <v>3776</v>
      </c>
      <c r="B344" t="s">
        <v>3777</v>
      </c>
      <c r="C344" t="s">
        <v>2401</v>
      </c>
      <c r="D344" t="s">
        <v>2401</v>
      </c>
      <c r="E344" t="s">
        <v>2401</v>
      </c>
      <c r="F344" t="s">
        <v>2401</v>
      </c>
      <c r="G344" t="s">
        <v>2401</v>
      </c>
      <c r="H344" t="s">
        <v>2401</v>
      </c>
      <c r="I344" t="s">
        <v>2401</v>
      </c>
      <c r="J344" t="s">
        <v>3778</v>
      </c>
      <c r="K344" t="s">
        <v>2406</v>
      </c>
      <c r="L344" t="s">
        <v>2401</v>
      </c>
      <c r="M344" s="14">
        <v>45399.554861111108</v>
      </c>
      <c r="N344" t="s">
        <v>3779</v>
      </c>
      <c r="O344" t="s">
        <v>2401</v>
      </c>
      <c r="P344" t="s">
        <v>2401</v>
      </c>
      <c r="Q344" t="s">
        <v>2401</v>
      </c>
      <c r="R344" t="s">
        <v>2401</v>
      </c>
      <c r="S344" t="s">
        <v>2401</v>
      </c>
    </row>
    <row r="345" spans="1:19">
      <c r="A345" t="s">
        <v>3780</v>
      </c>
      <c r="B345" t="s">
        <v>3781</v>
      </c>
      <c r="C345" t="s">
        <v>2401</v>
      </c>
      <c r="D345" t="s">
        <v>2401</v>
      </c>
      <c r="E345" t="s">
        <v>2401</v>
      </c>
      <c r="F345" t="s">
        <v>2401</v>
      </c>
      <c r="G345" t="s">
        <v>2401</v>
      </c>
      <c r="H345" t="s">
        <v>2401</v>
      </c>
      <c r="I345" t="s">
        <v>2401</v>
      </c>
      <c r="J345" t="s">
        <v>3782</v>
      </c>
      <c r="K345" t="s">
        <v>2406</v>
      </c>
      <c r="L345" t="s">
        <v>2401</v>
      </c>
      <c r="M345" s="14">
        <v>45534.874305555553</v>
      </c>
      <c r="N345" t="s">
        <v>3783</v>
      </c>
      <c r="O345" t="s">
        <v>2401</v>
      </c>
      <c r="P345" t="s">
        <v>2401</v>
      </c>
      <c r="Q345" t="s">
        <v>2401</v>
      </c>
      <c r="R345" t="s">
        <v>2401</v>
      </c>
      <c r="S345" t="s">
        <v>2401</v>
      </c>
    </row>
    <row r="346" spans="1:19">
      <c r="A346" t="s">
        <v>3784</v>
      </c>
      <c r="B346" t="s">
        <v>3785</v>
      </c>
      <c r="C346" t="s">
        <v>2564</v>
      </c>
      <c r="D346" t="s">
        <v>3786</v>
      </c>
      <c r="E346" t="s">
        <v>3787</v>
      </c>
      <c r="F346" t="s">
        <v>3788</v>
      </c>
      <c r="G346" t="s">
        <v>3789</v>
      </c>
      <c r="H346" t="s">
        <v>3790</v>
      </c>
      <c r="I346" t="s">
        <v>2401</v>
      </c>
      <c r="J346" t="s">
        <v>3785</v>
      </c>
      <c r="K346" t="s">
        <v>2406</v>
      </c>
      <c r="L346" t="s">
        <v>2401</v>
      </c>
      <c r="M346" s="14">
        <v>45534.874305555553</v>
      </c>
      <c r="N346" t="s">
        <v>2401</v>
      </c>
      <c r="O346" t="s">
        <v>2401</v>
      </c>
      <c r="P346" t="s">
        <v>2401</v>
      </c>
      <c r="Q346" t="s">
        <v>2401</v>
      </c>
      <c r="R346" t="s">
        <v>2401</v>
      </c>
      <c r="S346" t="s">
        <v>2401</v>
      </c>
    </row>
    <row r="347" spans="1:19">
      <c r="A347" t="s">
        <v>3791</v>
      </c>
      <c r="B347" t="s">
        <v>3792</v>
      </c>
      <c r="C347" t="s">
        <v>2401</v>
      </c>
      <c r="D347" t="s">
        <v>2401</v>
      </c>
      <c r="E347" t="s">
        <v>2401</v>
      </c>
      <c r="F347" t="s">
        <v>2401</v>
      </c>
      <c r="G347" t="s">
        <v>2401</v>
      </c>
      <c r="H347" t="s">
        <v>2401</v>
      </c>
      <c r="I347" t="s">
        <v>2401</v>
      </c>
      <c r="J347" t="s">
        <v>2401</v>
      </c>
      <c r="K347" t="s">
        <v>2401</v>
      </c>
      <c r="L347" t="s">
        <v>2401</v>
      </c>
      <c r="M347" s="14">
        <v>45390.607638888891</v>
      </c>
      <c r="N347" t="s">
        <v>2401</v>
      </c>
      <c r="O347" t="s">
        <v>2586</v>
      </c>
      <c r="P347" t="s">
        <v>2401</v>
      </c>
      <c r="Q347" t="s">
        <v>2401</v>
      </c>
      <c r="R347" t="s">
        <v>2401</v>
      </c>
      <c r="S347" t="s">
        <v>2401</v>
      </c>
    </row>
    <row r="348" spans="1:19">
      <c r="A348" t="s">
        <v>3793</v>
      </c>
      <c r="B348" t="s">
        <v>1282</v>
      </c>
      <c r="C348" t="s">
        <v>2401</v>
      </c>
      <c r="D348" t="s">
        <v>2401</v>
      </c>
      <c r="E348" t="s">
        <v>2401</v>
      </c>
      <c r="F348" t="s">
        <v>2401</v>
      </c>
      <c r="G348" t="s">
        <v>2401</v>
      </c>
      <c r="H348" t="s">
        <v>2401</v>
      </c>
      <c r="I348" t="s">
        <v>61</v>
      </c>
      <c r="J348" t="s">
        <v>2401</v>
      </c>
      <c r="K348" t="s">
        <v>2401</v>
      </c>
      <c r="L348" t="s">
        <v>2401</v>
      </c>
      <c r="M348" s="14">
        <v>45399.554861111108</v>
      </c>
      <c r="N348" t="s">
        <v>2401</v>
      </c>
      <c r="O348" t="s">
        <v>2401</v>
      </c>
      <c r="P348" t="s">
        <v>2401</v>
      </c>
      <c r="Q348" t="s">
        <v>2401</v>
      </c>
      <c r="R348" t="s">
        <v>2401</v>
      </c>
      <c r="S348" t="s">
        <v>2401</v>
      </c>
    </row>
    <row r="349" spans="1:19">
      <c r="A349" t="s">
        <v>3794</v>
      </c>
      <c r="B349" t="s">
        <v>3795</v>
      </c>
      <c r="C349" t="s">
        <v>2401</v>
      </c>
      <c r="D349" t="s">
        <v>2401</v>
      </c>
      <c r="E349" t="s">
        <v>2401</v>
      </c>
      <c r="F349" t="s">
        <v>2401</v>
      </c>
      <c r="G349" t="s">
        <v>2401</v>
      </c>
      <c r="H349" t="s">
        <v>2401</v>
      </c>
      <c r="I349" t="s">
        <v>2401</v>
      </c>
      <c r="J349" t="s">
        <v>2401</v>
      </c>
      <c r="K349" t="s">
        <v>2401</v>
      </c>
      <c r="L349" t="s">
        <v>2401</v>
      </c>
      <c r="M349" s="14">
        <v>45399.554861111108</v>
      </c>
      <c r="N349" t="s">
        <v>2401</v>
      </c>
      <c r="O349" t="s">
        <v>2401</v>
      </c>
      <c r="P349" t="s">
        <v>2401</v>
      </c>
      <c r="Q349" t="s">
        <v>2401</v>
      </c>
      <c r="R349" t="s">
        <v>2401</v>
      </c>
      <c r="S349" t="s">
        <v>2401</v>
      </c>
    </row>
    <row r="350" spans="1:19">
      <c r="A350" t="s">
        <v>3796</v>
      </c>
      <c r="B350" t="s">
        <v>3797</v>
      </c>
      <c r="C350" t="s">
        <v>2401</v>
      </c>
      <c r="D350" t="s">
        <v>2401</v>
      </c>
      <c r="E350" t="s">
        <v>2401</v>
      </c>
      <c r="F350" t="s">
        <v>2401</v>
      </c>
      <c r="G350" t="s">
        <v>2401</v>
      </c>
      <c r="H350" t="s">
        <v>2401</v>
      </c>
      <c r="I350" t="s">
        <v>2401</v>
      </c>
      <c r="J350" t="s">
        <v>3798</v>
      </c>
      <c r="K350" t="s">
        <v>2486</v>
      </c>
      <c r="L350" t="s">
        <v>2401</v>
      </c>
      <c r="M350" s="14">
        <v>45534.874305555553</v>
      </c>
      <c r="N350" t="s">
        <v>3799</v>
      </c>
      <c r="O350" t="s">
        <v>3800</v>
      </c>
      <c r="P350" t="s">
        <v>2401</v>
      </c>
      <c r="Q350" t="s">
        <v>2401</v>
      </c>
      <c r="R350" t="s">
        <v>2401</v>
      </c>
      <c r="S350" t="s">
        <v>2401</v>
      </c>
    </row>
    <row r="351" spans="1:19">
      <c r="A351" t="s">
        <v>3801</v>
      </c>
      <c r="B351" t="s">
        <v>3802</v>
      </c>
      <c r="C351" t="s">
        <v>2401</v>
      </c>
      <c r="D351" t="s">
        <v>2401</v>
      </c>
      <c r="E351" t="s">
        <v>2401</v>
      </c>
      <c r="F351" t="s">
        <v>2401</v>
      </c>
      <c r="G351" t="s">
        <v>2401</v>
      </c>
      <c r="H351" t="s">
        <v>2401</v>
      </c>
      <c r="I351" t="s">
        <v>2401</v>
      </c>
      <c r="J351" t="s">
        <v>3803</v>
      </c>
      <c r="K351" t="s">
        <v>3804</v>
      </c>
      <c r="L351" t="s">
        <v>2401</v>
      </c>
      <c r="M351" s="14">
        <v>45399.554861111108</v>
      </c>
      <c r="N351" t="s">
        <v>3805</v>
      </c>
      <c r="O351" t="s">
        <v>3806</v>
      </c>
      <c r="P351" t="s">
        <v>2401</v>
      </c>
      <c r="Q351" t="s">
        <v>2401</v>
      </c>
      <c r="R351" t="s">
        <v>2401</v>
      </c>
      <c r="S351" t="s">
        <v>2401</v>
      </c>
    </row>
    <row r="352" spans="1:19">
      <c r="A352" t="s">
        <v>3807</v>
      </c>
      <c r="B352" t="s">
        <v>3808</v>
      </c>
      <c r="C352" t="s">
        <v>2401</v>
      </c>
      <c r="D352" t="s">
        <v>2401</v>
      </c>
      <c r="E352" t="s">
        <v>2401</v>
      </c>
      <c r="F352" t="s">
        <v>2401</v>
      </c>
      <c r="G352" t="s">
        <v>2401</v>
      </c>
      <c r="H352" t="s">
        <v>2401</v>
      </c>
      <c r="I352" t="s">
        <v>2401</v>
      </c>
      <c r="J352" t="s">
        <v>3809</v>
      </c>
      <c r="K352" t="s">
        <v>2720</v>
      </c>
      <c r="L352" t="s">
        <v>2401</v>
      </c>
      <c r="M352" s="14">
        <v>45565.65</v>
      </c>
      <c r="N352" t="s">
        <v>3810</v>
      </c>
      <c r="O352" t="s">
        <v>2401</v>
      </c>
      <c r="P352" t="s">
        <v>2401</v>
      </c>
      <c r="Q352" t="s">
        <v>2401</v>
      </c>
      <c r="R352" t="s">
        <v>2401</v>
      </c>
      <c r="S352" t="s">
        <v>2401</v>
      </c>
    </row>
    <row r="353" spans="1:19">
      <c r="A353" t="s">
        <v>3811</v>
      </c>
      <c r="B353" t="s">
        <v>3808</v>
      </c>
      <c r="C353" t="s">
        <v>2401</v>
      </c>
      <c r="D353" t="s">
        <v>2401</v>
      </c>
      <c r="E353" t="s">
        <v>2401</v>
      </c>
      <c r="F353" t="s">
        <v>2401</v>
      </c>
      <c r="G353" t="s">
        <v>2401</v>
      </c>
      <c r="H353" t="s">
        <v>2401</v>
      </c>
      <c r="I353" t="s">
        <v>2401</v>
      </c>
      <c r="J353" t="s">
        <v>3812</v>
      </c>
      <c r="K353" t="s">
        <v>2401</v>
      </c>
      <c r="L353" t="s">
        <v>2401</v>
      </c>
      <c r="M353" s="14">
        <v>45565.65</v>
      </c>
      <c r="N353" t="s">
        <v>3813</v>
      </c>
      <c r="O353" t="s">
        <v>2401</v>
      </c>
      <c r="P353" t="s">
        <v>2401</v>
      </c>
      <c r="Q353" t="s">
        <v>2401</v>
      </c>
      <c r="R353" t="s">
        <v>2401</v>
      </c>
      <c r="S353" t="s">
        <v>2401</v>
      </c>
    </row>
    <row r="354" spans="1:19">
      <c r="A354" t="s">
        <v>3814</v>
      </c>
      <c r="B354" t="s">
        <v>3815</v>
      </c>
      <c r="C354" t="s">
        <v>2401</v>
      </c>
      <c r="D354" t="s">
        <v>2401</v>
      </c>
      <c r="E354" t="s">
        <v>2401</v>
      </c>
      <c r="F354" t="s">
        <v>2401</v>
      </c>
      <c r="G354" t="s">
        <v>2401</v>
      </c>
      <c r="H354" t="s">
        <v>2401</v>
      </c>
      <c r="I354" t="s">
        <v>2401</v>
      </c>
      <c r="J354" t="s">
        <v>3816</v>
      </c>
      <c r="K354" t="s">
        <v>2406</v>
      </c>
      <c r="L354" t="s">
        <v>2401</v>
      </c>
      <c r="M354" s="14">
        <v>45554.475694444445</v>
      </c>
      <c r="N354" t="s">
        <v>3817</v>
      </c>
      <c r="O354" t="s">
        <v>3818</v>
      </c>
      <c r="P354" t="s">
        <v>2401</v>
      </c>
      <c r="Q354" t="s">
        <v>2401</v>
      </c>
      <c r="R354" t="s">
        <v>2401</v>
      </c>
      <c r="S354" t="s">
        <v>2401</v>
      </c>
    </row>
    <row r="355" spans="1:19">
      <c r="A355" t="s">
        <v>3819</v>
      </c>
      <c r="B355" t="s">
        <v>3820</v>
      </c>
      <c r="C355" t="s">
        <v>2401</v>
      </c>
      <c r="D355" t="s">
        <v>2401</v>
      </c>
      <c r="E355" t="s">
        <v>2401</v>
      </c>
      <c r="F355" t="s">
        <v>2401</v>
      </c>
      <c r="G355" t="s">
        <v>2401</v>
      </c>
      <c r="H355" t="s">
        <v>2401</v>
      </c>
      <c r="I355" t="s">
        <v>2401</v>
      </c>
      <c r="J355" t="s">
        <v>3821</v>
      </c>
      <c r="K355" t="s">
        <v>2567</v>
      </c>
      <c r="L355" t="s">
        <v>2401</v>
      </c>
      <c r="M355" s="14">
        <v>45426.579861111109</v>
      </c>
      <c r="N355" t="s">
        <v>3822</v>
      </c>
      <c r="O355" t="s">
        <v>3823</v>
      </c>
      <c r="P355" t="s">
        <v>3824</v>
      </c>
      <c r="Q355">
        <v>2</v>
      </c>
      <c r="R355" t="s">
        <v>2401</v>
      </c>
      <c r="S355" t="s">
        <v>3825</v>
      </c>
    </row>
    <row r="356" spans="1:19">
      <c r="A356" t="s">
        <v>3826</v>
      </c>
      <c r="B356" t="s">
        <v>1286</v>
      </c>
      <c r="C356" t="s">
        <v>2401</v>
      </c>
      <c r="D356" t="s">
        <v>2401</v>
      </c>
      <c r="E356" t="s">
        <v>2401</v>
      </c>
      <c r="F356" t="s">
        <v>2401</v>
      </c>
      <c r="G356" t="s">
        <v>2401</v>
      </c>
      <c r="H356" t="s">
        <v>2401</v>
      </c>
      <c r="I356" t="s">
        <v>2401</v>
      </c>
      <c r="J356" t="s">
        <v>2401</v>
      </c>
      <c r="K356" t="s">
        <v>2401</v>
      </c>
      <c r="L356" t="s">
        <v>2401</v>
      </c>
      <c r="M356" s="14">
        <v>45426.496527777781</v>
      </c>
      <c r="N356" t="s">
        <v>2401</v>
      </c>
      <c r="O356" t="s">
        <v>2401</v>
      </c>
      <c r="P356" t="s">
        <v>3827</v>
      </c>
      <c r="Q356">
        <v>1</v>
      </c>
      <c r="R356" t="s">
        <v>2401</v>
      </c>
      <c r="S356" t="s">
        <v>3828</v>
      </c>
    </row>
    <row r="357" spans="1:19">
      <c r="A357" t="s">
        <v>3829</v>
      </c>
      <c r="B357" t="s">
        <v>1286</v>
      </c>
      <c r="C357" t="s">
        <v>2401</v>
      </c>
      <c r="D357" t="s">
        <v>2401</v>
      </c>
      <c r="E357" t="s">
        <v>2401</v>
      </c>
      <c r="F357" t="s">
        <v>2401</v>
      </c>
      <c r="G357" t="s">
        <v>2401</v>
      </c>
      <c r="H357" t="s">
        <v>2401</v>
      </c>
      <c r="I357" t="s">
        <v>2401</v>
      </c>
      <c r="J357" t="s">
        <v>2401</v>
      </c>
      <c r="K357" t="s">
        <v>2401</v>
      </c>
      <c r="L357" t="s">
        <v>2401</v>
      </c>
      <c r="M357" s="14">
        <v>45422.895833333336</v>
      </c>
      <c r="N357" t="s">
        <v>2401</v>
      </c>
      <c r="O357" t="s">
        <v>2401</v>
      </c>
      <c r="P357" t="s">
        <v>2401</v>
      </c>
      <c r="Q357" t="s">
        <v>2401</v>
      </c>
      <c r="R357" t="s">
        <v>2401</v>
      </c>
      <c r="S357" t="s">
        <v>2401</v>
      </c>
    </row>
    <row r="358" spans="1:19">
      <c r="A358" t="s">
        <v>3830</v>
      </c>
      <c r="B358" t="s">
        <v>1286</v>
      </c>
      <c r="C358" t="s">
        <v>2401</v>
      </c>
      <c r="D358" t="s">
        <v>2401</v>
      </c>
      <c r="E358" t="s">
        <v>2401</v>
      </c>
      <c r="F358" t="s">
        <v>2401</v>
      </c>
      <c r="G358" t="s">
        <v>2401</v>
      </c>
      <c r="H358" t="s">
        <v>2401</v>
      </c>
      <c r="I358" t="s">
        <v>2401</v>
      </c>
      <c r="J358" t="s">
        <v>2401</v>
      </c>
      <c r="K358" t="s">
        <v>2401</v>
      </c>
      <c r="L358" t="s">
        <v>2401</v>
      </c>
      <c r="M358" s="14">
        <v>45422.895833333336</v>
      </c>
      <c r="N358" t="s">
        <v>2401</v>
      </c>
      <c r="O358" t="s">
        <v>2401</v>
      </c>
      <c r="P358" t="s">
        <v>2401</v>
      </c>
      <c r="Q358" t="s">
        <v>2401</v>
      </c>
      <c r="R358" t="s">
        <v>2401</v>
      </c>
      <c r="S358" t="s">
        <v>2401</v>
      </c>
    </row>
    <row r="359" spans="1:19">
      <c r="A359" t="s">
        <v>3831</v>
      </c>
      <c r="B359" t="s">
        <v>1286</v>
      </c>
      <c r="C359" t="s">
        <v>2401</v>
      </c>
      <c r="D359" t="s">
        <v>2401</v>
      </c>
      <c r="E359" t="s">
        <v>2401</v>
      </c>
      <c r="F359" t="s">
        <v>2401</v>
      </c>
      <c r="G359" t="s">
        <v>2401</v>
      </c>
      <c r="H359" t="s">
        <v>2401</v>
      </c>
      <c r="I359" t="s">
        <v>2401</v>
      </c>
      <c r="J359" t="s">
        <v>2401</v>
      </c>
      <c r="K359" t="s">
        <v>2401</v>
      </c>
      <c r="L359" t="s">
        <v>2401</v>
      </c>
      <c r="M359" s="14">
        <v>45422.895833333336</v>
      </c>
      <c r="N359" t="s">
        <v>2401</v>
      </c>
      <c r="O359" t="s">
        <v>2401</v>
      </c>
      <c r="P359" t="s">
        <v>2401</v>
      </c>
      <c r="Q359" t="s">
        <v>2401</v>
      </c>
      <c r="R359" t="s">
        <v>2401</v>
      </c>
      <c r="S359" t="s">
        <v>2401</v>
      </c>
    </row>
    <row r="360" spans="1:19">
      <c r="A360" t="s">
        <v>3832</v>
      </c>
      <c r="B360" t="s">
        <v>3833</v>
      </c>
      <c r="C360" t="s">
        <v>2401</v>
      </c>
      <c r="D360" t="s">
        <v>2401</v>
      </c>
      <c r="E360" t="s">
        <v>2401</v>
      </c>
      <c r="F360" t="s">
        <v>2401</v>
      </c>
      <c r="G360" t="s">
        <v>2401</v>
      </c>
      <c r="H360" t="s">
        <v>2401</v>
      </c>
      <c r="I360" t="s">
        <v>2401</v>
      </c>
      <c r="J360" t="s">
        <v>3834</v>
      </c>
      <c r="K360" t="s">
        <v>3049</v>
      </c>
      <c r="L360" t="s">
        <v>2401</v>
      </c>
      <c r="M360" s="14">
        <v>45399.554861111108</v>
      </c>
      <c r="N360" t="s">
        <v>3835</v>
      </c>
      <c r="O360" t="s">
        <v>3836</v>
      </c>
      <c r="P360" t="s">
        <v>2401</v>
      </c>
      <c r="Q360" t="s">
        <v>2401</v>
      </c>
      <c r="R360" t="s">
        <v>2401</v>
      </c>
      <c r="S360" t="s">
        <v>2401</v>
      </c>
    </row>
    <row r="361" spans="1:19">
      <c r="A361" t="s">
        <v>3837</v>
      </c>
      <c r="B361" t="s">
        <v>3838</v>
      </c>
      <c r="C361" t="s">
        <v>2401</v>
      </c>
      <c r="D361" t="s">
        <v>2401</v>
      </c>
      <c r="E361" t="s">
        <v>2401</v>
      </c>
      <c r="F361" t="s">
        <v>2401</v>
      </c>
      <c r="G361" t="s">
        <v>2401</v>
      </c>
      <c r="H361" t="s">
        <v>2401</v>
      </c>
      <c r="I361" t="s">
        <v>2401</v>
      </c>
      <c r="J361" t="s">
        <v>3839</v>
      </c>
      <c r="K361" t="s">
        <v>3308</v>
      </c>
      <c r="L361" t="s">
        <v>2401</v>
      </c>
      <c r="M361" s="14">
        <v>45399.554861111108</v>
      </c>
      <c r="N361" t="s">
        <v>3840</v>
      </c>
      <c r="O361" t="s">
        <v>3841</v>
      </c>
      <c r="P361" t="s">
        <v>2401</v>
      </c>
      <c r="Q361" t="s">
        <v>2401</v>
      </c>
      <c r="R361" t="s">
        <v>2401</v>
      </c>
      <c r="S361" t="s">
        <v>2401</v>
      </c>
    </row>
    <row r="362" spans="1:19">
      <c r="A362" t="s">
        <v>3842</v>
      </c>
      <c r="B362" t="s">
        <v>3843</v>
      </c>
      <c r="C362" t="s">
        <v>2401</v>
      </c>
      <c r="D362" t="s">
        <v>2401</v>
      </c>
      <c r="E362" t="s">
        <v>2401</v>
      </c>
      <c r="F362" t="s">
        <v>2401</v>
      </c>
      <c r="G362" t="s">
        <v>2401</v>
      </c>
      <c r="H362" t="s">
        <v>2401</v>
      </c>
      <c r="I362" t="s">
        <v>2401</v>
      </c>
      <c r="J362" t="s">
        <v>3844</v>
      </c>
      <c r="K362" t="s">
        <v>2406</v>
      </c>
      <c r="L362" t="s">
        <v>2401</v>
      </c>
      <c r="M362" s="14">
        <v>45399.554861111108</v>
      </c>
      <c r="N362" t="s">
        <v>3845</v>
      </c>
      <c r="O362" t="s">
        <v>3846</v>
      </c>
      <c r="P362" t="s">
        <v>2401</v>
      </c>
      <c r="Q362" t="s">
        <v>2401</v>
      </c>
      <c r="R362" t="s">
        <v>2401</v>
      </c>
      <c r="S362" t="s">
        <v>2401</v>
      </c>
    </row>
    <row r="363" spans="1:19">
      <c r="A363" t="s">
        <v>3847</v>
      </c>
      <c r="B363" t="s">
        <v>3848</v>
      </c>
      <c r="C363" t="s">
        <v>2401</v>
      </c>
      <c r="D363" t="s">
        <v>2401</v>
      </c>
      <c r="E363" t="s">
        <v>2401</v>
      </c>
      <c r="F363" t="s">
        <v>2401</v>
      </c>
      <c r="G363" t="s">
        <v>2401</v>
      </c>
      <c r="H363" t="s">
        <v>2401</v>
      </c>
      <c r="I363" t="s">
        <v>2401</v>
      </c>
      <c r="J363" t="s">
        <v>2401</v>
      </c>
      <c r="K363" t="s">
        <v>3147</v>
      </c>
      <c r="L363" t="s">
        <v>2401</v>
      </c>
      <c r="M363" s="14">
        <v>45390.607638888891</v>
      </c>
      <c r="N363" t="s">
        <v>2401</v>
      </c>
      <c r="O363" t="s">
        <v>3849</v>
      </c>
      <c r="P363" t="s">
        <v>2401</v>
      </c>
      <c r="Q363" t="s">
        <v>2401</v>
      </c>
      <c r="R363" t="s">
        <v>2401</v>
      </c>
      <c r="S363" t="s">
        <v>2401</v>
      </c>
    </row>
    <row r="364" spans="1:19">
      <c r="A364" t="s">
        <v>3850</v>
      </c>
      <c r="B364" t="s">
        <v>3851</v>
      </c>
      <c r="C364" t="s">
        <v>2401</v>
      </c>
      <c r="D364" t="s">
        <v>2401</v>
      </c>
      <c r="E364" t="s">
        <v>2401</v>
      </c>
      <c r="F364" t="s">
        <v>2401</v>
      </c>
      <c r="G364" t="s">
        <v>2401</v>
      </c>
      <c r="H364" t="s">
        <v>2401</v>
      </c>
      <c r="I364" t="s">
        <v>2401</v>
      </c>
      <c r="J364" t="s">
        <v>3852</v>
      </c>
      <c r="K364" t="s">
        <v>2427</v>
      </c>
      <c r="L364" t="s">
        <v>2401</v>
      </c>
      <c r="M364" s="14">
        <v>45399.554861111108</v>
      </c>
      <c r="N364" t="s">
        <v>3853</v>
      </c>
      <c r="O364" t="s">
        <v>3854</v>
      </c>
      <c r="P364" t="s">
        <v>2401</v>
      </c>
      <c r="Q364" t="s">
        <v>2401</v>
      </c>
      <c r="R364" t="s">
        <v>2401</v>
      </c>
      <c r="S364" t="s">
        <v>2401</v>
      </c>
    </row>
    <row r="365" spans="1:19">
      <c r="A365" t="s">
        <v>3855</v>
      </c>
      <c r="B365" t="s">
        <v>3856</v>
      </c>
      <c r="C365" t="s">
        <v>2401</v>
      </c>
      <c r="D365" t="s">
        <v>2401</v>
      </c>
      <c r="E365" t="s">
        <v>2401</v>
      </c>
      <c r="F365" t="s">
        <v>2401</v>
      </c>
      <c r="G365" t="s">
        <v>2401</v>
      </c>
      <c r="H365" t="s">
        <v>2401</v>
      </c>
      <c r="I365" t="s">
        <v>2401</v>
      </c>
      <c r="J365" t="s">
        <v>3857</v>
      </c>
      <c r="K365" t="s">
        <v>3308</v>
      </c>
      <c r="L365" t="s">
        <v>2401</v>
      </c>
      <c r="M365" s="14">
        <v>45399.554861111108</v>
      </c>
      <c r="N365" t="s">
        <v>3858</v>
      </c>
      <c r="O365" t="s">
        <v>3859</v>
      </c>
      <c r="P365" t="s">
        <v>2401</v>
      </c>
      <c r="Q365" t="s">
        <v>2401</v>
      </c>
      <c r="R365" t="s">
        <v>2401</v>
      </c>
      <c r="S365" t="s">
        <v>2401</v>
      </c>
    </row>
    <row r="366" spans="1:19">
      <c r="A366" t="s">
        <v>3860</v>
      </c>
      <c r="B366" t="s">
        <v>3861</v>
      </c>
      <c r="C366" t="s">
        <v>2401</v>
      </c>
      <c r="D366" t="s">
        <v>2401</v>
      </c>
      <c r="E366" t="s">
        <v>2401</v>
      </c>
      <c r="F366" t="s">
        <v>2401</v>
      </c>
      <c r="G366" t="s">
        <v>2401</v>
      </c>
      <c r="H366" t="s">
        <v>2401</v>
      </c>
      <c r="I366" t="s">
        <v>2401</v>
      </c>
      <c r="J366" t="s">
        <v>3862</v>
      </c>
      <c r="K366" t="s">
        <v>2433</v>
      </c>
      <c r="L366" t="s">
        <v>2401</v>
      </c>
      <c r="M366" s="14">
        <v>45565.566666666666</v>
      </c>
      <c r="N366" t="s">
        <v>3863</v>
      </c>
      <c r="O366" t="s">
        <v>2401</v>
      </c>
      <c r="P366" t="s">
        <v>2401</v>
      </c>
      <c r="Q366" t="s">
        <v>2401</v>
      </c>
      <c r="R366" t="s">
        <v>2401</v>
      </c>
      <c r="S366" t="s">
        <v>2401</v>
      </c>
    </row>
    <row r="367" spans="1:19">
      <c r="A367" t="s">
        <v>3864</v>
      </c>
      <c r="B367" t="s">
        <v>3865</v>
      </c>
      <c r="C367" t="s">
        <v>2401</v>
      </c>
      <c r="D367" t="s">
        <v>2401</v>
      </c>
      <c r="E367" t="s">
        <v>2401</v>
      </c>
      <c r="F367" t="s">
        <v>2401</v>
      </c>
      <c r="G367" t="s">
        <v>2401</v>
      </c>
      <c r="H367" t="s">
        <v>2401</v>
      </c>
      <c r="I367" t="s">
        <v>61</v>
      </c>
      <c r="J367" t="s">
        <v>3866</v>
      </c>
      <c r="K367" t="s">
        <v>2720</v>
      </c>
      <c r="L367" t="s">
        <v>2401</v>
      </c>
      <c r="M367" s="14">
        <v>45399.554861111108</v>
      </c>
      <c r="N367" t="s">
        <v>3867</v>
      </c>
      <c r="O367" t="s">
        <v>3868</v>
      </c>
      <c r="P367" t="s">
        <v>2401</v>
      </c>
      <c r="Q367" t="s">
        <v>2401</v>
      </c>
      <c r="R367" t="s">
        <v>2401</v>
      </c>
      <c r="S367" t="s">
        <v>2401</v>
      </c>
    </row>
    <row r="368" spans="1:19">
      <c r="A368" t="s">
        <v>3869</v>
      </c>
      <c r="B368" t="s">
        <v>3870</v>
      </c>
      <c r="C368" t="s">
        <v>2401</v>
      </c>
      <c r="D368" t="s">
        <v>2401</v>
      </c>
      <c r="E368" t="s">
        <v>2401</v>
      </c>
      <c r="F368" t="s">
        <v>2401</v>
      </c>
      <c r="G368" t="s">
        <v>2401</v>
      </c>
      <c r="H368" t="s">
        <v>2401</v>
      </c>
      <c r="I368" t="s">
        <v>2401</v>
      </c>
      <c r="J368" t="s">
        <v>2401</v>
      </c>
      <c r="K368" t="s">
        <v>2599</v>
      </c>
      <c r="L368" t="s">
        <v>2401</v>
      </c>
      <c r="M368" s="14">
        <v>45390.607638888891</v>
      </c>
      <c r="N368" t="s">
        <v>2401</v>
      </c>
      <c r="O368" t="s">
        <v>3871</v>
      </c>
      <c r="P368" t="s">
        <v>2401</v>
      </c>
      <c r="Q368" t="s">
        <v>2401</v>
      </c>
      <c r="R368" t="s">
        <v>2401</v>
      </c>
      <c r="S368" t="s">
        <v>2401</v>
      </c>
    </row>
    <row r="369" spans="1:19">
      <c r="A369" t="s">
        <v>3872</v>
      </c>
      <c r="B369" t="s">
        <v>3873</v>
      </c>
      <c r="C369" t="s">
        <v>2401</v>
      </c>
      <c r="D369" t="s">
        <v>2401</v>
      </c>
      <c r="E369" t="s">
        <v>2401</v>
      </c>
      <c r="F369" t="s">
        <v>2401</v>
      </c>
      <c r="G369" t="s">
        <v>2401</v>
      </c>
      <c r="H369" t="s">
        <v>2401</v>
      </c>
      <c r="I369" t="s">
        <v>2401</v>
      </c>
      <c r="J369" t="s">
        <v>3874</v>
      </c>
      <c r="K369" t="s">
        <v>2492</v>
      </c>
      <c r="L369" t="s">
        <v>2401</v>
      </c>
      <c r="M369" s="14">
        <v>45565.65</v>
      </c>
      <c r="N369" t="s">
        <v>3875</v>
      </c>
      <c r="O369" t="s">
        <v>2401</v>
      </c>
      <c r="P369" t="s">
        <v>2401</v>
      </c>
      <c r="Q369" t="s">
        <v>2401</v>
      </c>
      <c r="R369" t="s">
        <v>2401</v>
      </c>
      <c r="S369" t="s">
        <v>2401</v>
      </c>
    </row>
    <row r="370" spans="1:19">
      <c r="A370" t="s">
        <v>3876</v>
      </c>
      <c r="B370" t="s">
        <v>3877</v>
      </c>
      <c r="C370" t="s">
        <v>2401</v>
      </c>
      <c r="D370" t="s">
        <v>2401</v>
      </c>
      <c r="E370" t="s">
        <v>2401</v>
      </c>
      <c r="F370" t="s">
        <v>2401</v>
      </c>
      <c r="G370" t="s">
        <v>2401</v>
      </c>
      <c r="H370" t="s">
        <v>2401</v>
      </c>
      <c r="I370" t="s">
        <v>2401</v>
      </c>
      <c r="J370" t="s">
        <v>3878</v>
      </c>
      <c r="K370" t="s">
        <v>2406</v>
      </c>
      <c r="L370" t="s">
        <v>2401</v>
      </c>
      <c r="M370" s="14">
        <v>45534.874305555553</v>
      </c>
      <c r="N370" t="s">
        <v>3879</v>
      </c>
      <c r="O370" t="s">
        <v>3880</v>
      </c>
      <c r="P370" t="s">
        <v>2401</v>
      </c>
      <c r="Q370" t="s">
        <v>2401</v>
      </c>
      <c r="R370" t="s">
        <v>2401</v>
      </c>
      <c r="S370" t="s">
        <v>2401</v>
      </c>
    </row>
    <row r="371" spans="1:19">
      <c r="A371" t="s">
        <v>3881</v>
      </c>
      <c r="B371" t="s">
        <v>3882</v>
      </c>
      <c r="C371" t="s">
        <v>2401</v>
      </c>
      <c r="D371" t="s">
        <v>2401</v>
      </c>
      <c r="E371" t="s">
        <v>2401</v>
      </c>
      <c r="F371" t="s">
        <v>2401</v>
      </c>
      <c r="G371" t="s">
        <v>2401</v>
      </c>
      <c r="H371" t="s">
        <v>2401</v>
      </c>
      <c r="I371" t="s">
        <v>2401</v>
      </c>
      <c r="J371" t="s">
        <v>3883</v>
      </c>
      <c r="K371" t="s">
        <v>3071</v>
      </c>
      <c r="L371" t="s">
        <v>2401</v>
      </c>
      <c r="M371" s="14">
        <v>45565.645138888889</v>
      </c>
      <c r="N371" t="s">
        <v>3884</v>
      </c>
      <c r="O371" t="s">
        <v>3885</v>
      </c>
      <c r="P371" t="s">
        <v>2401</v>
      </c>
      <c r="Q371" t="s">
        <v>2401</v>
      </c>
      <c r="R371" t="s">
        <v>2401</v>
      </c>
      <c r="S371" t="s">
        <v>2401</v>
      </c>
    </row>
    <row r="372" spans="1:19">
      <c r="A372" t="s">
        <v>3886</v>
      </c>
      <c r="B372" t="s">
        <v>3887</v>
      </c>
      <c r="C372" t="s">
        <v>2401</v>
      </c>
      <c r="D372" t="s">
        <v>2401</v>
      </c>
      <c r="E372" t="s">
        <v>2401</v>
      </c>
      <c r="F372" t="s">
        <v>2401</v>
      </c>
      <c r="G372" t="s">
        <v>2401</v>
      </c>
      <c r="H372" t="s">
        <v>2401</v>
      </c>
      <c r="I372" t="s">
        <v>2401</v>
      </c>
      <c r="J372" t="s">
        <v>3888</v>
      </c>
      <c r="K372" t="s">
        <v>2720</v>
      </c>
      <c r="L372" t="s">
        <v>2401</v>
      </c>
      <c r="M372" s="14">
        <v>45565.693749999999</v>
      </c>
      <c r="N372" t="s">
        <v>3889</v>
      </c>
      <c r="O372" t="s">
        <v>2401</v>
      </c>
      <c r="P372" t="s">
        <v>2401</v>
      </c>
      <c r="Q372" t="s">
        <v>2401</v>
      </c>
      <c r="R372" t="s">
        <v>2401</v>
      </c>
      <c r="S372" t="s">
        <v>2401</v>
      </c>
    </row>
    <row r="373" spans="1:19">
      <c r="A373" t="s">
        <v>3890</v>
      </c>
      <c r="B373" t="s">
        <v>3891</v>
      </c>
      <c r="C373" t="s">
        <v>2401</v>
      </c>
      <c r="D373" t="s">
        <v>2401</v>
      </c>
      <c r="E373" t="s">
        <v>2401</v>
      </c>
      <c r="F373" t="s">
        <v>2401</v>
      </c>
      <c r="G373" t="s">
        <v>2401</v>
      </c>
      <c r="H373" t="s">
        <v>2401</v>
      </c>
      <c r="I373" t="s">
        <v>2401</v>
      </c>
      <c r="J373" t="s">
        <v>2401</v>
      </c>
      <c r="K373" t="s">
        <v>2401</v>
      </c>
      <c r="L373" t="s">
        <v>2401</v>
      </c>
      <c r="M373" s="14">
        <v>45565.549305555556</v>
      </c>
      <c r="N373" t="s">
        <v>2401</v>
      </c>
      <c r="O373" t="s">
        <v>2401</v>
      </c>
      <c r="P373" t="s">
        <v>2401</v>
      </c>
      <c r="Q373" t="s">
        <v>2401</v>
      </c>
      <c r="R373" t="s">
        <v>2401</v>
      </c>
      <c r="S373" t="s">
        <v>2401</v>
      </c>
    </row>
    <row r="374" spans="1:19">
      <c r="A374" t="s">
        <v>3892</v>
      </c>
      <c r="B374" t="s">
        <v>3893</v>
      </c>
      <c r="C374" t="s">
        <v>2401</v>
      </c>
      <c r="D374" t="s">
        <v>2401</v>
      </c>
      <c r="E374" t="s">
        <v>2401</v>
      </c>
      <c r="F374" t="s">
        <v>2401</v>
      </c>
      <c r="G374" t="s">
        <v>2401</v>
      </c>
      <c r="H374" t="s">
        <v>2401</v>
      </c>
      <c r="I374" t="s">
        <v>2401</v>
      </c>
      <c r="J374" t="s">
        <v>3894</v>
      </c>
      <c r="K374" t="s">
        <v>2411</v>
      </c>
      <c r="L374" t="s">
        <v>2401</v>
      </c>
      <c r="M374" s="14">
        <v>45565.656944444447</v>
      </c>
      <c r="N374" t="s">
        <v>3895</v>
      </c>
      <c r="O374" t="s">
        <v>3896</v>
      </c>
      <c r="P374" t="s">
        <v>2401</v>
      </c>
      <c r="Q374" t="s">
        <v>2401</v>
      </c>
      <c r="R374" t="s">
        <v>2401</v>
      </c>
      <c r="S374" t="s">
        <v>2401</v>
      </c>
    </row>
    <row r="375" spans="1:19">
      <c r="A375" t="s">
        <v>3897</v>
      </c>
      <c r="B375" t="s">
        <v>3898</v>
      </c>
      <c r="C375" t="s">
        <v>2401</v>
      </c>
      <c r="D375" t="s">
        <v>2401</v>
      </c>
      <c r="E375" t="s">
        <v>2401</v>
      </c>
      <c r="F375" t="s">
        <v>2401</v>
      </c>
      <c r="G375" t="s">
        <v>2401</v>
      </c>
      <c r="H375" t="s">
        <v>2401</v>
      </c>
      <c r="I375" t="s">
        <v>2401</v>
      </c>
      <c r="J375" t="s">
        <v>3899</v>
      </c>
      <c r="K375" t="s">
        <v>2433</v>
      </c>
      <c r="L375" t="s">
        <v>2401</v>
      </c>
      <c r="M375" s="14">
        <v>45565.65347222222</v>
      </c>
      <c r="N375" t="s">
        <v>3900</v>
      </c>
      <c r="O375" t="s">
        <v>3901</v>
      </c>
      <c r="P375" t="s">
        <v>2401</v>
      </c>
      <c r="Q375" t="s">
        <v>2401</v>
      </c>
      <c r="R375" t="s">
        <v>2401</v>
      </c>
      <c r="S375" t="s">
        <v>2401</v>
      </c>
    </row>
    <row r="376" spans="1:19">
      <c r="A376" t="s">
        <v>3902</v>
      </c>
      <c r="B376" t="s">
        <v>3903</v>
      </c>
      <c r="C376" t="s">
        <v>2401</v>
      </c>
      <c r="D376" t="s">
        <v>2401</v>
      </c>
      <c r="E376" t="s">
        <v>2401</v>
      </c>
      <c r="F376" t="s">
        <v>2401</v>
      </c>
      <c r="G376" t="s">
        <v>2401</v>
      </c>
      <c r="H376" t="s">
        <v>2401</v>
      </c>
      <c r="I376" t="s">
        <v>61</v>
      </c>
      <c r="J376" t="s">
        <v>2401</v>
      </c>
      <c r="K376" t="s">
        <v>2401</v>
      </c>
      <c r="L376" t="s">
        <v>2401</v>
      </c>
      <c r="M376" s="14">
        <v>45399.554861111108</v>
      </c>
      <c r="N376" t="s">
        <v>2401</v>
      </c>
      <c r="O376" t="s">
        <v>2401</v>
      </c>
      <c r="P376" t="s">
        <v>2401</v>
      </c>
      <c r="Q376" t="s">
        <v>2401</v>
      </c>
      <c r="R376" t="s">
        <v>2401</v>
      </c>
      <c r="S376" t="s">
        <v>2401</v>
      </c>
    </row>
    <row r="377" spans="1:19">
      <c r="A377" t="s">
        <v>3904</v>
      </c>
      <c r="B377" t="s">
        <v>3903</v>
      </c>
      <c r="C377" t="s">
        <v>2401</v>
      </c>
      <c r="D377" t="s">
        <v>2401</v>
      </c>
      <c r="E377" t="s">
        <v>2401</v>
      </c>
      <c r="F377" t="s">
        <v>2401</v>
      </c>
      <c r="G377" t="s">
        <v>2401</v>
      </c>
      <c r="H377" t="s">
        <v>2401</v>
      </c>
      <c r="I377" t="s">
        <v>2401</v>
      </c>
      <c r="J377" t="s">
        <v>2401</v>
      </c>
      <c r="K377" t="s">
        <v>2401</v>
      </c>
      <c r="L377" t="s">
        <v>2401</v>
      </c>
      <c r="M377" s="14">
        <v>45390.607638888891</v>
      </c>
      <c r="N377" t="s">
        <v>2401</v>
      </c>
      <c r="O377" t="s">
        <v>2401</v>
      </c>
      <c r="P377" t="s">
        <v>2401</v>
      </c>
      <c r="Q377" t="s">
        <v>2401</v>
      </c>
      <c r="R377" t="s">
        <v>2401</v>
      </c>
      <c r="S377" t="s">
        <v>2401</v>
      </c>
    </row>
    <row r="378" spans="1:19">
      <c r="A378" t="s">
        <v>3905</v>
      </c>
      <c r="B378" t="s">
        <v>3906</v>
      </c>
      <c r="C378" t="s">
        <v>2401</v>
      </c>
      <c r="D378" t="s">
        <v>2401</v>
      </c>
      <c r="E378" t="s">
        <v>2401</v>
      </c>
      <c r="F378" t="s">
        <v>2401</v>
      </c>
      <c r="G378" t="s">
        <v>2401</v>
      </c>
      <c r="H378" t="s">
        <v>2401</v>
      </c>
      <c r="I378" t="s">
        <v>2401</v>
      </c>
      <c r="J378" t="s">
        <v>2401</v>
      </c>
      <c r="K378" t="s">
        <v>2401</v>
      </c>
      <c r="L378" t="s">
        <v>2401</v>
      </c>
      <c r="M378" s="14">
        <v>45390.607638888891</v>
      </c>
      <c r="N378" t="s">
        <v>2401</v>
      </c>
      <c r="O378" t="s">
        <v>3907</v>
      </c>
      <c r="P378" t="s">
        <v>2401</v>
      </c>
      <c r="Q378" t="s">
        <v>2401</v>
      </c>
      <c r="R378" t="s">
        <v>2401</v>
      </c>
      <c r="S378" t="s">
        <v>2401</v>
      </c>
    </row>
    <row r="379" spans="1:19">
      <c r="A379" t="s">
        <v>3908</v>
      </c>
      <c r="B379" t="s">
        <v>3909</v>
      </c>
      <c r="C379" t="s">
        <v>2401</v>
      </c>
      <c r="D379" t="s">
        <v>2401</v>
      </c>
      <c r="E379" t="s">
        <v>2401</v>
      </c>
      <c r="F379" t="s">
        <v>2401</v>
      </c>
      <c r="G379" t="s">
        <v>2401</v>
      </c>
      <c r="H379" t="s">
        <v>2401</v>
      </c>
      <c r="I379" t="s">
        <v>2401</v>
      </c>
      <c r="J379" t="s">
        <v>2401</v>
      </c>
      <c r="K379" t="s">
        <v>2401</v>
      </c>
      <c r="L379" t="s">
        <v>2401</v>
      </c>
      <c r="M379" s="14">
        <v>45422.895833333336</v>
      </c>
      <c r="N379" t="s">
        <v>2401</v>
      </c>
      <c r="O379" t="s">
        <v>2401</v>
      </c>
      <c r="P379" t="s">
        <v>2401</v>
      </c>
      <c r="Q379" t="s">
        <v>2401</v>
      </c>
      <c r="R379" t="s">
        <v>2401</v>
      </c>
      <c r="S379" t="s">
        <v>2401</v>
      </c>
    </row>
    <row r="380" spans="1:19">
      <c r="A380" t="s">
        <v>3910</v>
      </c>
      <c r="B380" t="s">
        <v>1293</v>
      </c>
      <c r="C380" t="s">
        <v>2401</v>
      </c>
      <c r="D380" t="s">
        <v>2401</v>
      </c>
      <c r="E380" t="s">
        <v>2401</v>
      </c>
      <c r="F380" t="s">
        <v>2401</v>
      </c>
      <c r="G380" t="s">
        <v>2401</v>
      </c>
      <c r="H380" t="s">
        <v>2401</v>
      </c>
      <c r="I380" t="s">
        <v>2401</v>
      </c>
      <c r="J380" t="s">
        <v>2401</v>
      </c>
      <c r="K380" t="s">
        <v>2401</v>
      </c>
      <c r="L380" t="s">
        <v>2401</v>
      </c>
      <c r="M380" s="14">
        <v>45422.895833333336</v>
      </c>
      <c r="N380" t="s">
        <v>2401</v>
      </c>
      <c r="O380" t="s">
        <v>2401</v>
      </c>
      <c r="P380" t="s">
        <v>2401</v>
      </c>
      <c r="Q380" t="s">
        <v>2401</v>
      </c>
      <c r="R380" t="s">
        <v>2401</v>
      </c>
      <c r="S380" t="s">
        <v>2401</v>
      </c>
    </row>
    <row r="381" spans="1:19">
      <c r="A381" t="s">
        <v>3911</v>
      </c>
      <c r="B381" t="s">
        <v>3912</v>
      </c>
      <c r="C381" t="s">
        <v>2401</v>
      </c>
      <c r="D381" t="s">
        <v>2401</v>
      </c>
      <c r="E381" t="s">
        <v>2401</v>
      </c>
      <c r="F381" t="s">
        <v>2401</v>
      </c>
      <c r="G381" t="s">
        <v>2401</v>
      </c>
      <c r="H381" t="s">
        <v>2401</v>
      </c>
      <c r="I381" t="s">
        <v>2401</v>
      </c>
      <c r="J381" t="s">
        <v>2401</v>
      </c>
      <c r="K381" t="s">
        <v>2401</v>
      </c>
      <c r="L381" t="s">
        <v>2401</v>
      </c>
      <c r="M381" s="14">
        <v>45399.554861111108</v>
      </c>
      <c r="N381" t="s">
        <v>3913</v>
      </c>
      <c r="O381" t="s">
        <v>2401</v>
      </c>
      <c r="P381" t="s">
        <v>2401</v>
      </c>
      <c r="Q381" t="s">
        <v>2401</v>
      </c>
      <c r="R381" t="s">
        <v>2401</v>
      </c>
      <c r="S381" t="s">
        <v>2401</v>
      </c>
    </row>
    <row r="382" spans="1:19">
      <c r="A382" t="s">
        <v>3914</v>
      </c>
      <c r="B382" t="s">
        <v>3915</v>
      </c>
      <c r="C382" t="s">
        <v>2401</v>
      </c>
      <c r="D382" t="s">
        <v>2401</v>
      </c>
      <c r="E382" t="s">
        <v>2401</v>
      </c>
      <c r="F382" t="s">
        <v>2401</v>
      </c>
      <c r="G382" t="s">
        <v>2401</v>
      </c>
      <c r="H382" t="s">
        <v>2401</v>
      </c>
      <c r="I382" t="s">
        <v>2401</v>
      </c>
      <c r="J382" t="s">
        <v>2401</v>
      </c>
      <c r="K382" t="s">
        <v>2401</v>
      </c>
      <c r="L382" t="s">
        <v>2401</v>
      </c>
      <c r="M382" s="14">
        <v>45399.554861111108</v>
      </c>
      <c r="N382" t="s">
        <v>2401</v>
      </c>
      <c r="O382" t="s">
        <v>2401</v>
      </c>
      <c r="P382" t="s">
        <v>2401</v>
      </c>
      <c r="Q382" t="s">
        <v>2401</v>
      </c>
      <c r="R382" t="s">
        <v>2401</v>
      </c>
      <c r="S382" t="s">
        <v>2401</v>
      </c>
    </row>
    <row r="383" spans="1:19">
      <c r="A383" t="s">
        <v>3916</v>
      </c>
      <c r="B383" t="s">
        <v>3917</v>
      </c>
      <c r="C383" t="s">
        <v>2401</v>
      </c>
      <c r="D383" t="s">
        <v>2401</v>
      </c>
      <c r="E383" t="s">
        <v>2401</v>
      </c>
      <c r="F383" t="s">
        <v>2401</v>
      </c>
      <c r="G383" t="s">
        <v>2401</v>
      </c>
      <c r="H383" t="s">
        <v>2401</v>
      </c>
      <c r="I383" t="s">
        <v>2401</v>
      </c>
      <c r="J383" t="s">
        <v>3918</v>
      </c>
      <c r="K383" t="s">
        <v>3919</v>
      </c>
      <c r="L383" t="s">
        <v>2401</v>
      </c>
      <c r="M383" s="14">
        <v>45399.554861111108</v>
      </c>
      <c r="N383" t="s">
        <v>3920</v>
      </c>
      <c r="O383" t="s">
        <v>3921</v>
      </c>
      <c r="P383" t="s">
        <v>2401</v>
      </c>
      <c r="Q383" t="s">
        <v>2401</v>
      </c>
      <c r="R383" t="s">
        <v>2401</v>
      </c>
      <c r="S383" t="s">
        <v>2401</v>
      </c>
    </row>
    <row r="384" spans="1:19">
      <c r="A384" t="s">
        <v>3922</v>
      </c>
      <c r="B384" t="s">
        <v>3923</v>
      </c>
      <c r="C384" t="s">
        <v>2401</v>
      </c>
      <c r="D384" t="s">
        <v>2401</v>
      </c>
      <c r="E384" t="s">
        <v>2401</v>
      </c>
      <c r="F384" t="s">
        <v>2401</v>
      </c>
      <c r="G384" t="s">
        <v>2401</v>
      </c>
      <c r="H384" t="s">
        <v>2401</v>
      </c>
      <c r="I384" t="s">
        <v>2401</v>
      </c>
      <c r="J384" t="s">
        <v>3924</v>
      </c>
      <c r="K384" t="s">
        <v>2720</v>
      </c>
      <c r="L384" t="s">
        <v>2401</v>
      </c>
      <c r="M384" s="14">
        <v>45565.677777777775</v>
      </c>
      <c r="N384" t="s">
        <v>3925</v>
      </c>
      <c r="O384" t="s">
        <v>3926</v>
      </c>
      <c r="P384" t="s">
        <v>2401</v>
      </c>
      <c r="Q384" t="s">
        <v>2401</v>
      </c>
      <c r="R384" t="s">
        <v>2401</v>
      </c>
      <c r="S384" t="s">
        <v>2401</v>
      </c>
    </row>
    <row r="385" spans="1:19">
      <c r="A385" t="s">
        <v>3927</v>
      </c>
      <c r="B385" t="s">
        <v>3928</v>
      </c>
      <c r="C385" t="s">
        <v>2401</v>
      </c>
      <c r="D385" t="s">
        <v>2401</v>
      </c>
      <c r="E385" t="s">
        <v>2401</v>
      </c>
      <c r="F385" t="s">
        <v>2401</v>
      </c>
      <c r="G385" t="s">
        <v>2401</v>
      </c>
      <c r="H385" t="s">
        <v>2401</v>
      </c>
      <c r="I385" t="s">
        <v>2401</v>
      </c>
      <c r="J385" t="s">
        <v>2401</v>
      </c>
      <c r="K385" t="s">
        <v>2438</v>
      </c>
      <c r="L385" t="s">
        <v>2401</v>
      </c>
      <c r="M385" s="14">
        <v>45390.607638888891</v>
      </c>
      <c r="N385" t="s">
        <v>2401</v>
      </c>
      <c r="O385" t="s">
        <v>3929</v>
      </c>
      <c r="P385" t="s">
        <v>2401</v>
      </c>
      <c r="Q385" t="s">
        <v>2401</v>
      </c>
      <c r="R385" t="s">
        <v>2401</v>
      </c>
      <c r="S385" t="s">
        <v>2401</v>
      </c>
    </row>
    <row r="386" spans="1:19">
      <c r="A386" t="s">
        <v>3930</v>
      </c>
      <c r="B386" t="s">
        <v>3931</v>
      </c>
      <c r="C386" t="s">
        <v>2401</v>
      </c>
      <c r="D386" t="s">
        <v>2401</v>
      </c>
      <c r="E386" t="s">
        <v>2401</v>
      </c>
      <c r="F386" t="s">
        <v>2401</v>
      </c>
      <c r="G386" t="s">
        <v>2401</v>
      </c>
      <c r="H386" t="s">
        <v>2401</v>
      </c>
      <c r="I386" t="s">
        <v>2401</v>
      </c>
      <c r="J386" t="s">
        <v>3932</v>
      </c>
      <c r="K386" t="s">
        <v>2709</v>
      </c>
      <c r="L386" t="s">
        <v>2401</v>
      </c>
      <c r="M386" s="14">
        <v>45565.65347222222</v>
      </c>
      <c r="N386" t="s">
        <v>3933</v>
      </c>
      <c r="O386" t="s">
        <v>2401</v>
      </c>
      <c r="P386" t="s">
        <v>2401</v>
      </c>
      <c r="Q386" t="s">
        <v>2401</v>
      </c>
      <c r="R386" t="s">
        <v>2401</v>
      </c>
      <c r="S386" t="s">
        <v>2401</v>
      </c>
    </row>
    <row r="387" spans="1:19">
      <c r="A387" t="s">
        <v>3934</v>
      </c>
      <c r="B387" t="s">
        <v>3935</v>
      </c>
      <c r="C387" t="s">
        <v>2401</v>
      </c>
      <c r="D387" t="s">
        <v>2401</v>
      </c>
      <c r="E387" t="s">
        <v>2401</v>
      </c>
      <c r="F387" t="s">
        <v>2401</v>
      </c>
      <c r="G387" t="s">
        <v>2401</v>
      </c>
      <c r="H387" t="s">
        <v>2401</v>
      </c>
      <c r="I387" t="s">
        <v>2401</v>
      </c>
      <c r="J387" t="s">
        <v>3936</v>
      </c>
      <c r="K387" t="s">
        <v>2401</v>
      </c>
      <c r="L387" t="s">
        <v>2401</v>
      </c>
      <c r="M387" s="14">
        <v>45565.65347222222</v>
      </c>
      <c r="N387" t="s">
        <v>3937</v>
      </c>
      <c r="O387" t="s">
        <v>3938</v>
      </c>
      <c r="P387" t="s">
        <v>2401</v>
      </c>
      <c r="Q387" t="s">
        <v>2401</v>
      </c>
      <c r="R387" t="s">
        <v>2401</v>
      </c>
      <c r="S387" t="s">
        <v>2401</v>
      </c>
    </row>
    <row r="388" spans="1:19">
      <c r="A388" t="s">
        <v>3939</v>
      </c>
      <c r="B388" t="s">
        <v>3940</v>
      </c>
      <c r="C388" t="s">
        <v>2401</v>
      </c>
      <c r="D388" t="s">
        <v>2401</v>
      </c>
      <c r="E388" t="s">
        <v>2401</v>
      </c>
      <c r="F388" t="s">
        <v>2401</v>
      </c>
      <c r="G388" t="s">
        <v>2401</v>
      </c>
      <c r="H388" t="s">
        <v>2401</v>
      </c>
      <c r="I388" t="s">
        <v>61</v>
      </c>
      <c r="J388" t="s">
        <v>3941</v>
      </c>
      <c r="K388" t="s">
        <v>2401</v>
      </c>
      <c r="L388" t="s">
        <v>2401</v>
      </c>
      <c r="M388" s="14">
        <v>45399.554861111108</v>
      </c>
      <c r="N388" t="s">
        <v>3942</v>
      </c>
      <c r="O388" t="s">
        <v>3943</v>
      </c>
      <c r="P388" t="s">
        <v>2401</v>
      </c>
      <c r="Q388" t="s">
        <v>2401</v>
      </c>
      <c r="R388" t="s">
        <v>2401</v>
      </c>
      <c r="S388" t="s">
        <v>2401</v>
      </c>
    </row>
    <row r="389" spans="1:19">
      <c r="A389" t="s">
        <v>3944</v>
      </c>
      <c r="B389" t="s">
        <v>3945</v>
      </c>
      <c r="C389" t="s">
        <v>2401</v>
      </c>
      <c r="D389" t="s">
        <v>2401</v>
      </c>
      <c r="E389" t="s">
        <v>2401</v>
      </c>
      <c r="F389" t="s">
        <v>2401</v>
      </c>
      <c r="G389" t="s">
        <v>2401</v>
      </c>
      <c r="H389" t="s">
        <v>2401</v>
      </c>
      <c r="I389" t="s">
        <v>2401</v>
      </c>
      <c r="J389" t="s">
        <v>2401</v>
      </c>
      <c r="K389" t="s">
        <v>2401</v>
      </c>
      <c r="L389" t="s">
        <v>2401</v>
      </c>
      <c r="M389" s="14">
        <v>45390.607638888891</v>
      </c>
      <c r="N389" t="s">
        <v>2401</v>
      </c>
      <c r="O389" t="s">
        <v>3943</v>
      </c>
      <c r="P389" t="s">
        <v>2401</v>
      </c>
      <c r="Q389" t="s">
        <v>2401</v>
      </c>
      <c r="R389" t="s">
        <v>2401</v>
      </c>
      <c r="S389" t="s">
        <v>2401</v>
      </c>
    </row>
    <row r="390" spans="1:19">
      <c r="A390" t="s">
        <v>3946</v>
      </c>
      <c r="B390" t="s">
        <v>3947</v>
      </c>
      <c r="C390" t="s">
        <v>2401</v>
      </c>
      <c r="D390" t="s">
        <v>2401</v>
      </c>
      <c r="E390" t="s">
        <v>2401</v>
      </c>
      <c r="F390" t="s">
        <v>2401</v>
      </c>
      <c r="G390" t="s">
        <v>2401</v>
      </c>
      <c r="H390" t="s">
        <v>2401</v>
      </c>
      <c r="I390" t="s">
        <v>2401</v>
      </c>
      <c r="J390" t="s">
        <v>3948</v>
      </c>
      <c r="K390" t="s">
        <v>2427</v>
      </c>
      <c r="L390" t="s">
        <v>2401</v>
      </c>
      <c r="M390" s="14">
        <v>45399.554861111108</v>
      </c>
      <c r="N390" t="s">
        <v>3949</v>
      </c>
      <c r="O390" t="s">
        <v>3950</v>
      </c>
      <c r="P390" t="s">
        <v>2401</v>
      </c>
      <c r="Q390" t="s">
        <v>2401</v>
      </c>
      <c r="R390" t="s">
        <v>2401</v>
      </c>
      <c r="S390" t="s">
        <v>2401</v>
      </c>
    </row>
    <row r="391" spans="1:19">
      <c r="A391" t="s">
        <v>3951</v>
      </c>
      <c r="B391" t="s">
        <v>1297</v>
      </c>
      <c r="C391" t="s">
        <v>2401</v>
      </c>
      <c r="D391" t="s">
        <v>2401</v>
      </c>
      <c r="E391" t="s">
        <v>2401</v>
      </c>
      <c r="F391" t="s">
        <v>2401</v>
      </c>
      <c r="G391" t="s">
        <v>2401</v>
      </c>
      <c r="H391" t="s">
        <v>2401</v>
      </c>
      <c r="I391" t="s">
        <v>2401</v>
      </c>
      <c r="J391" t="s">
        <v>3952</v>
      </c>
      <c r="K391" t="s">
        <v>2427</v>
      </c>
      <c r="L391" t="s">
        <v>2401</v>
      </c>
      <c r="M391" s="14">
        <v>45390.607638888891</v>
      </c>
      <c r="N391" t="s">
        <v>3953</v>
      </c>
      <c r="O391" t="s">
        <v>3954</v>
      </c>
      <c r="P391" t="s">
        <v>2401</v>
      </c>
      <c r="Q391" t="s">
        <v>2401</v>
      </c>
      <c r="R391" t="s">
        <v>2401</v>
      </c>
      <c r="S391" t="s">
        <v>2401</v>
      </c>
    </row>
    <row r="392" spans="1:19">
      <c r="A392" t="s">
        <v>3955</v>
      </c>
      <c r="B392" t="s">
        <v>3956</v>
      </c>
      <c r="C392" t="s">
        <v>2401</v>
      </c>
      <c r="D392" t="s">
        <v>2401</v>
      </c>
      <c r="E392" t="s">
        <v>2401</v>
      </c>
      <c r="F392" t="s">
        <v>2401</v>
      </c>
      <c r="G392" t="s">
        <v>2401</v>
      </c>
      <c r="H392" t="s">
        <v>2401</v>
      </c>
      <c r="I392" t="s">
        <v>2401</v>
      </c>
      <c r="J392" t="s">
        <v>3957</v>
      </c>
      <c r="K392" t="s">
        <v>2406</v>
      </c>
      <c r="L392" t="s">
        <v>2401</v>
      </c>
      <c r="M392" s="14">
        <v>45534.874305555553</v>
      </c>
      <c r="N392" t="s">
        <v>3958</v>
      </c>
      <c r="O392" t="s">
        <v>2401</v>
      </c>
      <c r="P392" t="s">
        <v>2401</v>
      </c>
      <c r="Q392" t="s">
        <v>2401</v>
      </c>
      <c r="R392" t="s">
        <v>2401</v>
      </c>
      <c r="S392" t="s">
        <v>2401</v>
      </c>
    </row>
    <row r="393" spans="1:19">
      <c r="A393" t="s">
        <v>3959</v>
      </c>
      <c r="B393" t="s">
        <v>3960</v>
      </c>
      <c r="C393" t="s">
        <v>2401</v>
      </c>
      <c r="D393" t="s">
        <v>2401</v>
      </c>
      <c r="E393" t="s">
        <v>2401</v>
      </c>
      <c r="F393" t="s">
        <v>2401</v>
      </c>
      <c r="G393" t="s">
        <v>2401</v>
      </c>
      <c r="H393" t="s">
        <v>2401</v>
      </c>
      <c r="I393" t="s">
        <v>2401</v>
      </c>
      <c r="J393" t="s">
        <v>3961</v>
      </c>
      <c r="K393" t="s">
        <v>2401</v>
      </c>
      <c r="L393" t="s">
        <v>2401</v>
      </c>
      <c r="M393" s="14">
        <v>45534.874305555553</v>
      </c>
      <c r="N393" t="s">
        <v>3962</v>
      </c>
      <c r="O393" t="s">
        <v>2401</v>
      </c>
      <c r="P393" t="s">
        <v>2401</v>
      </c>
      <c r="Q393" t="s">
        <v>2401</v>
      </c>
      <c r="R393" t="s">
        <v>2401</v>
      </c>
      <c r="S393" t="s">
        <v>2401</v>
      </c>
    </row>
    <row r="394" spans="1:19">
      <c r="A394" t="s">
        <v>3963</v>
      </c>
      <c r="B394" t="s">
        <v>3964</v>
      </c>
      <c r="C394" t="s">
        <v>2401</v>
      </c>
      <c r="D394" t="s">
        <v>2401</v>
      </c>
      <c r="E394" t="s">
        <v>2401</v>
      </c>
      <c r="F394" t="s">
        <v>2401</v>
      </c>
      <c r="G394" t="s">
        <v>2401</v>
      </c>
      <c r="H394" t="s">
        <v>2401</v>
      </c>
      <c r="I394" t="s">
        <v>2401</v>
      </c>
      <c r="J394" t="s">
        <v>3965</v>
      </c>
      <c r="K394" t="s">
        <v>2492</v>
      </c>
      <c r="L394" t="s">
        <v>2401</v>
      </c>
      <c r="M394" s="14">
        <v>45399.554861111108</v>
      </c>
      <c r="N394" t="s">
        <v>3966</v>
      </c>
      <c r="O394" t="s">
        <v>3967</v>
      </c>
      <c r="P394" t="s">
        <v>2401</v>
      </c>
      <c r="Q394" t="s">
        <v>2401</v>
      </c>
      <c r="R394" t="s">
        <v>2401</v>
      </c>
      <c r="S394" t="s">
        <v>2401</v>
      </c>
    </row>
    <row r="395" spans="1:19">
      <c r="A395" t="s">
        <v>3968</v>
      </c>
      <c r="B395" t="s">
        <v>3969</v>
      </c>
      <c r="C395" t="s">
        <v>2401</v>
      </c>
      <c r="D395" t="s">
        <v>2401</v>
      </c>
      <c r="E395" t="s">
        <v>2401</v>
      </c>
      <c r="F395" t="s">
        <v>2401</v>
      </c>
      <c r="G395" t="s">
        <v>2401</v>
      </c>
      <c r="H395" t="s">
        <v>2401</v>
      </c>
      <c r="I395" t="s">
        <v>2401</v>
      </c>
      <c r="J395" t="s">
        <v>2401</v>
      </c>
      <c r="K395" t="s">
        <v>3147</v>
      </c>
      <c r="L395" t="s">
        <v>2401</v>
      </c>
      <c r="M395" s="14">
        <v>45390.607638888891</v>
      </c>
      <c r="N395" t="s">
        <v>2401</v>
      </c>
      <c r="O395" t="s">
        <v>3970</v>
      </c>
      <c r="P395" t="s">
        <v>2401</v>
      </c>
      <c r="Q395" t="s">
        <v>2401</v>
      </c>
      <c r="R395" t="s">
        <v>2401</v>
      </c>
      <c r="S395" t="s">
        <v>2401</v>
      </c>
    </row>
    <row r="396" spans="1:19">
      <c r="A396" t="s">
        <v>3971</v>
      </c>
      <c r="B396" t="s">
        <v>3972</v>
      </c>
      <c r="C396" t="s">
        <v>2401</v>
      </c>
      <c r="D396" t="s">
        <v>2401</v>
      </c>
      <c r="E396" t="s">
        <v>2401</v>
      </c>
      <c r="F396" t="s">
        <v>2401</v>
      </c>
      <c r="G396" t="s">
        <v>2401</v>
      </c>
      <c r="H396" t="s">
        <v>2401</v>
      </c>
      <c r="I396" t="s">
        <v>2401</v>
      </c>
      <c r="J396" t="s">
        <v>3973</v>
      </c>
      <c r="K396" t="s">
        <v>2401</v>
      </c>
      <c r="L396" t="s">
        <v>2401</v>
      </c>
      <c r="M396" s="14">
        <v>45399.554861111108</v>
      </c>
      <c r="N396" t="s">
        <v>3974</v>
      </c>
      <c r="O396" t="s">
        <v>3975</v>
      </c>
      <c r="P396" t="s">
        <v>2401</v>
      </c>
      <c r="Q396" t="s">
        <v>2401</v>
      </c>
      <c r="R396" t="s">
        <v>2401</v>
      </c>
      <c r="S396" t="s">
        <v>2401</v>
      </c>
    </row>
    <row r="397" spans="1:19">
      <c r="A397" t="s">
        <v>3976</v>
      </c>
      <c r="B397" t="s">
        <v>3977</v>
      </c>
      <c r="C397" t="s">
        <v>2401</v>
      </c>
      <c r="D397" t="s">
        <v>2401</v>
      </c>
      <c r="E397" t="s">
        <v>2401</v>
      </c>
      <c r="F397" t="s">
        <v>2401</v>
      </c>
      <c r="G397" t="s">
        <v>2401</v>
      </c>
      <c r="H397" t="s">
        <v>2401</v>
      </c>
      <c r="I397" t="s">
        <v>2401</v>
      </c>
      <c r="J397" t="s">
        <v>2401</v>
      </c>
      <c r="K397" t="s">
        <v>2401</v>
      </c>
      <c r="L397" t="s">
        <v>2401</v>
      </c>
      <c r="M397" s="14">
        <v>45399.554861111108</v>
      </c>
      <c r="N397" t="s">
        <v>2401</v>
      </c>
      <c r="O397" t="s">
        <v>2401</v>
      </c>
      <c r="P397" t="s">
        <v>2401</v>
      </c>
      <c r="Q397" t="s">
        <v>2401</v>
      </c>
      <c r="R397" t="s">
        <v>2401</v>
      </c>
      <c r="S397" t="s">
        <v>2401</v>
      </c>
    </row>
    <row r="398" spans="1:19">
      <c r="A398" t="s">
        <v>3978</v>
      </c>
      <c r="B398" t="s">
        <v>3979</v>
      </c>
      <c r="C398" t="s">
        <v>2401</v>
      </c>
      <c r="D398" t="s">
        <v>2401</v>
      </c>
      <c r="E398" t="s">
        <v>2401</v>
      </c>
      <c r="F398" t="s">
        <v>2401</v>
      </c>
      <c r="G398" t="s">
        <v>2401</v>
      </c>
      <c r="H398" t="s">
        <v>2401</v>
      </c>
      <c r="I398" t="s">
        <v>2401</v>
      </c>
      <c r="J398" t="s">
        <v>3980</v>
      </c>
      <c r="K398" t="s">
        <v>2720</v>
      </c>
      <c r="L398" t="s">
        <v>2401</v>
      </c>
      <c r="M398" s="14">
        <v>45565.700694444444</v>
      </c>
      <c r="N398" t="s">
        <v>3981</v>
      </c>
      <c r="O398" t="s">
        <v>3982</v>
      </c>
      <c r="P398" t="s">
        <v>2401</v>
      </c>
      <c r="Q398" t="s">
        <v>2401</v>
      </c>
      <c r="R398" t="s">
        <v>2401</v>
      </c>
      <c r="S398" t="s">
        <v>2401</v>
      </c>
    </row>
    <row r="399" spans="1:19">
      <c r="A399" t="s">
        <v>3983</v>
      </c>
      <c r="B399" t="s">
        <v>3984</v>
      </c>
      <c r="C399" t="s">
        <v>2474</v>
      </c>
      <c r="D399" t="s">
        <v>3985</v>
      </c>
      <c r="E399" t="s">
        <v>3986</v>
      </c>
      <c r="F399" t="s">
        <v>3987</v>
      </c>
      <c r="G399" t="s">
        <v>3988</v>
      </c>
      <c r="H399" t="s">
        <v>3989</v>
      </c>
      <c r="I399" t="s">
        <v>2401</v>
      </c>
      <c r="J399" t="s">
        <v>2401</v>
      </c>
      <c r="K399" t="s">
        <v>2401</v>
      </c>
      <c r="L399" t="s">
        <v>2401</v>
      </c>
      <c r="M399" s="14">
        <v>45517.415972222225</v>
      </c>
      <c r="N399" t="s">
        <v>2401</v>
      </c>
      <c r="O399" t="s">
        <v>2401</v>
      </c>
      <c r="P399" t="s">
        <v>2401</v>
      </c>
      <c r="Q399" t="s">
        <v>2401</v>
      </c>
      <c r="R399" t="s">
        <v>2401</v>
      </c>
      <c r="S399" t="s">
        <v>2401</v>
      </c>
    </row>
    <row r="400" spans="1:19">
      <c r="A400" t="s">
        <v>3990</v>
      </c>
      <c r="B400" t="s">
        <v>3991</v>
      </c>
      <c r="C400" t="s">
        <v>2401</v>
      </c>
      <c r="D400" t="s">
        <v>2401</v>
      </c>
      <c r="E400" t="s">
        <v>2401</v>
      </c>
      <c r="F400" t="s">
        <v>2401</v>
      </c>
      <c r="G400" t="s">
        <v>2401</v>
      </c>
      <c r="H400" t="s">
        <v>2401</v>
      </c>
      <c r="I400" t="s">
        <v>2401</v>
      </c>
      <c r="J400" t="s">
        <v>2401</v>
      </c>
      <c r="K400" t="s">
        <v>2401</v>
      </c>
      <c r="L400" t="s">
        <v>2401</v>
      </c>
      <c r="M400" s="14">
        <v>45399.554861111108</v>
      </c>
      <c r="N400" t="s">
        <v>2401</v>
      </c>
      <c r="O400" t="s">
        <v>2401</v>
      </c>
      <c r="P400" t="s">
        <v>2401</v>
      </c>
      <c r="Q400" t="s">
        <v>2401</v>
      </c>
      <c r="R400" t="s">
        <v>2401</v>
      </c>
      <c r="S400" t="s">
        <v>2401</v>
      </c>
    </row>
    <row r="401" spans="1:19">
      <c r="A401" t="s">
        <v>3992</v>
      </c>
      <c r="B401" t="s">
        <v>3993</v>
      </c>
      <c r="C401" t="s">
        <v>2401</v>
      </c>
      <c r="D401" t="s">
        <v>2401</v>
      </c>
      <c r="E401" t="s">
        <v>2401</v>
      </c>
      <c r="F401" t="s">
        <v>2401</v>
      </c>
      <c r="G401" t="s">
        <v>2401</v>
      </c>
      <c r="H401" t="s">
        <v>2401</v>
      </c>
      <c r="I401" t="s">
        <v>2401</v>
      </c>
      <c r="J401" t="s">
        <v>3994</v>
      </c>
      <c r="K401" t="s">
        <v>2448</v>
      </c>
      <c r="L401" t="s">
        <v>2538</v>
      </c>
      <c r="M401" s="14">
        <v>45091.397222222222</v>
      </c>
      <c r="N401" t="s">
        <v>3995</v>
      </c>
      <c r="O401" t="s">
        <v>2821</v>
      </c>
      <c r="P401" t="s">
        <v>2401</v>
      </c>
      <c r="Q401" t="s">
        <v>2401</v>
      </c>
      <c r="R401" t="s">
        <v>2401</v>
      </c>
      <c r="S401" t="s">
        <v>2401</v>
      </c>
    </row>
    <row r="402" spans="1:19">
      <c r="A402" t="s">
        <v>3996</v>
      </c>
      <c r="B402" t="s">
        <v>3997</v>
      </c>
      <c r="C402" t="s">
        <v>2401</v>
      </c>
      <c r="D402" t="s">
        <v>2401</v>
      </c>
      <c r="E402" t="s">
        <v>2401</v>
      </c>
      <c r="F402" t="s">
        <v>2401</v>
      </c>
      <c r="G402" t="s">
        <v>2401</v>
      </c>
      <c r="H402" t="s">
        <v>2401</v>
      </c>
      <c r="I402" t="s">
        <v>61</v>
      </c>
      <c r="J402" t="s">
        <v>3998</v>
      </c>
      <c r="K402" t="s">
        <v>2401</v>
      </c>
      <c r="L402" t="s">
        <v>2401</v>
      </c>
      <c r="M402" s="14">
        <v>45399.554861111108</v>
      </c>
      <c r="N402" t="s">
        <v>3999</v>
      </c>
      <c r="O402" t="s">
        <v>4000</v>
      </c>
      <c r="P402" t="s">
        <v>2401</v>
      </c>
      <c r="Q402" t="s">
        <v>2401</v>
      </c>
      <c r="R402" t="s">
        <v>2401</v>
      </c>
      <c r="S402" t="s">
        <v>2401</v>
      </c>
    </row>
    <row r="403" spans="1:19">
      <c r="A403" t="s">
        <v>4001</v>
      </c>
      <c r="B403" t="s">
        <v>4002</v>
      </c>
      <c r="C403" t="s">
        <v>2401</v>
      </c>
      <c r="D403" t="s">
        <v>2401</v>
      </c>
      <c r="E403" t="s">
        <v>2401</v>
      </c>
      <c r="F403" t="s">
        <v>2401</v>
      </c>
      <c r="G403" t="s">
        <v>2401</v>
      </c>
      <c r="H403" t="s">
        <v>2401</v>
      </c>
      <c r="I403" t="s">
        <v>2401</v>
      </c>
      <c r="J403" t="s">
        <v>2401</v>
      </c>
      <c r="K403" t="s">
        <v>2406</v>
      </c>
      <c r="L403" t="s">
        <v>2401</v>
      </c>
      <c r="M403" s="14">
        <v>45390.607638888891</v>
      </c>
      <c r="N403" t="s">
        <v>2401</v>
      </c>
      <c r="O403" t="s">
        <v>2401</v>
      </c>
      <c r="P403" t="s">
        <v>2401</v>
      </c>
      <c r="Q403" t="s">
        <v>2401</v>
      </c>
      <c r="R403" t="s">
        <v>2401</v>
      </c>
      <c r="S403" t="s">
        <v>2401</v>
      </c>
    </row>
    <row r="404" spans="1:19">
      <c r="A404" t="s">
        <v>4003</v>
      </c>
      <c r="B404" t="s">
        <v>4004</v>
      </c>
      <c r="C404" t="s">
        <v>2564</v>
      </c>
      <c r="D404" t="s">
        <v>4005</v>
      </c>
      <c r="E404" t="s">
        <v>4006</v>
      </c>
      <c r="F404" t="s">
        <v>4007</v>
      </c>
      <c r="G404" t="s">
        <v>4008</v>
      </c>
      <c r="H404" t="s">
        <v>4009</v>
      </c>
      <c r="I404" t="s">
        <v>2401</v>
      </c>
      <c r="J404" t="s">
        <v>4010</v>
      </c>
      <c r="K404" t="s">
        <v>2784</v>
      </c>
      <c r="L404" t="s">
        <v>2401</v>
      </c>
      <c r="M404" s="14">
        <v>45534.874305555553</v>
      </c>
      <c r="N404" t="s">
        <v>4011</v>
      </c>
      <c r="O404" t="s">
        <v>4012</v>
      </c>
      <c r="P404" t="s">
        <v>2401</v>
      </c>
      <c r="Q404" t="s">
        <v>2401</v>
      </c>
      <c r="R404" t="s">
        <v>2401</v>
      </c>
      <c r="S404" t="s">
        <v>2401</v>
      </c>
    </row>
    <row r="405" spans="1:19">
      <c r="A405" t="s">
        <v>4013</v>
      </c>
      <c r="B405" t="s">
        <v>4014</v>
      </c>
      <c r="C405" t="s">
        <v>2401</v>
      </c>
      <c r="D405" t="s">
        <v>2401</v>
      </c>
      <c r="E405" t="s">
        <v>2401</v>
      </c>
      <c r="F405" t="s">
        <v>2401</v>
      </c>
      <c r="G405" t="s">
        <v>2401</v>
      </c>
      <c r="H405" t="s">
        <v>2401</v>
      </c>
      <c r="I405" t="s">
        <v>2401</v>
      </c>
      <c r="J405" t="s">
        <v>4015</v>
      </c>
      <c r="K405" t="s">
        <v>2720</v>
      </c>
      <c r="L405" t="s">
        <v>2401</v>
      </c>
      <c r="M405" s="14">
        <v>45565.678472222222</v>
      </c>
      <c r="N405" t="s">
        <v>4016</v>
      </c>
      <c r="O405" t="s">
        <v>4017</v>
      </c>
      <c r="P405" t="s">
        <v>2401</v>
      </c>
      <c r="Q405" t="s">
        <v>2401</v>
      </c>
      <c r="R405" t="s">
        <v>2401</v>
      </c>
      <c r="S405" t="s">
        <v>2401</v>
      </c>
    </row>
    <row r="406" spans="1:19">
      <c r="A406" t="s">
        <v>4018</v>
      </c>
      <c r="B406" t="s">
        <v>4019</v>
      </c>
      <c r="C406" t="s">
        <v>2401</v>
      </c>
      <c r="D406" t="s">
        <v>2401</v>
      </c>
      <c r="E406" t="s">
        <v>2401</v>
      </c>
      <c r="F406" t="s">
        <v>2401</v>
      </c>
      <c r="G406" t="s">
        <v>2401</v>
      </c>
      <c r="H406" t="s">
        <v>2401</v>
      </c>
      <c r="I406" t="s">
        <v>2401</v>
      </c>
      <c r="J406" t="s">
        <v>4020</v>
      </c>
      <c r="K406" t="s">
        <v>2499</v>
      </c>
      <c r="L406" t="s">
        <v>2401</v>
      </c>
      <c r="M406" s="14">
        <v>45565.670138888891</v>
      </c>
      <c r="N406" t="s">
        <v>4021</v>
      </c>
      <c r="O406" t="s">
        <v>2401</v>
      </c>
      <c r="P406" t="s">
        <v>2401</v>
      </c>
      <c r="Q406" t="s">
        <v>2401</v>
      </c>
      <c r="R406" t="s">
        <v>2401</v>
      </c>
      <c r="S406" t="s">
        <v>2401</v>
      </c>
    </row>
    <row r="407" spans="1:19">
      <c r="A407" t="s">
        <v>4022</v>
      </c>
      <c r="B407" t="s">
        <v>4023</v>
      </c>
      <c r="C407" t="s">
        <v>2401</v>
      </c>
      <c r="D407" t="s">
        <v>2401</v>
      </c>
      <c r="E407" t="s">
        <v>2401</v>
      </c>
      <c r="F407" t="s">
        <v>2401</v>
      </c>
      <c r="G407" t="s">
        <v>2401</v>
      </c>
      <c r="H407" t="s">
        <v>2401</v>
      </c>
      <c r="I407" t="s">
        <v>61</v>
      </c>
      <c r="J407" t="s">
        <v>4024</v>
      </c>
      <c r="K407" t="s">
        <v>4025</v>
      </c>
      <c r="L407" t="s">
        <v>2401</v>
      </c>
      <c r="M407" s="14">
        <v>45399.554861111108</v>
      </c>
      <c r="N407" t="s">
        <v>4026</v>
      </c>
      <c r="O407" t="s">
        <v>4027</v>
      </c>
      <c r="P407" t="s">
        <v>2401</v>
      </c>
      <c r="Q407" t="s">
        <v>2401</v>
      </c>
      <c r="R407" t="s">
        <v>2401</v>
      </c>
      <c r="S407" t="s">
        <v>2401</v>
      </c>
    </row>
    <row r="408" spans="1:19">
      <c r="A408" t="s">
        <v>4028</v>
      </c>
      <c r="B408" t="s">
        <v>4023</v>
      </c>
      <c r="C408" t="s">
        <v>2401</v>
      </c>
      <c r="D408" t="s">
        <v>2401</v>
      </c>
      <c r="E408" t="s">
        <v>2401</v>
      </c>
      <c r="F408" t="s">
        <v>2401</v>
      </c>
      <c r="G408" t="s">
        <v>2401</v>
      </c>
      <c r="H408" t="s">
        <v>2401</v>
      </c>
      <c r="I408" t="s">
        <v>2401</v>
      </c>
      <c r="J408" t="s">
        <v>2401</v>
      </c>
      <c r="K408" t="s">
        <v>2401</v>
      </c>
      <c r="L408" t="s">
        <v>2401</v>
      </c>
      <c r="M408" s="14">
        <v>45390.607638888891</v>
      </c>
      <c r="N408" t="s">
        <v>2401</v>
      </c>
      <c r="O408" t="s">
        <v>2401</v>
      </c>
      <c r="P408" t="s">
        <v>2401</v>
      </c>
      <c r="Q408" t="s">
        <v>2401</v>
      </c>
      <c r="R408" t="s">
        <v>2401</v>
      </c>
      <c r="S408" t="s">
        <v>2401</v>
      </c>
    </row>
    <row r="409" spans="1:19">
      <c r="A409" t="s">
        <v>4029</v>
      </c>
      <c r="B409" t="s">
        <v>4030</v>
      </c>
      <c r="C409" t="s">
        <v>2401</v>
      </c>
      <c r="D409" t="s">
        <v>2401</v>
      </c>
      <c r="E409" t="s">
        <v>2401</v>
      </c>
      <c r="F409" t="s">
        <v>2401</v>
      </c>
      <c r="G409" t="s">
        <v>2401</v>
      </c>
      <c r="H409" t="s">
        <v>2401</v>
      </c>
      <c r="I409" t="s">
        <v>2401</v>
      </c>
      <c r="J409" t="s">
        <v>4031</v>
      </c>
      <c r="K409" t="s">
        <v>2499</v>
      </c>
      <c r="L409" t="s">
        <v>2401</v>
      </c>
      <c r="M409" s="14">
        <v>45399.554861111108</v>
      </c>
      <c r="N409" t="s">
        <v>4032</v>
      </c>
      <c r="O409" t="s">
        <v>4033</v>
      </c>
      <c r="P409" t="s">
        <v>2401</v>
      </c>
      <c r="Q409" t="s">
        <v>2401</v>
      </c>
      <c r="R409" t="s">
        <v>2401</v>
      </c>
      <c r="S409" t="s">
        <v>2401</v>
      </c>
    </row>
    <row r="410" spans="1:19">
      <c r="A410" t="s">
        <v>4034</v>
      </c>
      <c r="B410" t="s">
        <v>4035</v>
      </c>
      <c r="C410" t="s">
        <v>2401</v>
      </c>
      <c r="D410" t="s">
        <v>2401</v>
      </c>
      <c r="E410" t="s">
        <v>2401</v>
      </c>
      <c r="F410" t="s">
        <v>2401</v>
      </c>
      <c r="G410" t="s">
        <v>2401</v>
      </c>
      <c r="H410" t="s">
        <v>2401</v>
      </c>
      <c r="I410" t="s">
        <v>2401</v>
      </c>
      <c r="J410" t="s">
        <v>4035</v>
      </c>
      <c r="K410" t="s">
        <v>2401</v>
      </c>
      <c r="L410" t="s">
        <v>2401</v>
      </c>
      <c r="M410" s="14">
        <v>45554.479166666664</v>
      </c>
      <c r="N410" t="s">
        <v>2401</v>
      </c>
      <c r="O410" t="s">
        <v>2401</v>
      </c>
      <c r="P410" t="s">
        <v>2401</v>
      </c>
      <c r="Q410" t="s">
        <v>2401</v>
      </c>
      <c r="R410" t="s">
        <v>2401</v>
      </c>
      <c r="S410" t="s">
        <v>2401</v>
      </c>
    </row>
    <row r="411" spans="1:19">
      <c r="A411" t="s">
        <v>4036</v>
      </c>
      <c r="B411" t="s">
        <v>4037</v>
      </c>
      <c r="C411" t="s">
        <v>2401</v>
      </c>
      <c r="D411" t="s">
        <v>2401</v>
      </c>
      <c r="E411" t="s">
        <v>2401</v>
      </c>
      <c r="F411" t="s">
        <v>2401</v>
      </c>
      <c r="G411" t="s">
        <v>2401</v>
      </c>
      <c r="H411" t="s">
        <v>2401</v>
      </c>
      <c r="I411" t="s">
        <v>2401</v>
      </c>
      <c r="J411" t="s">
        <v>4038</v>
      </c>
      <c r="K411" t="s">
        <v>2401</v>
      </c>
      <c r="L411" t="s">
        <v>2401</v>
      </c>
      <c r="M411" s="14">
        <v>45399.554861111108</v>
      </c>
      <c r="N411" t="s">
        <v>4039</v>
      </c>
      <c r="O411" t="s">
        <v>4040</v>
      </c>
      <c r="P411" t="s">
        <v>2401</v>
      </c>
      <c r="Q411" t="s">
        <v>2401</v>
      </c>
      <c r="R411" t="s">
        <v>2401</v>
      </c>
      <c r="S411" t="s">
        <v>2401</v>
      </c>
    </row>
    <row r="412" spans="1:19">
      <c r="A412" t="s">
        <v>4041</v>
      </c>
      <c r="B412" t="s">
        <v>4042</v>
      </c>
      <c r="C412" t="s">
        <v>2401</v>
      </c>
      <c r="D412" t="s">
        <v>2401</v>
      </c>
      <c r="E412" t="s">
        <v>2401</v>
      </c>
      <c r="F412" t="s">
        <v>2401</v>
      </c>
      <c r="G412" t="s">
        <v>2401</v>
      </c>
      <c r="H412" t="s">
        <v>2401</v>
      </c>
      <c r="I412" t="s">
        <v>2401</v>
      </c>
      <c r="J412" t="s">
        <v>2401</v>
      </c>
      <c r="K412" t="s">
        <v>3919</v>
      </c>
      <c r="L412" t="s">
        <v>2401</v>
      </c>
      <c r="M412" s="14">
        <v>45390.607638888891</v>
      </c>
      <c r="N412" t="s">
        <v>2401</v>
      </c>
      <c r="O412" t="s">
        <v>4043</v>
      </c>
      <c r="P412" t="s">
        <v>2401</v>
      </c>
      <c r="Q412" t="s">
        <v>2401</v>
      </c>
      <c r="R412" t="s">
        <v>2401</v>
      </c>
      <c r="S412" t="s">
        <v>2401</v>
      </c>
    </row>
    <row r="413" spans="1:19">
      <c r="A413" t="s">
        <v>4044</v>
      </c>
      <c r="B413" t="s">
        <v>4045</v>
      </c>
      <c r="C413" t="s">
        <v>2401</v>
      </c>
      <c r="D413" t="s">
        <v>2401</v>
      </c>
      <c r="E413" t="s">
        <v>2401</v>
      </c>
      <c r="F413" t="s">
        <v>2401</v>
      </c>
      <c r="G413" t="s">
        <v>2401</v>
      </c>
      <c r="H413" t="s">
        <v>2401</v>
      </c>
      <c r="I413" t="s">
        <v>2401</v>
      </c>
      <c r="J413" t="s">
        <v>4046</v>
      </c>
      <c r="K413" t="s">
        <v>3071</v>
      </c>
      <c r="L413" t="s">
        <v>2401</v>
      </c>
      <c r="M413" s="14">
        <v>45565.566666666666</v>
      </c>
      <c r="N413" t="s">
        <v>3884</v>
      </c>
      <c r="O413" t="s">
        <v>3885</v>
      </c>
      <c r="P413" t="s">
        <v>2401</v>
      </c>
      <c r="Q413" t="s">
        <v>2401</v>
      </c>
      <c r="R413" t="s">
        <v>2401</v>
      </c>
      <c r="S413" t="s">
        <v>2401</v>
      </c>
    </row>
    <row r="414" spans="1:19">
      <c r="A414" t="s">
        <v>4047</v>
      </c>
      <c r="B414" t="s">
        <v>4048</v>
      </c>
      <c r="C414" t="s">
        <v>2564</v>
      </c>
      <c r="D414" t="s">
        <v>4049</v>
      </c>
      <c r="E414" t="s">
        <v>4050</v>
      </c>
      <c r="F414" t="s">
        <v>4051</v>
      </c>
      <c r="G414" t="s">
        <v>4052</v>
      </c>
      <c r="H414" t="s">
        <v>4053</v>
      </c>
      <c r="I414" t="s">
        <v>2401</v>
      </c>
      <c r="J414" t="s">
        <v>4054</v>
      </c>
      <c r="K414" t="s">
        <v>2406</v>
      </c>
      <c r="L414" t="s">
        <v>2401</v>
      </c>
      <c r="M414" s="14">
        <v>45534.874305555553</v>
      </c>
      <c r="N414" t="s">
        <v>4055</v>
      </c>
      <c r="O414" t="s">
        <v>4056</v>
      </c>
      <c r="P414" t="s">
        <v>2401</v>
      </c>
      <c r="Q414" t="s">
        <v>2401</v>
      </c>
      <c r="R414" t="s">
        <v>2401</v>
      </c>
      <c r="S414" t="s">
        <v>2401</v>
      </c>
    </row>
    <row r="415" spans="1:19">
      <c r="A415" t="s">
        <v>4057</v>
      </c>
      <c r="B415" t="s">
        <v>4058</v>
      </c>
      <c r="C415" t="s">
        <v>2401</v>
      </c>
      <c r="D415" t="s">
        <v>2401</v>
      </c>
      <c r="E415" t="s">
        <v>2401</v>
      </c>
      <c r="F415" t="s">
        <v>2401</v>
      </c>
      <c r="G415" t="s">
        <v>2401</v>
      </c>
      <c r="H415" t="s">
        <v>2401</v>
      </c>
      <c r="I415" t="s">
        <v>2401</v>
      </c>
      <c r="J415" t="s">
        <v>4059</v>
      </c>
      <c r="K415" t="s">
        <v>2433</v>
      </c>
      <c r="L415" t="s">
        <v>2401</v>
      </c>
      <c r="M415" s="14">
        <v>45565.656944444447</v>
      </c>
      <c r="N415" t="s">
        <v>4060</v>
      </c>
      <c r="O415" t="s">
        <v>4061</v>
      </c>
      <c r="P415" t="s">
        <v>2401</v>
      </c>
      <c r="Q415" t="s">
        <v>2401</v>
      </c>
      <c r="R415" t="s">
        <v>2401</v>
      </c>
      <c r="S415" t="s">
        <v>2401</v>
      </c>
    </row>
    <row r="416" spans="1:19">
      <c r="A416" t="s">
        <v>4062</v>
      </c>
      <c r="B416" t="s">
        <v>4063</v>
      </c>
      <c r="C416" t="s">
        <v>2401</v>
      </c>
      <c r="D416" t="s">
        <v>2401</v>
      </c>
      <c r="E416" t="s">
        <v>2401</v>
      </c>
      <c r="F416" t="s">
        <v>2401</v>
      </c>
      <c r="G416" t="s">
        <v>2401</v>
      </c>
      <c r="H416" t="s">
        <v>2401</v>
      </c>
      <c r="I416" t="s">
        <v>2401</v>
      </c>
      <c r="J416" t="s">
        <v>4064</v>
      </c>
      <c r="K416" t="s">
        <v>3308</v>
      </c>
      <c r="L416" t="s">
        <v>2401</v>
      </c>
      <c r="M416" s="14">
        <v>45399.554861111108</v>
      </c>
      <c r="N416" t="s">
        <v>4065</v>
      </c>
      <c r="O416" t="s">
        <v>4066</v>
      </c>
      <c r="P416" t="s">
        <v>2401</v>
      </c>
      <c r="Q416" t="s">
        <v>2401</v>
      </c>
      <c r="R416" t="s">
        <v>2401</v>
      </c>
      <c r="S416" t="s">
        <v>2401</v>
      </c>
    </row>
    <row r="417" spans="1:19">
      <c r="A417" t="s">
        <v>4067</v>
      </c>
      <c r="B417" t="s">
        <v>4068</v>
      </c>
      <c r="C417" t="s">
        <v>2401</v>
      </c>
      <c r="D417" t="s">
        <v>2401</v>
      </c>
      <c r="E417" t="s">
        <v>2401</v>
      </c>
      <c r="F417" t="s">
        <v>2401</v>
      </c>
      <c r="G417" t="s">
        <v>2401</v>
      </c>
      <c r="H417" t="s">
        <v>2401</v>
      </c>
      <c r="I417" t="s">
        <v>2401</v>
      </c>
      <c r="J417" t="s">
        <v>2401</v>
      </c>
      <c r="K417" t="s">
        <v>2421</v>
      </c>
      <c r="L417" t="s">
        <v>2401</v>
      </c>
      <c r="M417" s="14">
        <v>45502.580555555556</v>
      </c>
      <c r="N417" t="s">
        <v>4069</v>
      </c>
      <c r="O417" t="s">
        <v>2401</v>
      </c>
      <c r="P417" t="s">
        <v>2401</v>
      </c>
      <c r="Q417" t="s">
        <v>2401</v>
      </c>
      <c r="R417" t="s">
        <v>2401</v>
      </c>
      <c r="S417" t="s">
        <v>2401</v>
      </c>
    </row>
    <row r="418" spans="1:19">
      <c r="A418" t="s">
        <v>4070</v>
      </c>
      <c r="B418" t="s">
        <v>4071</v>
      </c>
      <c r="C418" t="s">
        <v>2401</v>
      </c>
      <c r="D418" t="s">
        <v>2401</v>
      </c>
      <c r="E418" t="s">
        <v>2401</v>
      </c>
      <c r="F418" t="s">
        <v>2401</v>
      </c>
      <c r="G418" t="s">
        <v>2401</v>
      </c>
      <c r="H418" t="s">
        <v>2401</v>
      </c>
      <c r="I418" t="s">
        <v>2401</v>
      </c>
      <c r="J418" t="s">
        <v>2401</v>
      </c>
      <c r="K418" t="s">
        <v>2401</v>
      </c>
      <c r="L418" t="s">
        <v>2401</v>
      </c>
      <c r="M418" s="14">
        <v>45390.607638888891</v>
      </c>
      <c r="N418" t="s">
        <v>2401</v>
      </c>
      <c r="O418" t="s">
        <v>4072</v>
      </c>
      <c r="P418" t="s">
        <v>2401</v>
      </c>
      <c r="Q418" t="s">
        <v>2401</v>
      </c>
      <c r="R418" t="s">
        <v>2401</v>
      </c>
      <c r="S418" t="s">
        <v>2401</v>
      </c>
    </row>
    <row r="419" spans="1:19">
      <c r="A419" t="s">
        <v>4073</v>
      </c>
      <c r="B419" t="s">
        <v>4074</v>
      </c>
      <c r="C419" t="s">
        <v>2401</v>
      </c>
      <c r="D419" t="s">
        <v>2401</v>
      </c>
      <c r="E419" t="s">
        <v>2401</v>
      </c>
      <c r="F419" t="s">
        <v>2401</v>
      </c>
      <c r="G419" t="s">
        <v>2401</v>
      </c>
      <c r="H419" t="s">
        <v>2401</v>
      </c>
      <c r="I419" t="s">
        <v>61</v>
      </c>
      <c r="J419" t="s">
        <v>2401</v>
      </c>
      <c r="K419" t="s">
        <v>2401</v>
      </c>
      <c r="L419" t="s">
        <v>2401</v>
      </c>
      <c r="M419" s="14">
        <v>45399.554861111108</v>
      </c>
      <c r="N419" t="s">
        <v>2401</v>
      </c>
      <c r="O419" t="s">
        <v>2401</v>
      </c>
      <c r="P419" t="s">
        <v>2401</v>
      </c>
      <c r="Q419" t="s">
        <v>2401</v>
      </c>
      <c r="R419" t="s">
        <v>2401</v>
      </c>
      <c r="S419" t="s">
        <v>2401</v>
      </c>
    </row>
    <row r="420" spans="1:19">
      <c r="A420" t="s">
        <v>4075</v>
      </c>
      <c r="B420" t="s">
        <v>4074</v>
      </c>
      <c r="C420" t="s">
        <v>2401</v>
      </c>
      <c r="D420" t="s">
        <v>2401</v>
      </c>
      <c r="E420" t="s">
        <v>2401</v>
      </c>
      <c r="F420" t="s">
        <v>2401</v>
      </c>
      <c r="G420" t="s">
        <v>2401</v>
      </c>
      <c r="H420" t="s">
        <v>2401</v>
      </c>
      <c r="I420" t="s">
        <v>2401</v>
      </c>
      <c r="J420" t="s">
        <v>2401</v>
      </c>
      <c r="K420" t="s">
        <v>2401</v>
      </c>
      <c r="L420" t="s">
        <v>2401</v>
      </c>
      <c r="M420" s="14">
        <v>45390.607638888891</v>
      </c>
      <c r="N420" t="s">
        <v>2401</v>
      </c>
      <c r="O420" t="s">
        <v>2586</v>
      </c>
      <c r="P420" t="s">
        <v>2401</v>
      </c>
      <c r="Q420" t="s">
        <v>2401</v>
      </c>
      <c r="R420" t="s">
        <v>2401</v>
      </c>
      <c r="S420" t="s">
        <v>2401</v>
      </c>
    </row>
    <row r="421" spans="1:19">
      <c r="A421" t="s">
        <v>4076</v>
      </c>
      <c r="B421" t="s">
        <v>4077</v>
      </c>
      <c r="C421" t="s">
        <v>2401</v>
      </c>
      <c r="D421" t="s">
        <v>2401</v>
      </c>
      <c r="E421" t="s">
        <v>2401</v>
      </c>
      <c r="F421" t="s">
        <v>2401</v>
      </c>
      <c r="G421" t="s">
        <v>2401</v>
      </c>
      <c r="H421" t="s">
        <v>2401</v>
      </c>
      <c r="I421" t="s">
        <v>2401</v>
      </c>
      <c r="J421" t="s">
        <v>4078</v>
      </c>
      <c r="K421" t="s">
        <v>2438</v>
      </c>
      <c r="L421" t="s">
        <v>2401</v>
      </c>
      <c r="M421" s="14">
        <v>45534.874305555553</v>
      </c>
      <c r="N421" t="s">
        <v>4079</v>
      </c>
      <c r="O421" t="s">
        <v>4080</v>
      </c>
      <c r="P421" t="s">
        <v>2401</v>
      </c>
      <c r="Q421" t="s">
        <v>2401</v>
      </c>
      <c r="R421" t="s">
        <v>2401</v>
      </c>
      <c r="S421" t="s">
        <v>2401</v>
      </c>
    </row>
    <row r="422" spans="1:19">
      <c r="A422" t="s">
        <v>4081</v>
      </c>
      <c r="B422" t="s">
        <v>1318</v>
      </c>
      <c r="C422" t="s">
        <v>2401</v>
      </c>
      <c r="D422" t="s">
        <v>2401</v>
      </c>
      <c r="E422" t="s">
        <v>2401</v>
      </c>
      <c r="F422" t="s">
        <v>2401</v>
      </c>
      <c r="G422" t="s">
        <v>2401</v>
      </c>
      <c r="H422" t="s">
        <v>2401</v>
      </c>
      <c r="I422" t="s">
        <v>2401</v>
      </c>
      <c r="J422" t="s">
        <v>4082</v>
      </c>
      <c r="K422" t="s">
        <v>3147</v>
      </c>
      <c r="L422" t="s">
        <v>2401</v>
      </c>
      <c r="M422" s="14">
        <v>45534.874305555553</v>
      </c>
      <c r="N422" t="s">
        <v>4083</v>
      </c>
      <c r="O422" t="s">
        <v>4084</v>
      </c>
      <c r="P422" t="s">
        <v>2401</v>
      </c>
      <c r="Q422" t="s">
        <v>2401</v>
      </c>
      <c r="R422" t="s">
        <v>2401</v>
      </c>
      <c r="S422" t="s">
        <v>2401</v>
      </c>
    </row>
    <row r="423" spans="1:19">
      <c r="A423" t="s">
        <v>4085</v>
      </c>
      <c r="B423" t="s">
        <v>1318</v>
      </c>
      <c r="C423" t="s">
        <v>2401</v>
      </c>
      <c r="D423" t="s">
        <v>2401</v>
      </c>
      <c r="E423" t="s">
        <v>2401</v>
      </c>
      <c r="F423" t="s">
        <v>2401</v>
      </c>
      <c r="G423" t="s">
        <v>2401</v>
      </c>
      <c r="H423" t="s">
        <v>2401</v>
      </c>
      <c r="I423" t="s">
        <v>61</v>
      </c>
      <c r="J423" t="s">
        <v>4086</v>
      </c>
      <c r="K423" t="s">
        <v>3147</v>
      </c>
      <c r="L423" t="s">
        <v>2401</v>
      </c>
      <c r="M423" s="14">
        <v>45399.554861111108</v>
      </c>
      <c r="N423" t="s">
        <v>4087</v>
      </c>
      <c r="O423" t="s">
        <v>4084</v>
      </c>
      <c r="P423" t="s">
        <v>2401</v>
      </c>
      <c r="Q423" t="s">
        <v>2401</v>
      </c>
      <c r="R423" t="s">
        <v>2401</v>
      </c>
      <c r="S423" t="s">
        <v>2401</v>
      </c>
    </row>
    <row r="424" spans="1:19">
      <c r="A424" t="s">
        <v>4088</v>
      </c>
      <c r="B424" t="s">
        <v>4089</v>
      </c>
      <c r="C424" t="s">
        <v>2401</v>
      </c>
      <c r="D424" t="s">
        <v>2401</v>
      </c>
      <c r="E424" t="s">
        <v>2401</v>
      </c>
      <c r="F424" t="s">
        <v>2401</v>
      </c>
      <c r="G424" t="s">
        <v>2401</v>
      </c>
      <c r="H424" t="s">
        <v>2401</v>
      </c>
      <c r="I424" t="s">
        <v>2401</v>
      </c>
      <c r="J424" t="s">
        <v>2401</v>
      </c>
      <c r="K424" t="s">
        <v>2401</v>
      </c>
      <c r="L424" t="s">
        <v>2401</v>
      </c>
      <c r="M424" s="14">
        <v>45390.607638888891</v>
      </c>
      <c r="N424" t="s">
        <v>2401</v>
      </c>
      <c r="O424" t="s">
        <v>2586</v>
      </c>
      <c r="P424" t="s">
        <v>2401</v>
      </c>
      <c r="Q424" t="s">
        <v>2401</v>
      </c>
      <c r="R424" t="s">
        <v>2401</v>
      </c>
      <c r="S424" t="s">
        <v>2401</v>
      </c>
    </row>
    <row r="425" spans="1:19">
      <c r="A425" t="s">
        <v>4090</v>
      </c>
      <c r="B425" t="s">
        <v>4091</v>
      </c>
      <c r="C425" t="s">
        <v>2401</v>
      </c>
      <c r="D425" t="s">
        <v>2401</v>
      </c>
      <c r="E425" t="s">
        <v>2401</v>
      </c>
      <c r="F425" t="s">
        <v>2401</v>
      </c>
      <c r="G425" t="s">
        <v>2401</v>
      </c>
      <c r="H425" t="s">
        <v>2401</v>
      </c>
      <c r="I425" t="s">
        <v>61</v>
      </c>
      <c r="J425" t="s">
        <v>4092</v>
      </c>
      <c r="K425" t="s">
        <v>2406</v>
      </c>
      <c r="L425" t="s">
        <v>2401</v>
      </c>
      <c r="M425" s="14">
        <v>45390.607638888891</v>
      </c>
      <c r="N425" t="s">
        <v>4093</v>
      </c>
      <c r="O425" t="s">
        <v>2401</v>
      </c>
      <c r="P425" t="s">
        <v>2401</v>
      </c>
      <c r="Q425" t="s">
        <v>2401</v>
      </c>
      <c r="R425" t="s">
        <v>2401</v>
      </c>
      <c r="S425" t="s">
        <v>2401</v>
      </c>
    </row>
    <row r="426" spans="1:19">
      <c r="A426" t="s">
        <v>4094</v>
      </c>
      <c r="B426" t="s">
        <v>4095</v>
      </c>
      <c r="C426" t="s">
        <v>2401</v>
      </c>
      <c r="D426" t="s">
        <v>2401</v>
      </c>
      <c r="E426" t="s">
        <v>2401</v>
      </c>
      <c r="F426" t="s">
        <v>2401</v>
      </c>
      <c r="G426" t="s">
        <v>2401</v>
      </c>
      <c r="H426" t="s">
        <v>2401</v>
      </c>
      <c r="I426" t="s">
        <v>2401</v>
      </c>
      <c r="J426" t="s">
        <v>4096</v>
      </c>
      <c r="K426" t="s">
        <v>2701</v>
      </c>
      <c r="L426" t="s">
        <v>2401</v>
      </c>
      <c r="M426" s="14">
        <v>45399.554861111108</v>
      </c>
      <c r="N426" t="s">
        <v>4097</v>
      </c>
      <c r="O426" t="s">
        <v>4098</v>
      </c>
      <c r="P426" t="s">
        <v>2401</v>
      </c>
      <c r="Q426" t="s">
        <v>2401</v>
      </c>
      <c r="R426" t="s">
        <v>2401</v>
      </c>
      <c r="S426" t="s">
        <v>2401</v>
      </c>
    </row>
    <row r="427" spans="1:19">
      <c r="A427" t="s">
        <v>4099</v>
      </c>
      <c r="B427" t="s">
        <v>4100</v>
      </c>
      <c r="C427" t="s">
        <v>2401</v>
      </c>
      <c r="D427" t="s">
        <v>2401</v>
      </c>
      <c r="E427" t="s">
        <v>2401</v>
      </c>
      <c r="F427" t="s">
        <v>2401</v>
      </c>
      <c r="G427" t="s">
        <v>2401</v>
      </c>
      <c r="H427" t="s">
        <v>2401</v>
      </c>
      <c r="I427" t="s">
        <v>2401</v>
      </c>
      <c r="J427" t="s">
        <v>4101</v>
      </c>
      <c r="K427" t="s">
        <v>2433</v>
      </c>
      <c r="L427" t="s">
        <v>2401</v>
      </c>
      <c r="M427" s="14">
        <v>45565.698611111111</v>
      </c>
      <c r="N427" t="s">
        <v>4102</v>
      </c>
      <c r="O427" t="s">
        <v>4103</v>
      </c>
      <c r="P427" t="s">
        <v>2401</v>
      </c>
      <c r="Q427" t="s">
        <v>2401</v>
      </c>
      <c r="R427" t="s">
        <v>2401</v>
      </c>
      <c r="S427" t="s">
        <v>2401</v>
      </c>
    </row>
    <row r="428" spans="1:19">
      <c r="A428" t="s">
        <v>4104</v>
      </c>
      <c r="B428" t="s">
        <v>4105</v>
      </c>
      <c r="C428" t="s">
        <v>2401</v>
      </c>
      <c r="D428" t="s">
        <v>2401</v>
      </c>
      <c r="E428" t="s">
        <v>2401</v>
      </c>
      <c r="F428" t="s">
        <v>2401</v>
      </c>
      <c r="G428" t="s">
        <v>2401</v>
      </c>
      <c r="H428" t="s">
        <v>2401</v>
      </c>
      <c r="I428" t="s">
        <v>2401</v>
      </c>
      <c r="J428" t="s">
        <v>2401</v>
      </c>
      <c r="K428" t="s">
        <v>2401</v>
      </c>
      <c r="L428" t="s">
        <v>2401</v>
      </c>
      <c r="M428" s="14">
        <v>45390.607638888891</v>
      </c>
      <c r="N428" t="s">
        <v>4106</v>
      </c>
      <c r="O428" t="s">
        <v>2401</v>
      </c>
      <c r="P428" t="s">
        <v>2401</v>
      </c>
      <c r="Q428" t="s">
        <v>2401</v>
      </c>
      <c r="R428" t="s">
        <v>2401</v>
      </c>
      <c r="S428" t="s">
        <v>2401</v>
      </c>
    </row>
    <row r="429" spans="1:19">
      <c r="A429" t="s">
        <v>4107</v>
      </c>
      <c r="B429" t="s">
        <v>4108</v>
      </c>
      <c r="C429" t="s">
        <v>2401</v>
      </c>
      <c r="D429" t="s">
        <v>2401</v>
      </c>
      <c r="E429" t="s">
        <v>2401</v>
      </c>
      <c r="F429" t="s">
        <v>2401</v>
      </c>
      <c r="G429" t="s">
        <v>2401</v>
      </c>
      <c r="H429" t="s">
        <v>2401</v>
      </c>
      <c r="I429" t="s">
        <v>2401</v>
      </c>
      <c r="J429" t="s">
        <v>4109</v>
      </c>
      <c r="K429" t="s">
        <v>2499</v>
      </c>
      <c r="L429" t="s">
        <v>2401</v>
      </c>
      <c r="M429" s="14">
        <v>45565.561805555553</v>
      </c>
      <c r="N429" t="s">
        <v>4110</v>
      </c>
      <c r="O429" t="s">
        <v>2401</v>
      </c>
      <c r="P429" t="s">
        <v>2401</v>
      </c>
      <c r="Q429" t="s">
        <v>2401</v>
      </c>
      <c r="R429" t="s">
        <v>2401</v>
      </c>
      <c r="S429" t="s">
        <v>2401</v>
      </c>
    </row>
    <row r="430" spans="1:19">
      <c r="A430" t="s">
        <v>4111</v>
      </c>
      <c r="B430" t="s">
        <v>304</v>
      </c>
      <c r="C430" t="s">
        <v>2401</v>
      </c>
      <c r="D430" t="s">
        <v>2401</v>
      </c>
      <c r="E430" t="s">
        <v>2401</v>
      </c>
      <c r="F430" t="s">
        <v>2401</v>
      </c>
      <c r="G430" t="s">
        <v>2401</v>
      </c>
      <c r="H430" t="s">
        <v>2401</v>
      </c>
      <c r="I430" t="s">
        <v>61</v>
      </c>
      <c r="J430" t="s">
        <v>4112</v>
      </c>
      <c r="K430" t="s">
        <v>2615</v>
      </c>
      <c r="L430" t="s">
        <v>2401</v>
      </c>
      <c r="M430" s="14">
        <v>45399.554861111108</v>
      </c>
      <c r="N430" t="s">
        <v>4113</v>
      </c>
      <c r="O430" t="s">
        <v>4114</v>
      </c>
      <c r="P430" t="s">
        <v>2401</v>
      </c>
      <c r="Q430" t="s">
        <v>2401</v>
      </c>
      <c r="R430" t="s">
        <v>2401</v>
      </c>
      <c r="S430" t="s">
        <v>2401</v>
      </c>
    </row>
    <row r="431" spans="1:19">
      <c r="A431" t="s">
        <v>4115</v>
      </c>
      <c r="B431" t="s">
        <v>304</v>
      </c>
      <c r="C431" t="s">
        <v>2401</v>
      </c>
      <c r="D431" t="s">
        <v>2401</v>
      </c>
      <c r="E431" t="s">
        <v>2401</v>
      </c>
      <c r="F431" t="s">
        <v>2401</v>
      </c>
      <c r="G431" t="s">
        <v>2401</v>
      </c>
      <c r="H431" t="s">
        <v>2401</v>
      </c>
      <c r="I431" t="s">
        <v>2401</v>
      </c>
      <c r="J431" t="s">
        <v>2401</v>
      </c>
      <c r="K431" t="s">
        <v>2401</v>
      </c>
      <c r="L431" t="s">
        <v>2401</v>
      </c>
      <c r="M431" s="14">
        <v>45390.607638888891</v>
      </c>
      <c r="N431" t="s">
        <v>2401</v>
      </c>
      <c r="O431" t="s">
        <v>2586</v>
      </c>
      <c r="P431" t="s">
        <v>2401</v>
      </c>
      <c r="Q431" t="s">
        <v>2401</v>
      </c>
      <c r="R431" t="s">
        <v>2401</v>
      </c>
      <c r="S431" t="s">
        <v>2401</v>
      </c>
    </row>
    <row r="432" spans="1:19">
      <c r="A432" t="s">
        <v>4116</v>
      </c>
      <c r="B432" t="s">
        <v>4117</v>
      </c>
      <c r="C432" t="s">
        <v>2401</v>
      </c>
      <c r="D432" t="s">
        <v>2401</v>
      </c>
      <c r="E432" t="s">
        <v>2401</v>
      </c>
      <c r="F432" t="s">
        <v>2401</v>
      </c>
      <c r="G432" t="s">
        <v>2401</v>
      </c>
      <c r="H432" t="s">
        <v>2401</v>
      </c>
      <c r="I432" t="s">
        <v>2401</v>
      </c>
      <c r="J432" t="s">
        <v>4118</v>
      </c>
      <c r="K432" t="s">
        <v>2433</v>
      </c>
      <c r="L432" t="s">
        <v>2401</v>
      </c>
      <c r="M432" s="14">
        <v>45534.874305555553</v>
      </c>
      <c r="N432" t="s">
        <v>4119</v>
      </c>
      <c r="O432" t="s">
        <v>2401</v>
      </c>
      <c r="P432" t="s">
        <v>2401</v>
      </c>
      <c r="Q432" t="s">
        <v>2401</v>
      </c>
      <c r="R432" t="s">
        <v>2401</v>
      </c>
      <c r="S432" t="s">
        <v>2401</v>
      </c>
    </row>
    <row r="433" spans="1:19">
      <c r="A433" t="s">
        <v>4120</v>
      </c>
      <c r="B433" t="s">
        <v>4121</v>
      </c>
      <c r="C433" t="s">
        <v>2401</v>
      </c>
      <c r="D433" t="s">
        <v>2401</v>
      </c>
      <c r="E433" t="s">
        <v>2401</v>
      </c>
      <c r="F433" t="s">
        <v>2401</v>
      </c>
      <c r="G433" t="s">
        <v>2401</v>
      </c>
      <c r="H433" t="s">
        <v>2401</v>
      </c>
      <c r="I433" t="s">
        <v>2401</v>
      </c>
      <c r="J433" t="s">
        <v>4122</v>
      </c>
      <c r="K433" t="s">
        <v>2433</v>
      </c>
      <c r="L433" t="s">
        <v>2401</v>
      </c>
      <c r="M433" s="14">
        <v>45399.554861111108</v>
      </c>
      <c r="N433" t="s">
        <v>4123</v>
      </c>
      <c r="O433" t="s">
        <v>2401</v>
      </c>
      <c r="P433" t="s">
        <v>2401</v>
      </c>
      <c r="Q433" t="s">
        <v>2401</v>
      </c>
      <c r="R433" t="s">
        <v>2401</v>
      </c>
      <c r="S433" t="s">
        <v>2401</v>
      </c>
    </row>
    <row r="434" spans="1:19">
      <c r="A434" t="s">
        <v>4124</v>
      </c>
      <c r="B434" t="s">
        <v>4125</v>
      </c>
      <c r="C434" t="s">
        <v>2401</v>
      </c>
      <c r="D434" t="s">
        <v>2401</v>
      </c>
      <c r="E434" t="s">
        <v>2401</v>
      </c>
      <c r="F434" t="s">
        <v>2401</v>
      </c>
      <c r="G434" t="s">
        <v>2401</v>
      </c>
      <c r="H434" t="s">
        <v>2401</v>
      </c>
      <c r="I434" t="s">
        <v>2401</v>
      </c>
      <c r="J434" t="s">
        <v>4126</v>
      </c>
      <c r="K434" t="s">
        <v>2615</v>
      </c>
      <c r="L434" t="s">
        <v>2401</v>
      </c>
      <c r="M434" s="14">
        <v>45565.677777777775</v>
      </c>
      <c r="N434" t="s">
        <v>4127</v>
      </c>
      <c r="O434" t="s">
        <v>4128</v>
      </c>
      <c r="P434" t="s">
        <v>2401</v>
      </c>
      <c r="Q434" t="s">
        <v>2401</v>
      </c>
      <c r="R434" t="s">
        <v>2401</v>
      </c>
      <c r="S434" t="s">
        <v>2401</v>
      </c>
    </row>
    <row r="435" spans="1:19">
      <c r="A435" t="s">
        <v>4129</v>
      </c>
      <c r="B435" t="s">
        <v>4130</v>
      </c>
      <c r="C435" t="s">
        <v>2401</v>
      </c>
      <c r="D435" t="s">
        <v>2401</v>
      </c>
      <c r="E435" t="s">
        <v>2401</v>
      </c>
      <c r="F435" t="s">
        <v>2401</v>
      </c>
      <c r="G435" t="s">
        <v>2401</v>
      </c>
      <c r="H435" t="s">
        <v>2401</v>
      </c>
      <c r="I435" t="s">
        <v>2401</v>
      </c>
      <c r="J435" t="s">
        <v>4131</v>
      </c>
      <c r="K435" t="s">
        <v>2720</v>
      </c>
      <c r="L435" t="s">
        <v>2401</v>
      </c>
      <c r="M435" s="14">
        <v>45399.554861111108</v>
      </c>
      <c r="N435" t="s">
        <v>4132</v>
      </c>
      <c r="O435" t="s">
        <v>2401</v>
      </c>
      <c r="P435" t="s">
        <v>2401</v>
      </c>
      <c r="Q435" t="s">
        <v>2401</v>
      </c>
      <c r="R435" t="s">
        <v>2401</v>
      </c>
      <c r="S435" t="s">
        <v>2401</v>
      </c>
    </row>
    <row r="436" spans="1:19">
      <c r="A436" t="s">
        <v>4133</v>
      </c>
      <c r="B436" t="s">
        <v>1337</v>
      </c>
      <c r="C436" t="s">
        <v>2401</v>
      </c>
      <c r="D436" t="s">
        <v>2401</v>
      </c>
      <c r="E436" t="s">
        <v>2401</v>
      </c>
      <c r="F436" t="s">
        <v>2401</v>
      </c>
      <c r="G436" t="s">
        <v>2401</v>
      </c>
      <c r="H436" t="s">
        <v>2401</v>
      </c>
      <c r="I436" t="s">
        <v>2401</v>
      </c>
      <c r="J436" t="s">
        <v>2401</v>
      </c>
      <c r="K436" t="s">
        <v>2401</v>
      </c>
      <c r="L436" t="s">
        <v>2401</v>
      </c>
      <c r="M436" s="14">
        <v>45399.554861111108</v>
      </c>
      <c r="N436" t="s">
        <v>2401</v>
      </c>
      <c r="O436" t="s">
        <v>2401</v>
      </c>
      <c r="P436" t="s">
        <v>2401</v>
      </c>
      <c r="Q436" t="s">
        <v>2401</v>
      </c>
      <c r="R436" t="s">
        <v>2401</v>
      </c>
      <c r="S436" t="s">
        <v>2401</v>
      </c>
    </row>
    <row r="437" spans="1:19">
      <c r="A437" t="s">
        <v>4134</v>
      </c>
      <c r="B437" t="s">
        <v>4135</v>
      </c>
      <c r="C437" t="s">
        <v>2401</v>
      </c>
      <c r="D437" t="s">
        <v>2401</v>
      </c>
      <c r="E437" t="s">
        <v>2401</v>
      </c>
      <c r="F437" t="s">
        <v>2401</v>
      </c>
      <c r="G437" t="s">
        <v>2401</v>
      </c>
      <c r="H437" t="s">
        <v>2401</v>
      </c>
      <c r="I437" t="s">
        <v>2401</v>
      </c>
      <c r="J437" t="s">
        <v>4136</v>
      </c>
      <c r="K437" t="s">
        <v>2615</v>
      </c>
      <c r="L437" t="s">
        <v>2401</v>
      </c>
      <c r="M437" s="14">
        <v>45565.677777777775</v>
      </c>
      <c r="N437" t="s">
        <v>4137</v>
      </c>
      <c r="O437" t="s">
        <v>2401</v>
      </c>
      <c r="P437" t="s">
        <v>2401</v>
      </c>
      <c r="Q437" t="s">
        <v>2401</v>
      </c>
      <c r="R437" t="s">
        <v>2401</v>
      </c>
      <c r="S437" t="s">
        <v>2401</v>
      </c>
    </row>
    <row r="438" spans="1:19">
      <c r="A438" t="s">
        <v>4138</v>
      </c>
      <c r="B438" t="s">
        <v>4139</v>
      </c>
      <c r="C438" t="s">
        <v>2401</v>
      </c>
      <c r="D438" t="s">
        <v>2401</v>
      </c>
      <c r="E438" t="s">
        <v>2401</v>
      </c>
      <c r="F438" t="s">
        <v>2401</v>
      </c>
      <c r="G438" t="s">
        <v>2401</v>
      </c>
      <c r="H438" t="s">
        <v>2401</v>
      </c>
      <c r="I438" t="s">
        <v>2401</v>
      </c>
      <c r="J438" t="s">
        <v>4140</v>
      </c>
      <c r="K438" t="s">
        <v>2406</v>
      </c>
      <c r="L438" t="s">
        <v>2401</v>
      </c>
      <c r="M438" s="14">
        <v>45565.65</v>
      </c>
      <c r="N438" t="s">
        <v>4141</v>
      </c>
      <c r="O438" t="s">
        <v>4142</v>
      </c>
      <c r="P438" t="s">
        <v>2401</v>
      </c>
      <c r="Q438" t="s">
        <v>2401</v>
      </c>
      <c r="R438" t="s">
        <v>2401</v>
      </c>
      <c r="S438" t="s">
        <v>2401</v>
      </c>
    </row>
    <row r="439" spans="1:19">
      <c r="A439" t="s">
        <v>4143</v>
      </c>
      <c r="B439" t="s">
        <v>1341</v>
      </c>
      <c r="C439" t="s">
        <v>2401</v>
      </c>
      <c r="D439" t="s">
        <v>2401</v>
      </c>
      <c r="E439" t="s">
        <v>2401</v>
      </c>
      <c r="F439" t="s">
        <v>2401</v>
      </c>
      <c r="G439" t="s">
        <v>2401</v>
      </c>
      <c r="H439" t="s">
        <v>2401</v>
      </c>
      <c r="I439" t="s">
        <v>2401</v>
      </c>
      <c r="J439" t="s">
        <v>2401</v>
      </c>
      <c r="K439" t="s">
        <v>3218</v>
      </c>
      <c r="L439" t="s">
        <v>2401</v>
      </c>
      <c r="M439" s="14">
        <v>45390.607638888891</v>
      </c>
      <c r="N439" t="s">
        <v>2401</v>
      </c>
      <c r="O439" t="s">
        <v>4144</v>
      </c>
      <c r="P439" t="s">
        <v>2401</v>
      </c>
      <c r="Q439" t="s">
        <v>2401</v>
      </c>
      <c r="R439" t="s">
        <v>2401</v>
      </c>
      <c r="S439" t="s">
        <v>2401</v>
      </c>
    </row>
    <row r="440" spans="1:19">
      <c r="A440" t="s">
        <v>4145</v>
      </c>
      <c r="B440" t="s">
        <v>4146</v>
      </c>
      <c r="C440" t="s">
        <v>2401</v>
      </c>
      <c r="D440" t="s">
        <v>2401</v>
      </c>
      <c r="E440" t="s">
        <v>2401</v>
      </c>
      <c r="F440" t="s">
        <v>2401</v>
      </c>
      <c r="G440" t="s">
        <v>2401</v>
      </c>
      <c r="H440" t="s">
        <v>2401</v>
      </c>
      <c r="I440" t="s">
        <v>61</v>
      </c>
      <c r="J440" t="s">
        <v>4147</v>
      </c>
      <c r="K440" t="s">
        <v>3218</v>
      </c>
      <c r="L440" t="s">
        <v>2401</v>
      </c>
      <c r="M440" s="14">
        <v>45399.554861111108</v>
      </c>
      <c r="N440" t="s">
        <v>4148</v>
      </c>
      <c r="O440" t="s">
        <v>4149</v>
      </c>
      <c r="P440" t="s">
        <v>2401</v>
      </c>
      <c r="Q440" t="s">
        <v>2401</v>
      </c>
      <c r="R440" t="s">
        <v>2401</v>
      </c>
      <c r="S440" t="s">
        <v>2401</v>
      </c>
    </row>
    <row r="441" spans="1:19">
      <c r="A441" t="s">
        <v>4150</v>
      </c>
      <c r="B441" t="s">
        <v>4151</v>
      </c>
      <c r="C441" t="s">
        <v>2401</v>
      </c>
      <c r="D441" t="s">
        <v>2401</v>
      </c>
      <c r="E441" t="s">
        <v>2401</v>
      </c>
      <c r="F441" t="s">
        <v>2401</v>
      </c>
      <c r="G441" t="s">
        <v>2401</v>
      </c>
      <c r="H441" t="s">
        <v>2401</v>
      </c>
      <c r="I441" t="s">
        <v>2401</v>
      </c>
      <c r="J441" t="s">
        <v>4152</v>
      </c>
      <c r="K441" t="s">
        <v>2448</v>
      </c>
      <c r="L441" t="s">
        <v>2401</v>
      </c>
      <c r="M441" s="14">
        <v>45426.586111111108</v>
      </c>
      <c r="N441" t="s">
        <v>4153</v>
      </c>
      <c r="O441" t="s">
        <v>4154</v>
      </c>
      <c r="P441" t="s">
        <v>4155</v>
      </c>
      <c r="Q441">
        <v>1</v>
      </c>
      <c r="R441" t="s">
        <v>2401</v>
      </c>
      <c r="S441" t="s">
        <v>4156</v>
      </c>
    </row>
    <row r="442" spans="1:19">
      <c r="A442" t="s">
        <v>4157</v>
      </c>
      <c r="B442" t="s">
        <v>4158</v>
      </c>
      <c r="C442" t="s">
        <v>2401</v>
      </c>
      <c r="D442" t="s">
        <v>2401</v>
      </c>
      <c r="E442" t="s">
        <v>2401</v>
      </c>
      <c r="F442" t="s">
        <v>2401</v>
      </c>
      <c r="G442" t="s">
        <v>2401</v>
      </c>
      <c r="H442" t="s">
        <v>2401</v>
      </c>
      <c r="I442" t="s">
        <v>2401</v>
      </c>
      <c r="J442" t="s">
        <v>4159</v>
      </c>
      <c r="K442" t="s">
        <v>2492</v>
      </c>
      <c r="L442" t="s">
        <v>2401</v>
      </c>
      <c r="M442" s="14">
        <v>45565.570833333331</v>
      </c>
      <c r="N442" t="s">
        <v>4160</v>
      </c>
      <c r="O442" t="s">
        <v>4161</v>
      </c>
      <c r="P442" t="s">
        <v>2401</v>
      </c>
      <c r="Q442" t="s">
        <v>2401</v>
      </c>
      <c r="R442" t="s">
        <v>2401</v>
      </c>
      <c r="S442" t="s">
        <v>2401</v>
      </c>
    </row>
    <row r="443" spans="1:19">
      <c r="A443" t="s">
        <v>4162</v>
      </c>
      <c r="B443" t="s">
        <v>4163</v>
      </c>
      <c r="C443" t="s">
        <v>2401</v>
      </c>
      <c r="D443" t="s">
        <v>2401</v>
      </c>
      <c r="E443" t="s">
        <v>2401</v>
      </c>
      <c r="F443" t="s">
        <v>2401</v>
      </c>
      <c r="G443" t="s">
        <v>2401</v>
      </c>
      <c r="H443" t="s">
        <v>2401</v>
      </c>
      <c r="I443" t="s">
        <v>61</v>
      </c>
      <c r="J443" t="s">
        <v>4164</v>
      </c>
      <c r="K443" t="s">
        <v>2720</v>
      </c>
      <c r="L443" t="s">
        <v>2401</v>
      </c>
      <c r="M443" s="14">
        <v>45399.554861111108</v>
      </c>
      <c r="N443" t="s">
        <v>4165</v>
      </c>
      <c r="O443" t="s">
        <v>4166</v>
      </c>
      <c r="P443" t="s">
        <v>2401</v>
      </c>
      <c r="Q443" t="s">
        <v>2401</v>
      </c>
      <c r="R443" t="s">
        <v>2401</v>
      </c>
      <c r="S443" t="s">
        <v>2401</v>
      </c>
    </row>
    <row r="444" spans="1:19">
      <c r="A444" t="s">
        <v>4167</v>
      </c>
      <c r="B444" t="s">
        <v>4163</v>
      </c>
      <c r="C444" t="s">
        <v>2401</v>
      </c>
      <c r="D444" t="s">
        <v>2401</v>
      </c>
      <c r="E444" t="s">
        <v>2401</v>
      </c>
      <c r="F444" t="s">
        <v>2401</v>
      </c>
      <c r="G444" t="s">
        <v>2401</v>
      </c>
      <c r="H444" t="s">
        <v>2401</v>
      </c>
      <c r="I444" t="s">
        <v>2401</v>
      </c>
      <c r="J444" t="s">
        <v>2401</v>
      </c>
      <c r="K444" t="s">
        <v>2401</v>
      </c>
      <c r="L444" t="s">
        <v>2401</v>
      </c>
      <c r="M444" s="14">
        <v>45390.607638888891</v>
      </c>
      <c r="N444" t="s">
        <v>2401</v>
      </c>
      <c r="O444" t="s">
        <v>2586</v>
      </c>
      <c r="P444" t="s">
        <v>2401</v>
      </c>
      <c r="Q444" t="s">
        <v>2401</v>
      </c>
      <c r="R444" t="s">
        <v>2401</v>
      </c>
      <c r="S444" t="s">
        <v>2401</v>
      </c>
    </row>
    <row r="445" spans="1:19">
      <c r="A445" t="s">
        <v>4168</v>
      </c>
      <c r="B445" t="s">
        <v>1345</v>
      </c>
      <c r="C445" t="s">
        <v>2401</v>
      </c>
      <c r="D445" t="s">
        <v>2401</v>
      </c>
      <c r="E445" t="s">
        <v>2401</v>
      </c>
      <c r="F445" t="s">
        <v>2401</v>
      </c>
      <c r="G445" t="s">
        <v>2401</v>
      </c>
      <c r="H445" t="s">
        <v>2401</v>
      </c>
      <c r="I445" t="s">
        <v>2401</v>
      </c>
      <c r="J445" t="s">
        <v>4169</v>
      </c>
      <c r="K445" t="s">
        <v>2433</v>
      </c>
      <c r="L445" t="s">
        <v>2401</v>
      </c>
      <c r="M445" s="14">
        <v>45565.65</v>
      </c>
      <c r="N445" t="s">
        <v>4170</v>
      </c>
      <c r="O445" t="s">
        <v>4171</v>
      </c>
      <c r="P445" t="s">
        <v>2401</v>
      </c>
      <c r="Q445" t="s">
        <v>2401</v>
      </c>
      <c r="R445" t="s">
        <v>2401</v>
      </c>
      <c r="S445" t="s">
        <v>2401</v>
      </c>
    </row>
    <row r="446" spans="1:19">
      <c r="A446" t="s">
        <v>4172</v>
      </c>
      <c r="B446" t="s">
        <v>4173</v>
      </c>
      <c r="C446" t="s">
        <v>2401</v>
      </c>
      <c r="D446" t="s">
        <v>2401</v>
      </c>
      <c r="E446" t="s">
        <v>2401</v>
      </c>
      <c r="F446" t="s">
        <v>2401</v>
      </c>
      <c r="G446" t="s">
        <v>2401</v>
      </c>
      <c r="H446" t="s">
        <v>2401</v>
      </c>
      <c r="I446" t="s">
        <v>2401</v>
      </c>
      <c r="J446" t="s">
        <v>4174</v>
      </c>
      <c r="K446" t="s">
        <v>2492</v>
      </c>
      <c r="L446" t="s">
        <v>2401</v>
      </c>
      <c r="M446" s="14">
        <v>45565.570833333331</v>
      </c>
      <c r="N446" t="s">
        <v>4175</v>
      </c>
      <c r="O446" t="s">
        <v>2401</v>
      </c>
      <c r="P446" t="s">
        <v>2401</v>
      </c>
      <c r="Q446" t="s">
        <v>2401</v>
      </c>
      <c r="R446" t="s">
        <v>2401</v>
      </c>
      <c r="S446" t="s">
        <v>2401</v>
      </c>
    </row>
    <row r="447" spans="1:19">
      <c r="A447" t="s">
        <v>4176</v>
      </c>
      <c r="B447" t="s">
        <v>4177</v>
      </c>
      <c r="C447" t="s">
        <v>2401</v>
      </c>
      <c r="D447" t="s">
        <v>2401</v>
      </c>
      <c r="E447" t="s">
        <v>2401</v>
      </c>
      <c r="F447" t="s">
        <v>2401</v>
      </c>
      <c r="G447" t="s">
        <v>2401</v>
      </c>
      <c r="H447" t="s">
        <v>2401</v>
      </c>
      <c r="I447" t="s">
        <v>2401</v>
      </c>
      <c r="J447" t="s">
        <v>4178</v>
      </c>
      <c r="K447" t="s">
        <v>2720</v>
      </c>
      <c r="L447" t="s">
        <v>2401</v>
      </c>
      <c r="M447" s="14">
        <v>45565.698611111111</v>
      </c>
      <c r="N447" t="s">
        <v>4179</v>
      </c>
      <c r="O447" t="s">
        <v>2401</v>
      </c>
      <c r="P447" t="s">
        <v>2401</v>
      </c>
      <c r="Q447" t="s">
        <v>2401</v>
      </c>
      <c r="R447" t="s">
        <v>2401</v>
      </c>
      <c r="S447" t="s">
        <v>2401</v>
      </c>
    </row>
    <row r="448" spans="1:19">
      <c r="A448" t="s">
        <v>4180</v>
      </c>
      <c r="B448" t="s">
        <v>4177</v>
      </c>
      <c r="C448" t="s">
        <v>2401</v>
      </c>
      <c r="D448" t="s">
        <v>2401</v>
      </c>
      <c r="E448" t="s">
        <v>2401</v>
      </c>
      <c r="F448" t="s">
        <v>2401</v>
      </c>
      <c r="G448" t="s">
        <v>2401</v>
      </c>
      <c r="H448" t="s">
        <v>2401</v>
      </c>
      <c r="I448" t="s">
        <v>2401</v>
      </c>
      <c r="J448" t="s">
        <v>4181</v>
      </c>
      <c r="K448" t="s">
        <v>2438</v>
      </c>
      <c r="L448" t="s">
        <v>2401</v>
      </c>
      <c r="M448" s="14">
        <v>45565.698611111111</v>
      </c>
      <c r="N448" t="s">
        <v>4182</v>
      </c>
      <c r="O448" t="s">
        <v>2401</v>
      </c>
      <c r="P448" t="s">
        <v>2401</v>
      </c>
      <c r="Q448" t="s">
        <v>2401</v>
      </c>
      <c r="R448" t="s">
        <v>2401</v>
      </c>
      <c r="S448" t="s">
        <v>2401</v>
      </c>
    </row>
    <row r="449" spans="1:19">
      <c r="A449" t="s">
        <v>4183</v>
      </c>
      <c r="B449" t="s">
        <v>4184</v>
      </c>
      <c r="C449" t="s">
        <v>2401</v>
      </c>
      <c r="D449" t="s">
        <v>2401</v>
      </c>
      <c r="E449" t="s">
        <v>2401</v>
      </c>
      <c r="F449" t="s">
        <v>2401</v>
      </c>
      <c r="G449" t="s">
        <v>2401</v>
      </c>
      <c r="H449" t="s">
        <v>2401</v>
      </c>
      <c r="I449" t="s">
        <v>2401</v>
      </c>
      <c r="J449" t="s">
        <v>4185</v>
      </c>
      <c r="K449" t="s">
        <v>2433</v>
      </c>
      <c r="L449" t="s">
        <v>2401</v>
      </c>
      <c r="M449" s="14">
        <v>45565.656944444447</v>
      </c>
      <c r="N449" t="s">
        <v>4186</v>
      </c>
      <c r="O449" t="s">
        <v>4187</v>
      </c>
      <c r="P449" t="s">
        <v>2401</v>
      </c>
      <c r="Q449" t="s">
        <v>2401</v>
      </c>
      <c r="R449" t="s">
        <v>2401</v>
      </c>
      <c r="S449" t="s">
        <v>2401</v>
      </c>
    </row>
    <row r="450" spans="1:19">
      <c r="A450" t="s">
        <v>4188</v>
      </c>
      <c r="B450" t="s">
        <v>4189</v>
      </c>
      <c r="C450" t="s">
        <v>2401</v>
      </c>
      <c r="D450" t="s">
        <v>2401</v>
      </c>
      <c r="E450" t="s">
        <v>2401</v>
      </c>
      <c r="F450" t="s">
        <v>2401</v>
      </c>
      <c r="G450" t="s">
        <v>2401</v>
      </c>
      <c r="H450" t="s">
        <v>2401</v>
      </c>
      <c r="I450" t="s">
        <v>2401</v>
      </c>
      <c r="J450" t="s">
        <v>2401</v>
      </c>
      <c r="K450" t="s">
        <v>2401</v>
      </c>
      <c r="L450" t="s">
        <v>2401</v>
      </c>
      <c r="M450" s="14">
        <v>45399.554861111108</v>
      </c>
      <c r="N450" t="s">
        <v>2401</v>
      </c>
      <c r="O450" t="s">
        <v>2401</v>
      </c>
      <c r="P450" t="s">
        <v>2401</v>
      </c>
      <c r="Q450" t="s">
        <v>2401</v>
      </c>
      <c r="R450" t="s">
        <v>2401</v>
      </c>
      <c r="S450" t="s">
        <v>2401</v>
      </c>
    </row>
    <row r="451" spans="1:19">
      <c r="A451" t="s">
        <v>4190</v>
      </c>
      <c r="B451" t="s">
        <v>4191</v>
      </c>
      <c r="C451" t="s">
        <v>2401</v>
      </c>
      <c r="D451" t="s">
        <v>2401</v>
      </c>
      <c r="E451" t="s">
        <v>2401</v>
      </c>
      <c r="F451" t="s">
        <v>2401</v>
      </c>
      <c r="G451" t="s">
        <v>2401</v>
      </c>
      <c r="H451" t="s">
        <v>2401</v>
      </c>
      <c r="I451" t="s">
        <v>2401</v>
      </c>
      <c r="J451" t="s">
        <v>4192</v>
      </c>
      <c r="K451" t="s">
        <v>2720</v>
      </c>
      <c r="L451" t="s">
        <v>2401</v>
      </c>
      <c r="M451" s="14">
        <v>45565.675694444442</v>
      </c>
      <c r="N451" t="s">
        <v>4193</v>
      </c>
      <c r="O451" t="s">
        <v>2401</v>
      </c>
      <c r="P451" t="s">
        <v>2401</v>
      </c>
      <c r="Q451" t="s">
        <v>2401</v>
      </c>
      <c r="R451" t="s">
        <v>2401</v>
      </c>
      <c r="S451" t="s">
        <v>2401</v>
      </c>
    </row>
    <row r="452" spans="1:19">
      <c r="A452" t="s">
        <v>4194</v>
      </c>
      <c r="B452" t="s">
        <v>4195</v>
      </c>
      <c r="C452" t="s">
        <v>2401</v>
      </c>
      <c r="D452" t="s">
        <v>2401</v>
      </c>
      <c r="E452" t="s">
        <v>2401</v>
      </c>
      <c r="F452" t="s">
        <v>2401</v>
      </c>
      <c r="G452" t="s">
        <v>2401</v>
      </c>
      <c r="H452" t="s">
        <v>2401</v>
      </c>
      <c r="I452" t="s">
        <v>2401</v>
      </c>
      <c r="J452" t="s">
        <v>4196</v>
      </c>
      <c r="K452" t="s">
        <v>2433</v>
      </c>
      <c r="L452" t="s">
        <v>2401</v>
      </c>
      <c r="M452" s="14">
        <v>45565.688194444447</v>
      </c>
      <c r="N452" t="s">
        <v>4197</v>
      </c>
      <c r="O452" t="s">
        <v>4198</v>
      </c>
      <c r="P452" t="s">
        <v>2401</v>
      </c>
      <c r="Q452" t="s">
        <v>2401</v>
      </c>
      <c r="R452" t="s">
        <v>2401</v>
      </c>
      <c r="S452" t="s">
        <v>2401</v>
      </c>
    </row>
    <row r="453" spans="1:19">
      <c r="A453" t="s">
        <v>4199</v>
      </c>
      <c r="B453" t="s">
        <v>4200</v>
      </c>
      <c r="C453" t="s">
        <v>2401</v>
      </c>
      <c r="D453" t="s">
        <v>2401</v>
      </c>
      <c r="E453" t="s">
        <v>2401</v>
      </c>
      <c r="F453" t="s">
        <v>2401</v>
      </c>
      <c r="G453" t="s">
        <v>2401</v>
      </c>
      <c r="H453" t="s">
        <v>2401</v>
      </c>
      <c r="I453" t="s">
        <v>2401</v>
      </c>
      <c r="J453" t="s">
        <v>4201</v>
      </c>
      <c r="K453" t="s">
        <v>2433</v>
      </c>
      <c r="L453" t="s">
        <v>2401</v>
      </c>
      <c r="M453" s="14">
        <v>45565.65</v>
      </c>
      <c r="N453" t="s">
        <v>4202</v>
      </c>
      <c r="O453" t="s">
        <v>4203</v>
      </c>
      <c r="P453" t="s">
        <v>2401</v>
      </c>
      <c r="Q453" t="s">
        <v>2401</v>
      </c>
      <c r="R453" t="s">
        <v>2401</v>
      </c>
      <c r="S453" t="s">
        <v>2401</v>
      </c>
    </row>
    <row r="454" spans="1:19">
      <c r="A454" t="s">
        <v>4204</v>
      </c>
      <c r="B454" t="s">
        <v>4205</v>
      </c>
      <c r="C454" t="s">
        <v>2401</v>
      </c>
      <c r="D454" t="s">
        <v>2401</v>
      </c>
      <c r="E454" t="s">
        <v>2401</v>
      </c>
      <c r="F454" t="s">
        <v>2401</v>
      </c>
      <c r="G454" t="s">
        <v>2401</v>
      </c>
      <c r="H454" t="s">
        <v>2401</v>
      </c>
      <c r="I454" t="s">
        <v>2401</v>
      </c>
      <c r="J454" t="s">
        <v>4206</v>
      </c>
      <c r="K454" t="s">
        <v>2433</v>
      </c>
      <c r="L454" t="s">
        <v>2401</v>
      </c>
      <c r="M454" s="14">
        <v>45565.570833333331</v>
      </c>
      <c r="N454" t="s">
        <v>4207</v>
      </c>
      <c r="O454" t="s">
        <v>4208</v>
      </c>
      <c r="P454" t="s">
        <v>2401</v>
      </c>
      <c r="Q454" t="s">
        <v>2401</v>
      </c>
      <c r="R454" t="s">
        <v>2401</v>
      </c>
      <c r="S454" t="s">
        <v>2401</v>
      </c>
    </row>
    <row r="455" spans="1:19">
      <c r="A455" t="s">
        <v>4209</v>
      </c>
      <c r="B455" t="s">
        <v>4210</v>
      </c>
      <c r="C455" t="s">
        <v>2401</v>
      </c>
      <c r="D455" t="s">
        <v>2401</v>
      </c>
      <c r="E455" t="s">
        <v>2401</v>
      </c>
      <c r="F455" t="s">
        <v>2401</v>
      </c>
      <c r="G455" t="s">
        <v>2401</v>
      </c>
      <c r="H455" t="s">
        <v>2401</v>
      </c>
      <c r="I455" t="s">
        <v>2401</v>
      </c>
      <c r="J455" t="s">
        <v>4211</v>
      </c>
      <c r="K455" t="s">
        <v>2433</v>
      </c>
      <c r="L455" t="s">
        <v>2401</v>
      </c>
      <c r="M455" s="14">
        <v>45565.662499999999</v>
      </c>
      <c r="N455" t="s">
        <v>4212</v>
      </c>
      <c r="O455" t="s">
        <v>4213</v>
      </c>
      <c r="P455" t="s">
        <v>2401</v>
      </c>
      <c r="Q455" t="s">
        <v>2401</v>
      </c>
      <c r="R455" t="s">
        <v>2401</v>
      </c>
      <c r="S455" t="s">
        <v>2401</v>
      </c>
    </row>
    <row r="456" spans="1:19">
      <c r="A456" t="s">
        <v>4214</v>
      </c>
      <c r="B456" t="s">
        <v>4215</v>
      </c>
      <c r="C456" t="s">
        <v>2401</v>
      </c>
      <c r="D456" t="s">
        <v>2401</v>
      </c>
      <c r="E456" t="s">
        <v>2401</v>
      </c>
      <c r="F456" t="s">
        <v>2401</v>
      </c>
      <c r="G456" t="s">
        <v>2401</v>
      </c>
      <c r="H456" t="s">
        <v>2401</v>
      </c>
      <c r="I456" t="s">
        <v>2401</v>
      </c>
      <c r="J456" t="s">
        <v>4216</v>
      </c>
      <c r="K456" t="s">
        <v>2433</v>
      </c>
      <c r="L456" t="s">
        <v>2401</v>
      </c>
      <c r="M456" s="14">
        <v>45565.570833333331</v>
      </c>
      <c r="N456" t="s">
        <v>4217</v>
      </c>
      <c r="O456" t="s">
        <v>4218</v>
      </c>
      <c r="P456" t="s">
        <v>2401</v>
      </c>
      <c r="Q456" t="s">
        <v>2401</v>
      </c>
      <c r="R456" t="s">
        <v>2401</v>
      </c>
      <c r="S456" t="s">
        <v>2401</v>
      </c>
    </row>
    <row r="457" spans="1:19">
      <c r="A457" t="s">
        <v>4219</v>
      </c>
      <c r="B457" t="s">
        <v>4220</v>
      </c>
      <c r="C457" t="s">
        <v>2401</v>
      </c>
      <c r="D457" t="s">
        <v>2401</v>
      </c>
      <c r="E457" t="s">
        <v>2401</v>
      </c>
      <c r="F457" t="s">
        <v>2401</v>
      </c>
      <c r="G457" t="s">
        <v>2401</v>
      </c>
      <c r="H457" t="s">
        <v>2401</v>
      </c>
      <c r="I457" t="s">
        <v>2401</v>
      </c>
      <c r="J457" t="s">
        <v>4221</v>
      </c>
      <c r="K457" t="s">
        <v>3308</v>
      </c>
      <c r="L457" t="s">
        <v>2401</v>
      </c>
      <c r="M457" s="14">
        <v>45399.554861111108</v>
      </c>
      <c r="N457" t="s">
        <v>4222</v>
      </c>
      <c r="O457" t="s">
        <v>4223</v>
      </c>
      <c r="P457" t="s">
        <v>2401</v>
      </c>
      <c r="Q457" t="s">
        <v>2401</v>
      </c>
      <c r="R457" t="s">
        <v>2401</v>
      </c>
      <c r="S457" t="s">
        <v>2401</v>
      </c>
    </row>
    <row r="458" spans="1:19">
      <c r="A458" t="s">
        <v>4224</v>
      </c>
      <c r="B458" t="s">
        <v>4225</v>
      </c>
      <c r="C458" t="s">
        <v>2401</v>
      </c>
      <c r="D458" t="s">
        <v>2401</v>
      </c>
      <c r="E458" t="s">
        <v>2401</v>
      </c>
      <c r="F458" t="s">
        <v>2401</v>
      </c>
      <c r="G458" t="s">
        <v>2401</v>
      </c>
      <c r="H458" t="s">
        <v>2401</v>
      </c>
      <c r="I458" t="s">
        <v>61</v>
      </c>
      <c r="J458" t="s">
        <v>4226</v>
      </c>
      <c r="K458" t="s">
        <v>2720</v>
      </c>
      <c r="L458" t="s">
        <v>2401</v>
      </c>
      <c r="M458" s="14">
        <v>45390.607638888891</v>
      </c>
      <c r="N458" t="s">
        <v>4227</v>
      </c>
      <c r="O458" t="s">
        <v>2586</v>
      </c>
      <c r="P458" t="s">
        <v>2401</v>
      </c>
      <c r="Q458" t="s">
        <v>2401</v>
      </c>
      <c r="R458" t="s">
        <v>2401</v>
      </c>
      <c r="S458" t="s">
        <v>2401</v>
      </c>
    </row>
    <row r="459" spans="1:19">
      <c r="A459" t="s">
        <v>4228</v>
      </c>
      <c r="B459" t="s">
        <v>4229</v>
      </c>
      <c r="C459" t="s">
        <v>2401</v>
      </c>
      <c r="D459" t="s">
        <v>2401</v>
      </c>
      <c r="E459" t="s">
        <v>2401</v>
      </c>
      <c r="F459" t="s">
        <v>2401</v>
      </c>
      <c r="G459" t="s">
        <v>2401</v>
      </c>
      <c r="H459" t="s">
        <v>2401</v>
      </c>
      <c r="I459" t="s">
        <v>2401</v>
      </c>
      <c r="J459" t="s">
        <v>4230</v>
      </c>
      <c r="K459" t="s">
        <v>2492</v>
      </c>
      <c r="L459" t="s">
        <v>2401</v>
      </c>
      <c r="M459" s="14">
        <v>45565.679861111108</v>
      </c>
      <c r="N459" t="s">
        <v>4231</v>
      </c>
      <c r="O459" t="s">
        <v>4232</v>
      </c>
      <c r="P459" t="s">
        <v>2401</v>
      </c>
      <c r="Q459" t="s">
        <v>2401</v>
      </c>
      <c r="R459" t="s">
        <v>2401</v>
      </c>
      <c r="S459" t="s">
        <v>2401</v>
      </c>
    </row>
    <row r="460" spans="1:19">
      <c r="A460" t="s">
        <v>4233</v>
      </c>
      <c r="B460" t="s">
        <v>4229</v>
      </c>
      <c r="C460" t="s">
        <v>2401</v>
      </c>
      <c r="D460" t="s">
        <v>2401</v>
      </c>
      <c r="E460" t="s">
        <v>2401</v>
      </c>
      <c r="F460" t="s">
        <v>2401</v>
      </c>
      <c r="G460" t="s">
        <v>2401</v>
      </c>
      <c r="H460" t="s">
        <v>2401</v>
      </c>
      <c r="I460" t="s">
        <v>2401</v>
      </c>
      <c r="J460" t="s">
        <v>4234</v>
      </c>
      <c r="K460" t="s">
        <v>2492</v>
      </c>
      <c r="L460" t="s">
        <v>2401</v>
      </c>
      <c r="M460" s="14">
        <v>45565.65347222222</v>
      </c>
      <c r="N460" t="s">
        <v>4235</v>
      </c>
      <c r="O460" t="s">
        <v>4232</v>
      </c>
      <c r="P460" t="s">
        <v>2401</v>
      </c>
      <c r="Q460" t="s">
        <v>2401</v>
      </c>
      <c r="R460" t="s">
        <v>2401</v>
      </c>
      <c r="S460" t="s">
        <v>2401</v>
      </c>
    </row>
    <row r="461" spans="1:19">
      <c r="A461" t="s">
        <v>4236</v>
      </c>
      <c r="B461" t="s">
        <v>4237</v>
      </c>
      <c r="C461" t="s">
        <v>2401</v>
      </c>
      <c r="D461" t="s">
        <v>2401</v>
      </c>
      <c r="E461" t="s">
        <v>2401</v>
      </c>
      <c r="F461" t="s">
        <v>2401</v>
      </c>
      <c r="G461" t="s">
        <v>2401</v>
      </c>
      <c r="H461" t="s">
        <v>2401</v>
      </c>
      <c r="I461" t="s">
        <v>2401</v>
      </c>
      <c r="J461" t="s">
        <v>4238</v>
      </c>
      <c r="K461" t="s">
        <v>2548</v>
      </c>
      <c r="L461" t="s">
        <v>2538</v>
      </c>
      <c r="M461" s="14">
        <v>45446.910416666666</v>
      </c>
      <c r="N461" t="s">
        <v>4239</v>
      </c>
      <c r="O461" t="s">
        <v>2401</v>
      </c>
      <c r="P461" t="s">
        <v>4240</v>
      </c>
      <c r="Q461">
        <v>1</v>
      </c>
      <c r="R461" t="s">
        <v>2401</v>
      </c>
      <c r="S461" t="s">
        <v>4241</v>
      </c>
    </row>
    <row r="462" spans="1:19">
      <c r="A462" t="s">
        <v>4242</v>
      </c>
      <c r="B462" t="s">
        <v>4243</v>
      </c>
      <c r="C462" t="s">
        <v>2401</v>
      </c>
      <c r="D462" t="s">
        <v>2401</v>
      </c>
      <c r="E462" t="s">
        <v>2401</v>
      </c>
      <c r="F462" t="s">
        <v>2401</v>
      </c>
      <c r="G462" t="s">
        <v>2401</v>
      </c>
      <c r="H462" t="s">
        <v>2401</v>
      </c>
      <c r="I462" t="s">
        <v>2401</v>
      </c>
      <c r="J462" t="s">
        <v>4244</v>
      </c>
      <c r="K462" t="s">
        <v>2401</v>
      </c>
      <c r="L462" t="s">
        <v>2401</v>
      </c>
      <c r="M462" s="14">
        <v>45426.552777777775</v>
      </c>
      <c r="N462" t="s">
        <v>4245</v>
      </c>
      <c r="O462" t="s">
        <v>2401</v>
      </c>
      <c r="P462" t="s">
        <v>4246</v>
      </c>
      <c r="Q462">
        <v>1</v>
      </c>
      <c r="R462" t="s">
        <v>2401</v>
      </c>
      <c r="S462" t="s">
        <v>4247</v>
      </c>
    </row>
    <row r="463" spans="1:19">
      <c r="A463" t="s">
        <v>4248</v>
      </c>
      <c r="B463" t="s">
        <v>4249</v>
      </c>
      <c r="C463" t="s">
        <v>2401</v>
      </c>
      <c r="D463" t="s">
        <v>2401</v>
      </c>
      <c r="E463" t="s">
        <v>2401</v>
      </c>
      <c r="F463" t="s">
        <v>2401</v>
      </c>
      <c r="G463" t="s">
        <v>2401</v>
      </c>
      <c r="H463" t="s">
        <v>2401</v>
      </c>
      <c r="I463" t="s">
        <v>2401</v>
      </c>
      <c r="J463" t="s">
        <v>4249</v>
      </c>
      <c r="K463" t="s">
        <v>2720</v>
      </c>
      <c r="L463" t="s">
        <v>2401</v>
      </c>
      <c r="M463" s="14">
        <v>45565.698611111111</v>
      </c>
      <c r="N463" t="s">
        <v>2401</v>
      </c>
      <c r="O463" t="s">
        <v>2401</v>
      </c>
      <c r="P463" t="s">
        <v>2401</v>
      </c>
      <c r="Q463" t="s">
        <v>2401</v>
      </c>
      <c r="R463" t="s">
        <v>2401</v>
      </c>
      <c r="S463" t="s">
        <v>2401</v>
      </c>
    </row>
    <row r="464" spans="1:19">
      <c r="A464" t="s">
        <v>4250</v>
      </c>
      <c r="B464" t="s">
        <v>4251</v>
      </c>
      <c r="C464" t="s">
        <v>2401</v>
      </c>
      <c r="D464" t="s">
        <v>2401</v>
      </c>
      <c r="E464" t="s">
        <v>2401</v>
      </c>
      <c r="F464" t="s">
        <v>2401</v>
      </c>
      <c r="G464" t="s">
        <v>2401</v>
      </c>
      <c r="H464" t="s">
        <v>2401</v>
      </c>
      <c r="I464" t="s">
        <v>2401</v>
      </c>
      <c r="J464" t="s">
        <v>2401</v>
      </c>
      <c r="K464" t="s">
        <v>2401</v>
      </c>
      <c r="L464" t="s">
        <v>2401</v>
      </c>
      <c r="M464" s="14">
        <v>45390.607638888891</v>
      </c>
      <c r="N464" t="s">
        <v>2401</v>
      </c>
      <c r="O464" t="s">
        <v>2401</v>
      </c>
      <c r="P464" t="s">
        <v>2401</v>
      </c>
      <c r="Q464" t="s">
        <v>2401</v>
      </c>
      <c r="R464" t="s">
        <v>2401</v>
      </c>
      <c r="S464" t="s">
        <v>2401</v>
      </c>
    </row>
    <row r="465" spans="1:19">
      <c r="A465" t="s">
        <v>4252</v>
      </c>
      <c r="B465" t="s">
        <v>4253</v>
      </c>
      <c r="C465" t="s">
        <v>2401</v>
      </c>
      <c r="D465" t="s">
        <v>2401</v>
      </c>
      <c r="E465" t="s">
        <v>2401</v>
      </c>
      <c r="F465" t="s">
        <v>2401</v>
      </c>
      <c r="G465" t="s">
        <v>2401</v>
      </c>
      <c r="H465" t="s">
        <v>2401</v>
      </c>
      <c r="I465" t="s">
        <v>2401</v>
      </c>
      <c r="J465" t="s">
        <v>2401</v>
      </c>
      <c r="K465" t="s">
        <v>2401</v>
      </c>
      <c r="L465" t="s">
        <v>2401</v>
      </c>
      <c r="M465" s="14">
        <v>45390.607638888891</v>
      </c>
      <c r="N465" t="s">
        <v>2401</v>
      </c>
      <c r="O465" t="s">
        <v>4254</v>
      </c>
      <c r="P465" t="s">
        <v>2401</v>
      </c>
      <c r="Q465" t="s">
        <v>2401</v>
      </c>
      <c r="R465" t="s">
        <v>2401</v>
      </c>
      <c r="S465" t="s">
        <v>2401</v>
      </c>
    </row>
    <row r="466" spans="1:19">
      <c r="A466" t="s">
        <v>4255</v>
      </c>
      <c r="B466" t="s">
        <v>4256</v>
      </c>
      <c r="C466" t="s">
        <v>2401</v>
      </c>
      <c r="D466" t="s">
        <v>2401</v>
      </c>
      <c r="E466" t="s">
        <v>2401</v>
      </c>
      <c r="F466" t="s">
        <v>2401</v>
      </c>
      <c r="G466" t="s">
        <v>2401</v>
      </c>
      <c r="H466" t="s">
        <v>2401</v>
      </c>
      <c r="I466" t="s">
        <v>2401</v>
      </c>
      <c r="J466" t="s">
        <v>4257</v>
      </c>
      <c r="K466" t="s">
        <v>2401</v>
      </c>
      <c r="L466" t="s">
        <v>2401</v>
      </c>
      <c r="M466" s="14">
        <v>45565.546527777777</v>
      </c>
      <c r="N466" t="s">
        <v>2401</v>
      </c>
      <c r="O466" t="s">
        <v>2401</v>
      </c>
      <c r="P466" t="s">
        <v>2401</v>
      </c>
      <c r="Q466" t="s">
        <v>2401</v>
      </c>
      <c r="R466" t="s">
        <v>2401</v>
      </c>
      <c r="S466" t="s">
        <v>2401</v>
      </c>
    </row>
    <row r="467" spans="1:19">
      <c r="A467" t="s">
        <v>4258</v>
      </c>
      <c r="B467" t="s">
        <v>4259</v>
      </c>
      <c r="C467" t="s">
        <v>2401</v>
      </c>
      <c r="D467" t="s">
        <v>2401</v>
      </c>
      <c r="E467" t="s">
        <v>2401</v>
      </c>
      <c r="F467" t="s">
        <v>2401</v>
      </c>
      <c r="G467" t="s">
        <v>2401</v>
      </c>
      <c r="H467" t="s">
        <v>2401</v>
      </c>
      <c r="I467" t="s">
        <v>2401</v>
      </c>
      <c r="J467" t="s">
        <v>4259</v>
      </c>
      <c r="K467" t="s">
        <v>2401</v>
      </c>
      <c r="L467" t="s">
        <v>2401</v>
      </c>
      <c r="M467" s="14">
        <v>45534.874305555553</v>
      </c>
      <c r="N467" t="s">
        <v>2401</v>
      </c>
      <c r="O467" t="s">
        <v>2401</v>
      </c>
      <c r="P467" t="s">
        <v>2401</v>
      </c>
      <c r="Q467" t="s">
        <v>2401</v>
      </c>
      <c r="R467" t="s">
        <v>2401</v>
      </c>
      <c r="S467" t="s">
        <v>2401</v>
      </c>
    </row>
    <row r="468" spans="1:19">
      <c r="A468" t="s">
        <v>4260</v>
      </c>
      <c r="B468" t="s">
        <v>4261</v>
      </c>
      <c r="C468" t="s">
        <v>2401</v>
      </c>
      <c r="D468" t="s">
        <v>2401</v>
      </c>
      <c r="E468" t="s">
        <v>2401</v>
      </c>
      <c r="F468" t="s">
        <v>2401</v>
      </c>
      <c r="G468" t="s">
        <v>2401</v>
      </c>
      <c r="H468" t="s">
        <v>2401</v>
      </c>
      <c r="I468" t="s">
        <v>61</v>
      </c>
      <c r="J468" t="s">
        <v>4262</v>
      </c>
      <c r="K468" t="s">
        <v>2615</v>
      </c>
      <c r="L468" t="s">
        <v>2401</v>
      </c>
      <c r="M468" s="14">
        <v>45399.554861111108</v>
      </c>
      <c r="N468" t="s">
        <v>4263</v>
      </c>
      <c r="O468" t="s">
        <v>4264</v>
      </c>
      <c r="P468" t="s">
        <v>2401</v>
      </c>
      <c r="Q468" t="s">
        <v>2401</v>
      </c>
      <c r="R468" t="s">
        <v>2401</v>
      </c>
      <c r="S468" t="s">
        <v>2401</v>
      </c>
    </row>
    <row r="469" spans="1:19">
      <c r="A469" t="s">
        <v>4265</v>
      </c>
      <c r="B469" t="s">
        <v>4261</v>
      </c>
      <c r="C469" t="s">
        <v>2401</v>
      </c>
      <c r="D469" t="s">
        <v>2401</v>
      </c>
      <c r="E469" t="s">
        <v>2401</v>
      </c>
      <c r="F469" t="s">
        <v>2401</v>
      </c>
      <c r="G469" t="s">
        <v>2401</v>
      </c>
      <c r="H469" t="s">
        <v>2401</v>
      </c>
      <c r="I469" t="s">
        <v>2401</v>
      </c>
      <c r="J469" t="s">
        <v>2401</v>
      </c>
      <c r="K469" t="s">
        <v>2401</v>
      </c>
      <c r="L469" t="s">
        <v>2401</v>
      </c>
      <c r="M469" s="14">
        <v>45390.607638888891</v>
      </c>
      <c r="N469" t="s">
        <v>2401</v>
      </c>
      <c r="O469" t="s">
        <v>2586</v>
      </c>
      <c r="P469" t="s">
        <v>2401</v>
      </c>
      <c r="Q469" t="s">
        <v>2401</v>
      </c>
      <c r="R469" t="s">
        <v>2401</v>
      </c>
      <c r="S469" t="s">
        <v>2401</v>
      </c>
    </row>
    <row r="470" spans="1:19">
      <c r="A470" t="s">
        <v>4266</v>
      </c>
      <c r="B470" t="s">
        <v>4267</v>
      </c>
      <c r="C470" t="s">
        <v>2401</v>
      </c>
      <c r="D470" t="s">
        <v>2401</v>
      </c>
      <c r="E470" t="s">
        <v>2401</v>
      </c>
      <c r="F470" t="s">
        <v>2401</v>
      </c>
      <c r="G470" t="s">
        <v>2401</v>
      </c>
      <c r="H470" t="s">
        <v>2401</v>
      </c>
      <c r="I470" t="s">
        <v>2401</v>
      </c>
      <c r="J470" t="s">
        <v>2401</v>
      </c>
      <c r="K470" t="s">
        <v>2401</v>
      </c>
      <c r="L470" t="s">
        <v>2401</v>
      </c>
      <c r="M470" s="14">
        <v>45399.554861111108</v>
      </c>
      <c r="N470" t="s">
        <v>2401</v>
      </c>
      <c r="O470" t="s">
        <v>2401</v>
      </c>
      <c r="P470" t="s">
        <v>2401</v>
      </c>
      <c r="Q470" t="s">
        <v>2401</v>
      </c>
      <c r="R470" t="s">
        <v>2401</v>
      </c>
      <c r="S470" t="s">
        <v>2401</v>
      </c>
    </row>
    <row r="471" spans="1:19">
      <c r="A471" t="s">
        <v>4268</v>
      </c>
      <c r="B471" t="s">
        <v>4269</v>
      </c>
      <c r="C471" t="s">
        <v>2401</v>
      </c>
      <c r="D471" t="s">
        <v>2401</v>
      </c>
      <c r="E471" t="s">
        <v>2401</v>
      </c>
      <c r="F471" t="s">
        <v>2401</v>
      </c>
      <c r="G471" t="s">
        <v>2401</v>
      </c>
      <c r="H471" t="s">
        <v>2401</v>
      </c>
      <c r="I471" t="s">
        <v>2401</v>
      </c>
      <c r="J471" t="s">
        <v>4270</v>
      </c>
      <c r="K471" t="s">
        <v>2433</v>
      </c>
      <c r="L471" t="s">
        <v>2401</v>
      </c>
      <c r="M471" s="14">
        <v>45565.694444444445</v>
      </c>
      <c r="N471" t="s">
        <v>4271</v>
      </c>
      <c r="O471" t="s">
        <v>4272</v>
      </c>
      <c r="P471" t="s">
        <v>2401</v>
      </c>
      <c r="Q471" t="s">
        <v>2401</v>
      </c>
      <c r="R471" t="s">
        <v>2401</v>
      </c>
      <c r="S471" t="s">
        <v>2401</v>
      </c>
    </row>
    <row r="472" spans="1:19">
      <c r="A472" t="s">
        <v>4273</v>
      </c>
      <c r="B472" t="s">
        <v>4274</v>
      </c>
      <c r="C472" t="s">
        <v>2401</v>
      </c>
      <c r="D472" t="s">
        <v>2401</v>
      </c>
      <c r="E472" t="s">
        <v>2401</v>
      </c>
      <c r="F472" t="s">
        <v>2401</v>
      </c>
      <c r="G472" t="s">
        <v>2401</v>
      </c>
      <c r="H472" t="s">
        <v>2401</v>
      </c>
      <c r="I472" t="s">
        <v>2401</v>
      </c>
      <c r="J472" t="s">
        <v>2401</v>
      </c>
      <c r="K472" t="s">
        <v>2571</v>
      </c>
      <c r="L472" t="s">
        <v>2401</v>
      </c>
      <c r="M472" s="14">
        <v>45390.607638888891</v>
      </c>
      <c r="N472" t="s">
        <v>2401</v>
      </c>
      <c r="O472" t="s">
        <v>2401</v>
      </c>
      <c r="P472" t="s">
        <v>2401</v>
      </c>
      <c r="Q472" t="s">
        <v>2401</v>
      </c>
      <c r="R472" t="s">
        <v>2401</v>
      </c>
      <c r="S472" t="s">
        <v>2401</v>
      </c>
    </row>
    <row r="473" spans="1:19">
      <c r="A473" t="s">
        <v>4275</v>
      </c>
      <c r="B473" t="s">
        <v>4276</v>
      </c>
      <c r="C473" t="s">
        <v>2401</v>
      </c>
      <c r="D473" t="s">
        <v>2401</v>
      </c>
      <c r="E473" t="s">
        <v>2401</v>
      </c>
      <c r="F473" t="s">
        <v>2401</v>
      </c>
      <c r="G473" t="s">
        <v>2401</v>
      </c>
      <c r="H473" t="s">
        <v>2401</v>
      </c>
      <c r="I473" t="s">
        <v>2401</v>
      </c>
      <c r="J473" t="s">
        <v>4277</v>
      </c>
      <c r="K473" t="s">
        <v>2709</v>
      </c>
      <c r="L473" t="s">
        <v>2401</v>
      </c>
      <c r="M473" s="14">
        <v>45565.65347222222</v>
      </c>
      <c r="N473" t="s">
        <v>4278</v>
      </c>
      <c r="O473" t="s">
        <v>2401</v>
      </c>
      <c r="P473" t="s">
        <v>2401</v>
      </c>
      <c r="Q473" t="s">
        <v>2401</v>
      </c>
      <c r="R473" t="s">
        <v>2401</v>
      </c>
      <c r="S473" t="s">
        <v>2401</v>
      </c>
    </row>
    <row r="474" spans="1:19">
      <c r="A474" t="s">
        <v>4279</v>
      </c>
      <c r="B474" t="s">
        <v>4280</v>
      </c>
      <c r="C474" t="s">
        <v>2401</v>
      </c>
      <c r="D474" t="s">
        <v>2401</v>
      </c>
      <c r="E474" t="s">
        <v>2401</v>
      </c>
      <c r="F474" t="s">
        <v>2401</v>
      </c>
      <c r="G474" t="s">
        <v>2401</v>
      </c>
      <c r="H474" t="s">
        <v>2401</v>
      </c>
      <c r="I474" t="s">
        <v>2401</v>
      </c>
      <c r="J474" t="s">
        <v>2401</v>
      </c>
      <c r="K474" t="s">
        <v>2448</v>
      </c>
      <c r="L474" t="s">
        <v>2401</v>
      </c>
      <c r="M474" s="14">
        <v>45390.607638888891</v>
      </c>
      <c r="N474" t="s">
        <v>2401</v>
      </c>
      <c r="O474" t="s">
        <v>4281</v>
      </c>
      <c r="P474" t="s">
        <v>2401</v>
      </c>
      <c r="Q474" t="s">
        <v>2401</v>
      </c>
      <c r="R474" t="s">
        <v>2401</v>
      </c>
      <c r="S474" t="s">
        <v>2401</v>
      </c>
    </row>
    <row r="475" spans="1:19">
      <c r="A475" t="s">
        <v>4282</v>
      </c>
      <c r="B475" t="s">
        <v>4283</v>
      </c>
      <c r="C475" t="s">
        <v>2401</v>
      </c>
      <c r="D475" t="s">
        <v>2401</v>
      </c>
      <c r="E475" t="s">
        <v>2401</v>
      </c>
      <c r="F475" t="s">
        <v>2401</v>
      </c>
      <c r="G475" t="s">
        <v>2401</v>
      </c>
      <c r="H475" t="s">
        <v>2401</v>
      </c>
      <c r="I475" t="s">
        <v>2401</v>
      </c>
      <c r="J475" t="s">
        <v>2401</v>
      </c>
      <c r="K475" t="s">
        <v>2401</v>
      </c>
      <c r="L475" t="s">
        <v>2401</v>
      </c>
      <c r="M475" s="14">
        <v>45390.607638888891</v>
      </c>
      <c r="N475" t="s">
        <v>2401</v>
      </c>
      <c r="O475" t="s">
        <v>2401</v>
      </c>
      <c r="P475" t="s">
        <v>2401</v>
      </c>
      <c r="Q475" t="s">
        <v>2401</v>
      </c>
      <c r="R475" t="s">
        <v>2401</v>
      </c>
      <c r="S475" t="s">
        <v>2401</v>
      </c>
    </row>
    <row r="476" spans="1:19">
      <c r="A476" t="s">
        <v>4284</v>
      </c>
      <c r="B476" t="s">
        <v>4285</v>
      </c>
      <c r="C476" t="s">
        <v>2401</v>
      </c>
      <c r="D476" t="s">
        <v>2401</v>
      </c>
      <c r="E476" t="s">
        <v>2401</v>
      </c>
      <c r="F476" t="s">
        <v>2401</v>
      </c>
      <c r="G476" t="s">
        <v>2401</v>
      </c>
      <c r="H476" t="s">
        <v>2401</v>
      </c>
      <c r="I476" t="s">
        <v>2401</v>
      </c>
      <c r="J476" t="s">
        <v>4286</v>
      </c>
      <c r="K476" t="s">
        <v>2720</v>
      </c>
      <c r="L476" t="s">
        <v>2401</v>
      </c>
      <c r="M476" s="14">
        <v>45565.663194444445</v>
      </c>
      <c r="N476" t="s">
        <v>4287</v>
      </c>
      <c r="O476" t="s">
        <v>4288</v>
      </c>
      <c r="P476" t="s">
        <v>2401</v>
      </c>
      <c r="Q476" t="s">
        <v>2401</v>
      </c>
      <c r="R476" t="s">
        <v>2401</v>
      </c>
      <c r="S476" t="s">
        <v>2401</v>
      </c>
    </row>
    <row r="477" spans="1:19">
      <c r="A477" t="s">
        <v>4289</v>
      </c>
      <c r="B477" t="s">
        <v>4290</v>
      </c>
      <c r="C477" t="s">
        <v>2401</v>
      </c>
      <c r="D477" t="s">
        <v>2401</v>
      </c>
      <c r="E477" t="s">
        <v>2401</v>
      </c>
      <c r="F477" t="s">
        <v>2401</v>
      </c>
      <c r="G477" t="s">
        <v>2401</v>
      </c>
      <c r="H477" t="s">
        <v>2401</v>
      </c>
      <c r="I477" t="s">
        <v>2401</v>
      </c>
      <c r="J477" t="s">
        <v>2401</v>
      </c>
      <c r="K477" t="s">
        <v>2401</v>
      </c>
      <c r="L477" t="s">
        <v>2401</v>
      </c>
      <c r="M477" s="14">
        <v>45390.607638888891</v>
      </c>
      <c r="N477" t="s">
        <v>2401</v>
      </c>
      <c r="O477" t="s">
        <v>2401</v>
      </c>
      <c r="P477" t="s">
        <v>2401</v>
      </c>
      <c r="Q477" t="s">
        <v>2401</v>
      </c>
      <c r="R477" t="s">
        <v>2401</v>
      </c>
      <c r="S477" t="s">
        <v>2401</v>
      </c>
    </row>
    <row r="478" spans="1:19">
      <c r="A478" t="s">
        <v>4291</v>
      </c>
      <c r="B478" t="s">
        <v>4292</v>
      </c>
      <c r="C478" t="s">
        <v>2401</v>
      </c>
      <c r="D478" t="s">
        <v>2401</v>
      </c>
      <c r="E478" t="s">
        <v>2401</v>
      </c>
      <c r="F478" t="s">
        <v>2401</v>
      </c>
      <c r="G478" t="s">
        <v>2401</v>
      </c>
      <c r="H478" t="s">
        <v>2401</v>
      </c>
      <c r="I478" t="s">
        <v>2401</v>
      </c>
      <c r="J478" t="s">
        <v>4293</v>
      </c>
      <c r="K478" t="s">
        <v>3218</v>
      </c>
      <c r="L478" t="s">
        <v>2401</v>
      </c>
      <c r="M478" s="14">
        <v>45565.663194444445</v>
      </c>
      <c r="N478" t="s">
        <v>4294</v>
      </c>
      <c r="O478" t="s">
        <v>4288</v>
      </c>
      <c r="P478" t="s">
        <v>2401</v>
      </c>
      <c r="Q478" t="s">
        <v>2401</v>
      </c>
      <c r="R478" t="s">
        <v>2401</v>
      </c>
      <c r="S478" t="s">
        <v>2401</v>
      </c>
    </row>
    <row r="479" spans="1:19">
      <c r="A479" t="s">
        <v>4295</v>
      </c>
      <c r="B479" t="s">
        <v>4296</v>
      </c>
      <c r="C479" t="s">
        <v>2401</v>
      </c>
      <c r="D479" t="s">
        <v>2401</v>
      </c>
      <c r="E479" t="s">
        <v>2401</v>
      </c>
      <c r="F479" t="s">
        <v>2401</v>
      </c>
      <c r="G479" t="s">
        <v>2401</v>
      </c>
      <c r="H479" t="s">
        <v>2401</v>
      </c>
      <c r="I479" t="s">
        <v>2401</v>
      </c>
      <c r="J479" t="s">
        <v>2401</v>
      </c>
      <c r="K479" t="s">
        <v>2499</v>
      </c>
      <c r="L479" t="s">
        <v>2401</v>
      </c>
      <c r="M479" s="14">
        <v>45390.607638888891</v>
      </c>
      <c r="N479" t="s">
        <v>2401</v>
      </c>
      <c r="O479" t="s">
        <v>4297</v>
      </c>
      <c r="P479" t="s">
        <v>2401</v>
      </c>
      <c r="Q479" t="s">
        <v>2401</v>
      </c>
      <c r="R479" t="s">
        <v>2401</v>
      </c>
      <c r="S479" t="s">
        <v>2401</v>
      </c>
    </row>
    <row r="480" spans="1:19">
      <c r="A480" t="s">
        <v>4298</v>
      </c>
      <c r="B480" t="s">
        <v>4299</v>
      </c>
      <c r="C480" t="s">
        <v>2401</v>
      </c>
      <c r="D480" t="s">
        <v>2401</v>
      </c>
      <c r="E480" t="s">
        <v>2401</v>
      </c>
      <c r="F480" t="s">
        <v>2401</v>
      </c>
      <c r="G480" t="s">
        <v>2401</v>
      </c>
      <c r="H480" t="s">
        <v>2401</v>
      </c>
      <c r="I480" t="s">
        <v>2401</v>
      </c>
      <c r="J480" t="s">
        <v>4300</v>
      </c>
      <c r="K480" t="s">
        <v>2985</v>
      </c>
      <c r="L480" t="s">
        <v>2401</v>
      </c>
      <c r="M480" s="14">
        <v>45399.554861111108</v>
      </c>
      <c r="N480" t="s">
        <v>4301</v>
      </c>
      <c r="O480" t="s">
        <v>4302</v>
      </c>
      <c r="P480" t="s">
        <v>2401</v>
      </c>
      <c r="Q480" t="s">
        <v>2401</v>
      </c>
      <c r="R480" t="s">
        <v>2401</v>
      </c>
      <c r="S480" t="s">
        <v>2401</v>
      </c>
    </row>
    <row r="481" spans="1:19">
      <c r="A481" t="s">
        <v>4303</v>
      </c>
      <c r="B481" t="s">
        <v>4304</v>
      </c>
      <c r="C481" t="s">
        <v>2401</v>
      </c>
      <c r="D481" t="s">
        <v>2401</v>
      </c>
      <c r="E481" t="s">
        <v>2401</v>
      </c>
      <c r="F481" t="s">
        <v>2401</v>
      </c>
      <c r="G481" t="s">
        <v>2401</v>
      </c>
      <c r="H481" t="s">
        <v>2401</v>
      </c>
      <c r="I481" t="s">
        <v>2401</v>
      </c>
      <c r="J481" t="s">
        <v>2401</v>
      </c>
      <c r="K481" t="s">
        <v>2401</v>
      </c>
      <c r="L481" t="s">
        <v>2401</v>
      </c>
      <c r="M481" s="14">
        <v>45509.718055555553</v>
      </c>
      <c r="N481" t="s">
        <v>2401</v>
      </c>
      <c r="O481" t="s">
        <v>2401</v>
      </c>
      <c r="P481" t="s">
        <v>2401</v>
      </c>
      <c r="Q481" t="s">
        <v>2401</v>
      </c>
      <c r="R481" t="s">
        <v>2401</v>
      </c>
      <c r="S481" t="s">
        <v>2401</v>
      </c>
    </row>
    <row r="482" spans="1:19">
      <c r="A482" t="s">
        <v>4305</v>
      </c>
      <c r="B482" t="s">
        <v>4306</v>
      </c>
      <c r="C482" t="s">
        <v>2401</v>
      </c>
      <c r="D482" t="s">
        <v>2401</v>
      </c>
      <c r="E482" t="s">
        <v>2401</v>
      </c>
      <c r="F482" t="s">
        <v>2401</v>
      </c>
      <c r="G482" t="s">
        <v>2401</v>
      </c>
      <c r="H482" t="s">
        <v>2401</v>
      </c>
      <c r="I482" t="s">
        <v>2401</v>
      </c>
      <c r="J482" t="s">
        <v>2401</v>
      </c>
      <c r="K482" t="s">
        <v>2401</v>
      </c>
      <c r="L482" t="s">
        <v>2401</v>
      </c>
      <c r="M482" s="14">
        <v>45390.607638888891</v>
      </c>
      <c r="N482" t="s">
        <v>2401</v>
      </c>
      <c r="O482" t="s">
        <v>2401</v>
      </c>
      <c r="P482" t="s">
        <v>2401</v>
      </c>
      <c r="Q482" t="s">
        <v>2401</v>
      </c>
      <c r="R482" t="s">
        <v>2401</v>
      </c>
      <c r="S482" t="s">
        <v>2401</v>
      </c>
    </row>
    <row r="483" spans="1:19">
      <c r="A483" t="s">
        <v>4307</v>
      </c>
      <c r="B483" t="s">
        <v>4308</v>
      </c>
      <c r="C483" t="s">
        <v>2401</v>
      </c>
      <c r="D483" t="s">
        <v>2401</v>
      </c>
      <c r="E483" t="s">
        <v>2401</v>
      </c>
      <c r="F483" t="s">
        <v>2401</v>
      </c>
      <c r="G483" t="s">
        <v>2401</v>
      </c>
      <c r="H483" t="s">
        <v>2401</v>
      </c>
      <c r="I483" t="s">
        <v>2401</v>
      </c>
      <c r="J483" t="s">
        <v>4309</v>
      </c>
      <c r="K483" t="s">
        <v>2877</v>
      </c>
      <c r="L483" t="s">
        <v>2401</v>
      </c>
      <c r="M483" s="14">
        <v>45455.618055555555</v>
      </c>
      <c r="N483" t="s">
        <v>4310</v>
      </c>
      <c r="O483" t="s">
        <v>4311</v>
      </c>
      <c r="P483" t="s">
        <v>2401</v>
      </c>
      <c r="Q483" t="s">
        <v>2401</v>
      </c>
      <c r="R483" t="s">
        <v>2401</v>
      </c>
      <c r="S483" t="s">
        <v>2401</v>
      </c>
    </row>
    <row r="484" spans="1:19">
      <c r="A484" t="s">
        <v>4312</v>
      </c>
      <c r="B484" t="s">
        <v>4313</v>
      </c>
      <c r="C484" t="s">
        <v>2401</v>
      </c>
      <c r="D484" t="s">
        <v>2401</v>
      </c>
      <c r="E484" t="s">
        <v>2401</v>
      </c>
      <c r="F484" t="s">
        <v>2401</v>
      </c>
      <c r="G484" t="s">
        <v>2401</v>
      </c>
      <c r="H484" t="s">
        <v>2401</v>
      </c>
      <c r="I484" t="s">
        <v>2401</v>
      </c>
      <c r="J484" t="s">
        <v>2401</v>
      </c>
      <c r="K484" t="s">
        <v>2401</v>
      </c>
      <c r="L484" t="s">
        <v>2401</v>
      </c>
      <c r="M484" s="14">
        <v>45509.718055555553</v>
      </c>
      <c r="N484" t="s">
        <v>2401</v>
      </c>
      <c r="O484" t="s">
        <v>2401</v>
      </c>
      <c r="P484" t="s">
        <v>2401</v>
      </c>
      <c r="Q484" t="s">
        <v>2401</v>
      </c>
      <c r="R484" t="s">
        <v>2401</v>
      </c>
      <c r="S484" t="s">
        <v>2401</v>
      </c>
    </row>
    <row r="485" spans="1:19">
      <c r="A485" t="s">
        <v>4314</v>
      </c>
      <c r="B485" t="s">
        <v>4313</v>
      </c>
      <c r="C485" t="s">
        <v>2401</v>
      </c>
      <c r="D485" t="s">
        <v>2401</v>
      </c>
      <c r="E485" t="s">
        <v>2401</v>
      </c>
      <c r="F485" t="s">
        <v>2401</v>
      </c>
      <c r="G485" t="s">
        <v>2401</v>
      </c>
      <c r="H485" t="s">
        <v>2401</v>
      </c>
      <c r="I485" t="s">
        <v>2401</v>
      </c>
      <c r="J485" t="s">
        <v>2401</v>
      </c>
      <c r="K485" t="s">
        <v>4315</v>
      </c>
      <c r="L485" t="s">
        <v>2401</v>
      </c>
      <c r="M485" s="14">
        <v>45390.607638888891</v>
      </c>
      <c r="N485" t="s">
        <v>2401</v>
      </c>
      <c r="O485" t="s">
        <v>4288</v>
      </c>
      <c r="P485" t="s">
        <v>2401</v>
      </c>
      <c r="Q485" t="s">
        <v>2401</v>
      </c>
      <c r="R485" t="s">
        <v>2401</v>
      </c>
      <c r="S485" t="s">
        <v>2401</v>
      </c>
    </row>
    <row r="486" spans="1:19">
      <c r="A486" t="s">
        <v>4316</v>
      </c>
      <c r="B486" t="s">
        <v>4313</v>
      </c>
      <c r="C486" t="s">
        <v>2401</v>
      </c>
      <c r="D486" t="s">
        <v>2401</v>
      </c>
      <c r="E486" t="s">
        <v>2401</v>
      </c>
      <c r="F486" t="s">
        <v>2401</v>
      </c>
      <c r="G486" t="s">
        <v>2401</v>
      </c>
      <c r="H486" t="s">
        <v>2401</v>
      </c>
      <c r="I486" t="s">
        <v>2401</v>
      </c>
      <c r="J486" t="s">
        <v>4317</v>
      </c>
      <c r="K486" t="s">
        <v>4315</v>
      </c>
      <c r="L486" t="s">
        <v>2401</v>
      </c>
      <c r="M486" s="14">
        <v>45167.592361111114</v>
      </c>
      <c r="N486" t="s">
        <v>4318</v>
      </c>
      <c r="O486" t="s">
        <v>4288</v>
      </c>
      <c r="P486" t="s">
        <v>2401</v>
      </c>
      <c r="Q486" t="s">
        <v>2401</v>
      </c>
      <c r="R486" t="s">
        <v>2401</v>
      </c>
      <c r="S486" t="s">
        <v>2401</v>
      </c>
    </row>
    <row r="487" spans="1:19">
      <c r="A487" t="s">
        <v>4319</v>
      </c>
      <c r="B487" t="s">
        <v>4320</v>
      </c>
      <c r="C487" t="s">
        <v>2401</v>
      </c>
      <c r="D487" t="s">
        <v>2401</v>
      </c>
      <c r="E487" t="s">
        <v>2401</v>
      </c>
      <c r="F487" t="s">
        <v>2401</v>
      </c>
      <c r="G487" t="s">
        <v>2401</v>
      </c>
      <c r="H487" t="s">
        <v>2401</v>
      </c>
      <c r="I487" t="s">
        <v>61</v>
      </c>
      <c r="J487" t="s">
        <v>4321</v>
      </c>
      <c r="K487" t="s">
        <v>2709</v>
      </c>
      <c r="L487" t="s">
        <v>2401</v>
      </c>
      <c r="M487" s="14">
        <v>45399.554861111108</v>
      </c>
      <c r="N487" t="s">
        <v>4322</v>
      </c>
      <c r="O487" t="s">
        <v>2401</v>
      </c>
      <c r="P487" t="s">
        <v>2401</v>
      </c>
      <c r="Q487" t="s">
        <v>2401</v>
      </c>
      <c r="R487" t="s">
        <v>2401</v>
      </c>
      <c r="S487" t="s">
        <v>2401</v>
      </c>
    </row>
    <row r="488" spans="1:19">
      <c r="A488" t="s">
        <v>4323</v>
      </c>
      <c r="B488" t="s">
        <v>4324</v>
      </c>
      <c r="C488" t="s">
        <v>2401</v>
      </c>
      <c r="D488" t="s">
        <v>2401</v>
      </c>
      <c r="E488" t="s">
        <v>2401</v>
      </c>
      <c r="F488" t="s">
        <v>2401</v>
      </c>
      <c r="G488" t="s">
        <v>2401</v>
      </c>
      <c r="H488" t="s">
        <v>2401</v>
      </c>
      <c r="I488" t="s">
        <v>2401</v>
      </c>
      <c r="J488" t="s">
        <v>2401</v>
      </c>
      <c r="K488" t="s">
        <v>2709</v>
      </c>
      <c r="L488" t="s">
        <v>2401</v>
      </c>
      <c r="M488" s="14">
        <v>45390.607638888891</v>
      </c>
      <c r="N488" t="s">
        <v>2401</v>
      </c>
      <c r="O488" t="s">
        <v>4325</v>
      </c>
      <c r="P488" t="s">
        <v>2401</v>
      </c>
      <c r="Q488" t="s">
        <v>2401</v>
      </c>
      <c r="R488" t="s">
        <v>2401</v>
      </c>
      <c r="S488" t="s">
        <v>2401</v>
      </c>
    </row>
    <row r="489" spans="1:19">
      <c r="A489" t="s">
        <v>4326</v>
      </c>
      <c r="B489" t="s">
        <v>4327</v>
      </c>
      <c r="C489" t="s">
        <v>2401</v>
      </c>
      <c r="D489" t="s">
        <v>2401</v>
      </c>
      <c r="E489" t="s">
        <v>2401</v>
      </c>
      <c r="F489" t="s">
        <v>2401</v>
      </c>
      <c r="G489" t="s">
        <v>2401</v>
      </c>
      <c r="H489" t="s">
        <v>2401</v>
      </c>
      <c r="I489" t="s">
        <v>2401</v>
      </c>
      <c r="J489" t="s">
        <v>4328</v>
      </c>
      <c r="K489" t="s">
        <v>3473</v>
      </c>
      <c r="L489" t="s">
        <v>2549</v>
      </c>
      <c r="M489" s="14">
        <v>45523.749305555553</v>
      </c>
      <c r="N489" t="s">
        <v>4329</v>
      </c>
      <c r="O489" t="s">
        <v>4330</v>
      </c>
      <c r="P489" t="s">
        <v>2401</v>
      </c>
      <c r="Q489" t="s">
        <v>2401</v>
      </c>
      <c r="R489" t="s">
        <v>2401</v>
      </c>
      <c r="S489" t="s">
        <v>2401</v>
      </c>
    </row>
    <row r="490" spans="1:19">
      <c r="A490" t="s">
        <v>4331</v>
      </c>
      <c r="B490" t="s">
        <v>4332</v>
      </c>
      <c r="C490" t="s">
        <v>2564</v>
      </c>
      <c r="D490" t="s">
        <v>4333</v>
      </c>
      <c r="E490" t="s">
        <v>4334</v>
      </c>
      <c r="F490" t="s">
        <v>4335</v>
      </c>
      <c r="G490" t="s">
        <v>4336</v>
      </c>
      <c r="H490" t="s">
        <v>4337</v>
      </c>
      <c r="I490" t="s">
        <v>2401</v>
      </c>
      <c r="J490" t="s">
        <v>4338</v>
      </c>
      <c r="K490" t="s">
        <v>2406</v>
      </c>
      <c r="L490" t="s">
        <v>2401</v>
      </c>
      <c r="M490" s="14">
        <v>45534.874305555553</v>
      </c>
      <c r="N490" t="s">
        <v>4339</v>
      </c>
      <c r="O490" t="s">
        <v>2401</v>
      </c>
      <c r="P490" t="s">
        <v>2401</v>
      </c>
      <c r="Q490" t="s">
        <v>2401</v>
      </c>
      <c r="R490" t="s">
        <v>2401</v>
      </c>
      <c r="S490" t="s">
        <v>2401</v>
      </c>
    </row>
    <row r="491" spans="1:19">
      <c r="A491" t="s">
        <v>4340</v>
      </c>
      <c r="B491" t="s">
        <v>4341</v>
      </c>
      <c r="C491" t="s">
        <v>2401</v>
      </c>
      <c r="D491" t="s">
        <v>2401</v>
      </c>
      <c r="E491" t="s">
        <v>2401</v>
      </c>
      <c r="F491" t="s">
        <v>2401</v>
      </c>
      <c r="G491" t="s">
        <v>2401</v>
      </c>
      <c r="H491" t="s">
        <v>2401</v>
      </c>
      <c r="I491" t="s">
        <v>2401</v>
      </c>
      <c r="J491" t="s">
        <v>2401</v>
      </c>
      <c r="K491" t="s">
        <v>2401</v>
      </c>
      <c r="L491" t="s">
        <v>2401</v>
      </c>
      <c r="M491" s="14">
        <v>45517.415972222225</v>
      </c>
      <c r="N491" t="s">
        <v>2401</v>
      </c>
      <c r="O491" t="s">
        <v>2401</v>
      </c>
      <c r="P491" t="s">
        <v>2401</v>
      </c>
      <c r="Q491" t="s">
        <v>2401</v>
      </c>
      <c r="R491" t="s">
        <v>2401</v>
      </c>
      <c r="S491" t="s">
        <v>2401</v>
      </c>
    </row>
    <row r="492" spans="1:19">
      <c r="A492" t="s">
        <v>4342</v>
      </c>
      <c r="B492" t="s">
        <v>4343</v>
      </c>
      <c r="C492" t="s">
        <v>2401</v>
      </c>
      <c r="D492" t="s">
        <v>2401</v>
      </c>
      <c r="E492" t="s">
        <v>2401</v>
      </c>
      <c r="F492" t="s">
        <v>2401</v>
      </c>
      <c r="G492" t="s">
        <v>2401</v>
      </c>
      <c r="H492" t="s">
        <v>2401</v>
      </c>
      <c r="I492" t="s">
        <v>2401</v>
      </c>
      <c r="J492" t="s">
        <v>4344</v>
      </c>
      <c r="K492" t="s">
        <v>2615</v>
      </c>
      <c r="L492" t="s">
        <v>2401</v>
      </c>
      <c r="M492" s="14">
        <v>45565.570833333331</v>
      </c>
      <c r="N492" t="s">
        <v>4345</v>
      </c>
      <c r="O492" t="s">
        <v>2401</v>
      </c>
      <c r="P492" t="s">
        <v>2401</v>
      </c>
      <c r="Q492" t="s">
        <v>2401</v>
      </c>
      <c r="R492" t="s">
        <v>2401</v>
      </c>
      <c r="S492" t="s">
        <v>2401</v>
      </c>
    </row>
    <row r="493" spans="1:19">
      <c r="A493" t="s">
        <v>4346</v>
      </c>
      <c r="B493" t="s">
        <v>4347</v>
      </c>
      <c r="C493" t="s">
        <v>2401</v>
      </c>
      <c r="D493" t="s">
        <v>2401</v>
      </c>
      <c r="E493" t="s">
        <v>2401</v>
      </c>
      <c r="F493" t="s">
        <v>2401</v>
      </c>
      <c r="G493" t="s">
        <v>2401</v>
      </c>
      <c r="H493" t="s">
        <v>2401</v>
      </c>
      <c r="I493" t="s">
        <v>61</v>
      </c>
      <c r="J493" t="s">
        <v>4348</v>
      </c>
      <c r="K493" t="s">
        <v>2779</v>
      </c>
      <c r="L493" t="s">
        <v>2401</v>
      </c>
      <c r="M493" s="14">
        <v>45399.554861111108</v>
      </c>
      <c r="N493" t="s">
        <v>4349</v>
      </c>
      <c r="O493" t="s">
        <v>4350</v>
      </c>
      <c r="P493" t="s">
        <v>2401</v>
      </c>
      <c r="Q493" t="s">
        <v>2401</v>
      </c>
      <c r="R493" t="s">
        <v>2401</v>
      </c>
      <c r="S493" t="s">
        <v>2401</v>
      </c>
    </row>
    <row r="494" spans="1:19">
      <c r="A494" t="s">
        <v>4351</v>
      </c>
      <c r="B494" t="s">
        <v>4347</v>
      </c>
      <c r="C494" t="s">
        <v>2401</v>
      </c>
      <c r="D494" t="s">
        <v>2401</v>
      </c>
      <c r="E494" t="s">
        <v>2401</v>
      </c>
      <c r="F494" t="s">
        <v>2401</v>
      </c>
      <c r="G494" t="s">
        <v>2401</v>
      </c>
      <c r="H494" t="s">
        <v>2401</v>
      </c>
      <c r="I494" t="s">
        <v>2401</v>
      </c>
      <c r="J494" t="s">
        <v>4352</v>
      </c>
      <c r="K494" t="s">
        <v>2779</v>
      </c>
      <c r="L494" t="s">
        <v>2401</v>
      </c>
      <c r="M494" s="14">
        <v>45390.607638888891</v>
      </c>
      <c r="N494" t="s">
        <v>2401</v>
      </c>
      <c r="O494" t="s">
        <v>4353</v>
      </c>
      <c r="P494" t="s">
        <v>2401</v>
      </c>
      <c r="Q494" t="s">
        <v>2401</v>
      </c>
      <c r="R494" t="s">
        <v>2401</v>
      </c>
      <c r="S494" t="s">
        <v>2401</v>
      </c>
    </row>
    <row r="495" spans="1:19">
      <c r="A495" t="s">
        <v>4354</v>
      </c>
      <c r="B495" t="s">
        <v>4355</v>
      </c>
      <c r="C495" t="s">
        <v>2401</v>
      </c>
      <c r="D495" t="s">
        <v>2401</v>
      </c>
      <c r="E495" t="s">
        <v>2401</v>
      </c>
      <c r="F495" t="s">
        <v>2401</v>
      </c>
      <c r="G495" t="s">
        <v>2401</v>
      </c>
      <c r="H495" t="s">
        <v>2401</v>
      </c>
      <c r="I495" t="s">
        <v>2401</v>
      </c>
      <c r="J495" t="s">
        <v>4356</v>
      </c>
      <c r="K495" t="s">
        <v>2406</v>
      </c>
      <c r="L495" t="s">
        <v>2401</v>
      </c>
      <c r="M495" s="14">
        <v>45534.874305555553</v>
      </c>
      <c r="N495" t="s">
        <v>4357</v>
      </c>
      <c r="O495" t="s">
        <v>2401</v>
      </c>
      <c r="P495" t="s">
        <v>2401</v>
      </c>
      <c r="Q495" t="s">
        <v>2401</v>
      </c>
      <c r="R495" t="s">
        <v>2401</v>
      </c>
      <c r="S495" t="s">
        <v>2401</v>
      </c>
    </row>
    <row r="496" spans="1:19">
      <c r="A496" t="s">
        <v>4358</v>
      </c>
      <c r="B496" t="s">
        <v>4359</v>
      </c>
      <c r="C496" t="s">
        <v>2401</v>
      </c>
      <c r="D496" t="s">
        <v>2401</v>
      </c>
      <c r="E496" t="s">
        <v>2401</v>
      </c>
      <c r="F496" t="s">
        <v>2401</v>
      </c>
      <c r="G496" t="s">
        <v>2401</v>
      </c>
      <c r="H496" t="s">
        <v>2401</v>
      </c>
      <c r="I496" t="s">
        <v>2401</v>
      </c>
      <c r="J496" t="s">
        <v>4360</v>
      </c>
      <c r="K496" t="s">
        <v>2492</v>
      </c>
      <c r="L496" t="s">
        <v>2401</v>
      </c>
      <c r="M496" s="14">
        <v>45565.558333333334</v>
      </c>
      <c r="N496" t="s">
        <v>4361</v>
      </c>
      <c r="O496" t="s">
        <v>2401</v>
      </c>
      <c r="P496" t="s">
        <v>2401</v>
      </c>
      <c r="Q496" t="s">
        <v>2401</v>
      </c>
      <c r="R496" t="s">
        <v>2401</v>
      </c>
      <c r="S496" t="s">
        <v>2401</v>
      </c>
    </row>
    <row r="497" spans="1:19">
      <c r="A497" t="s">
        <v>4362</v>
      </c>
      <c r="B497" t="s">
        <v>4363</v>
      </c>
      <c r="C497" t="s">
        <v>2401</v>
      </c>
      <c r="D497" t="s">
        <v>2401</v>
      </c>
      <c r="E497" t="s">
        <v>2401</v>
      </c>
      <c r="F497" t="s">
        <v>2401</v>
      </c>
      <c r="G497" t="s">
        <v>2401</v>
      </c>
      <c r="H497" t="s">
        <v>2401</v>
      </c>
      <c r="I497" t="s">
        <v>2401</v>
      </c>
      <c r="J497" t="s">
        <v>4364</v>
      </c>
      <c r="K497" t="s">
        <v>3071</v>
      </c>
      <c r="L497" t="s">
        <v>2401</v>
      </c>
      <c r="M497" s="14">
        <v>45565.559027777781</v>
      </c>
      <c r="N497" t="s">
        <v>4365</v>
      </c>
      <c r="O497" t="s">
        <v>4366</v>
      </c>
      <c r="P497" t="s">
        <v>2401</v>
      </c>
      <c r="Q497" t="s">
        <v>2401</v>
      </c>
      <c r="R497" t="s">
        <v>2401</v>
      </c>
      <c r="S497" t="s">
        <v>2401</v>
      </c>
    </row>
    <row r="498" spans="1:19">
      <c r="A498" t="s">
        <v>4367</v>
      </c>
      <c r="B498" t="s">
        <v>4363</v>
      </c>
      <c r="C498" t="s">
        <v>2401</v>
      </c>
      <c r="D498" t="s">
        <v>2401</v>
      </c>
      <c r="E498" t="s">
        <v>2401</v>
      </c>
      <c r="F498" t="s">
        <v>2401</v>
      </c>
      <c r="G498" t="s">
        <v>2401</v>
      </c>
      <c r="H498" t="s">
        <v>2401</v>
      </c>
      <c r="I498" t="s">
        <v>2401</v>
      </c>
      <c r="J498" t="s">
        <v>4368</v>
      </c>
      <c r="K498" t="s">
        <v>3071</v>
      </c>
      <c r="L498" t="s">
        <v>2401</v>
      </c>
      <c r="M498" s="14">
        <v>45399.554861111108</v>
      </c>
      <c r="N498" t="s">
        <v>4369</v>
      </c>
      <c r="O498" t="s">
        <v>4370</v>
      </c>
      <c r="P498" t="s">
        <v>2401</v>
      </c>
      <c r="Q498" t="s">
        <v>2401</v>
      </c>
      <c r="R498" t="s">
        <v>2401</v>
      </c>
      <c r="S498" t="s">
        <v>2401</v>
      </c>
    </row>
    <row r="499" spans="1:19">
      <c r="A499" t="s">
        <v>4371</v>
      </c>
      <c r="B499" t="s">
        <v>4372</v>
      </c>
      <c r="C499" t="s">
        <v>2401</v>
      </c>
      <c r="D499" t="s">
        <v>2401</v>
      </c>
      <c r="E499" t="s">
        <v>2401</v>
      </c>
      <c r="F499" t="s">
        <v>2401</v>
      </c>
      <c r="G499" t="s">
        <v>2401</v>
      </c>
      <c r="H499" t="s">
        <v>2401</v>
      </c>
      <c r="I499" t="s">
        <v>61</v>
      </c>
      <c r="J499" t="s">
        <v>2401</v>
      </c>
      <c r="K499" t="s">
        <v>2401</v>
      </c>
      <c r="L499" t="s">
        <v>2401</v>
      </c>
      <c r="M499" s="14">
        <v>45399.554861111108</v>
      </c>
      <c r="N499" t="s">
        <v>2401</v>
      </c>
      <c r="O499" t="s">
        <v>2401</v>
      </c>
      <c r="P499" t="s">
        <v>2401</v>
      </c>
      <c r="Q499" t="s">
        <v>2401</v>
      </c>
      <c r="R499" t="s">
        <v>2401</v>
      </c>
      <c r="S499" t="s">
        <v>2401</v>
      </c>
    </row>
    <row r="500" spans="1:19">
      <c r="A500" t="s">
        <v>4373</v>
      </c>
      <c r="B500" t="s">
        <v>4372</v>
      </c>
      <c r="C500" t="s">
        <v>2401</v>
      </c>
      <c r="D500" t="s">
        <v>2401</v>
      </c>
      <c r="E500" t="s">
        <v>2401</v>
      </c>
      <c r="F500" t="s">
        <v>2401</v>
      </c>
      <c r="G500" t="s">
        <v>2401</v>
      </c>
      <c r="H500" t="s">
        <v>2401</v>
      </c>
      <c r="I500" t="s">
        <v>2401</v>
      </c>
      <c r="J500" t="s">
        <v>2401</v>
      </c>
      <c r="K500" t="s">
        <v>2406</v>
      </c>
      <c r="L500" t="s">
        <v>2401</v>
      </c>
      <c r="M500" s="14">
        <v>45390.607638888891</v>
      </c>
      <c r="N500" t="s">
        <v>2401</v>
      </c>
      <c r="O500" t="s">
        <v>4374</v>
      </c>
      <c r="P500" t="s">
        <v>2401</v>
      </c>
      <c r="Q500" t="s">
        <v>2401</v>
      </c>
      <c r="R500" t="s">
        <v>2401</v>
      </c>
      <c r="S500" t="s">
        <v>2401</v>
      </c>
    </row>
    <row r="501" spans="1:19">
      <c r="A501" t="s">
        <v>4375</v>
      </c>
      <c r="B501" t="s">
        <v>4376</v>
      </c>
      <c r="C501" t="s">
        <v>2401</v>
      </c>
      <c r="D501" t="s">
        <v>2401</v>
      </c>
      <c r="E501" t="s">
        <v>2401</v>
      </c>
      <c r="F501" t="s">
        <v>2401</v>
      </c>
      <c r="G501" t="s">
        <v>2401</v>
      </c>
      <c r="H501" t="s">
        <v>2401</v>
      </c>
      <c r="I501" t="s">
        <v>2401</v>
      </c>
      <c r="J501" t="s">
        <v>4377</v>
      </c>
      <c r="K501" t="s">
        <v>2401</v>
      </c>
      <c r="L501" t="s">
        <v>2549</v>
      </c>
      <c r="M501" s="14">
        <v>45524.819444444445</v>
      </c>
      <c r="N501" t="s">
        <v>4378</v>
      </c>
      <c r="O501" t="s">
        <v>2401</v>
      </c>
      <c r="P501" t="s">
        <v>2401</v>
      </c>
      <c r="Q501" t="s">
        <v>2401</v>
      </c>
      <c r="R501" t="s">
        <v>2401</v>
      </c>
      <c r="S501" t="s">
        <v>2401</v>
      </c>
    </row>
    <row r="502" spans="1:19">
      <c r="A502" t="s">
        <v>4379</v>
      </c>
      <c r="B502" t="s">
        <v>4380</v>
      </c>
      <c r="C502" t="s">
        <v>2401</v>
      </c>
      <c r="D502" t="s">
        <v>2401</v>
      </c>
      <c r="E502" t="s">
        <v>2401</v>
      </c>
      <c r="F502" t="s">
        <v>2401</v>
      </c>
      <c r="G502" t="s">
        <v>2401</v>
      </c>
      <c r="H502" t="s">
        <v>2401</v>
      </c>
      <c r="I502" t="s">
        <v>2401</v>
      </c>
      <c r="J502" t="s">
        <v>2401</v>
      </c>
      <c r="K502" t="s">
        <v>2401</v>
      </c>
      <c r="L502" t="s">
        <v>2401</v>
      </c>
      <c r="M502" s="14">
        <v>45422.895833333336</v>
      </c>
      <c r="N502" t="s">
        <v>2401</v>
      </c>
      <c r="O502" t="s">
        <v>2401</v>
      </c>
      <c r="P502" t="s">
        <v>2401</v>
      </c>
      <c r="Q502" t="s">
        <v>2401</v>
      </c>
      <c r="R502" t="s">
        <v>2401</v>
      </c>
      <c r="S502" t="s">
        <v>2401</v>
      </c>
    </row>
    <row r="503" spans="1:19">
      <c r="A503" t="s">
        <v>4381</v>
      </c>
      <c r="B503" t="s">
        <v>4382</v>
      </c>
      <c r="C503" t="s">
        <v>2401</v>
      </c>
      <c r="D503" t="s">
        <v>2401</v>
      </c>
      <c r="E503" t="s">
        <v>2401</v>
      </c>
      <c r="F503" t="s">
        <v>2401</v>
      </c>
      <c r="G503" t="s">
        <v>2401</v>
      </c>
      <c r="H503" t="s">
        <v>2401</v>
      </c>
      <c r="I503" t="s">
        <v>2401</v>
      </c>
      <c r="J503" t="s">
        <v>4383</v>
      </c>
      <c r="K503" t="s">
        <v>2406</v>
      </c>
      <c r="L503" t="s">
        <v>2401</v>
      </c>
      <c r="M503" s="14">
        <v>45534.874305555553</v>
      </c>
      <c r="N503" t="s">
        <v>2401</v>
      </c>
      <c r="O503" t="s">
        <v>2401</v>
      </c>
      <c r="P503" t="s">
        <v>2401</v>
      </c>
      <c r="Q503" t="s">
        <v>2401</v>
      </c>
      <c r="R503" t="s">
        <v>2401</v>
      </c>
      <c r="S503" t="s">
        <v>2401</v>
      </c>
    </row>
    <row r="504" spans="1:19">
      <c r="A504" t="s">
        <v>4384</v>
      </c>
      <c r="B504" t="s">
        <v>4385</v>
      </c>
      <c r="C504" t="s">
        <v>2401</v>
      </c>
      <c r="D504" t="s">
        <v>2401</v>
      </c>
      <c r="E504" t="s">
        <v>2401</v>
      </c>
      <c r="F504" t="s">
        <v>2401</v>
      </c>
      <c r="G504" t="s">
        <v>2401</v>
      </c>
      <c r="H504" t="s">
        <v>2401</v>
      </c>
      <c r="I504" t="s">
        <v>2401</v>
      </c>
      <c r="J504" t="s">
        <v>2401</v>
      </c>
      <c r="K504" t="s">
        <v>2448</v>
      </c>
      <c r="L504" t="s">
        <v>2538</v>
      </c>
      <c r="M504" s="14">
        <v>45390.607638888891</v>
      </c>
      <c r="N504" t="s">
        <v>2401</v>
      </c>
      <c r="O504" t="s">
        <v>4386</v>
      </c>
      <c r="P504" t="s">
        <v>2401</v>
      </c>
      <c r="Q504" t="s">
        <v>2401</v>
      </c>
      <c r="R504" t="s">
        <v>2401</v>
      </c>
      <c r="S504" t="s">
        <v>2401</v>
      </c>
    </row>
    <row r="505" spans="1:19">
      <c r="A505" t="s">
        <v>4387</v>
      </c>
      <c r="B505" t="s">
        <v>4385</v>
      </c>
      <c r="C505" t="s">
        <v>2401</v>
      </c>
      <c r="D505" t="s">
        <v>2401</v>
      </c>
      <c r="E505" t="s">
        <v>2401</v>
      </c>
      <c r="F505" t="s">
        <v>2401</v>
      </c>
      <c r="G505" t="s">
        <v>2401</v>
      </c>
      <c r="H505" t="s">
        <v>2401</v>
      </c>
      <c r="I505" t="s">
        <v>2401</v>
      </c>
      <c r="J505" t="s">
        <v>4388</v>
      </c>
      <c r="K505" t="s">
        <v>2448</v>
      </c>
      <c r="L505" t="s">
        <v>2538</v>
      </c>
      <c r="M505" s="14">
        <v>45126.734722222223</v>
      </c>
      <c r="N505" t="s">
        <v>4389</v>
      </c>
      <c r="O505" t="s">
        <v>4386</v>
      </c>
      <c r="P505" t="s">
        <v>4390</v>
      </c>
      <c r="Q505">
        <v>1</v>
      </c>
      <c r="R505" t="s">
        <v>2401</v>
      </c>
      <c r="S505" t="s">
        <v>4391</v>
      </c>
    </row>
    <row r="506" spans="1:19">
      <c r="A506" t="s">
        <v>4392</v>
      </c>
      <c r="B506" t="s">
        <v>4393</v>
      </c>
      <c r="C506" t="s">
        <v>2401</v>
      </c>
      <c r="D506" t="s">
        <v>2401</v>
      </c>
      <c r="E506" t="s">
        <v>2401</v>
      </c>
      <c r="F506" t="s">
        <v>2401</v>
      </c>
      <c r="G506" t="s">
        <v>2401</v>
      </c>
      <c r="H506" t="s">
        <v>2401</v>
      </c>
      <c r="I506" t="s">
        <v>2401</v>
      </c>
      <c r="J506" t="s">
        <v>4394</v>
      </c>
      <c r="K506" t="s">
        <v>2433</v>
      </c>
      <c r="L506" t="s">
        <v>2401</v>
      </c>
      <c r="M506" s="14">
        <v>45565.65</v>
      </c>
      <c r="N506" t="s">
        <v>4395</v>
      </c>
      <c r="O506" t="s">
        <v>4396</v>
      </c>
      <c r="P506" t="s">
        <v>2401</v>
      </c>
      <c r="Q506" t="s">
        <v>2401</v>
      </c>
      <c r="R506" t="s">
        <v>2401</v>
      </c>
      <c r="S506" t="s">
        <v>2401</v>
      </c>
    </row>
    <row r="507" spans="1:19">
      <c r="A507" t="s">
        <v>4397</v>
      </c>
      <c r="B507" t="s">
        <v>4398</v>
      </c>
      <c r="C507" t="s">
        <v>2401</v>
      </c>
      <c r="D507" t="s">
        <v>2401</v>
      </c>
      <c r="E507" t="s">
        <v>2401</v>
      </c>
      <c r="F507" t="s">
        <v>2401</v>
      </c>
      <c r="G507" t="s">
        <v>2401</v>
      </c>
      <c r="H507" t="s">
        <v>2401</v>
      </c>
      <c r="I507" t="s">
        <v>2401</v>
      </c>
      <c r="J507" t="s">
        <v>2401</v>
      </c>
      <c r="K507" t="s">
        <v>2401</v>
      </c>
      <c r="L507" t="s">
        <v>2401</v>
      </c>
      <c r="M507" s="14">
        <v>45390.607638888891</v>
      </c>
      <c r="N507" t="s">
        <v>2401</v>
      </c>
      <c r="O507" t="s">
        <v>4399</v>
      </c>
      <c r="P507" t="s">
        <v>2401</v>
      </c>
      <c r="Q507" t="s">
        <v>2401</v>
      </c>
      <c r="R507" t="s">
        <v>2401</v>
      </c>
      <c r="S507" t="s">
        <v>2401</v>
      </c>
    </row>
    <row r="508" spans="1:19">
      <c r="A508" t="s">
        <v>4400</v>
      </c>
      <c r="B508" t="s">
        <v>4401</v>
      </c>
      <c r="C508" t="s">
        <v>2401</v>
      </c>
      <c r="D508" t="s">
        <v>2401</v>
      </c>
      <c r="E508" t="s">
        <v>2401</v>
      </c>
      <c r="F508" t="s">
        <v>2401</v>
      </c>
      <c r="G508" t="s">
        <v>2401</v>
      </c>
      <c r="H508" t="s">
        <v>2401</v>
      </c>
      <c r="I508" t="s">
        <v>2401</v>
      </c>
      <c r="J508" t="s">
        <v>2401</v>
      </c>
      <c r="K508" t="s">
        <v>2401</v>
      </c>
      <c r="L508" t="s">
        <v>2401</v>
      </c>
      <c r="M508" s="14">
        <v>45390.607638888891</v>
      </c>
      <c r="N508" t="s">
        <v>2401</v>
      </c>
      <c r="O508" t="s">
        <v>2586</v>
      </c>
      <c r="P508" t="s">
        <v>2401</v>
      </c>
      <c r="Q508" t="s">
        <v>2401</v>
      </c>
      <c r="R508" t="s">
        <v>2401</v>
      </c>
      <c r="S508" t="s">
        <v>2401</v>
      </c>
    </row>
    <row r="509" spans="1:19">
      <c r="A509" t="s">
        <v>4402</v>
      </c>
      <c r="B509" t="s">
        <v>4403</v>
      </c>
      <c r="C509" t="s">
        <v>2401</v>
      </c>
      <c r="D509" t="s">
        <v>2401</v>
      </c>
      <c r="E509" t="s">
        <v>2401</v>
      </c>
      <c r="F509" t="s">
        <v>2401</v>
      </c>
      <c r="G509" t="s">
        <v>2401</v>
      </c>
      <c r="H509" t="s">
        <v>2401</v>
      </c>
      <c r="I509" t="s">
        <v>2401</v>
      </c>
      <c r="J509" t="s">
        <v>4404</v>
      </c>
      <c r="K509" t="s">
        <v>3071</v>
      </c>
      <c r="L509" t="s">
        <v>2401</v>
      </c>
      <c r="M509" s="14">
        <v>45565.702777777777</v>
      </c>
      <c r="N509" t="s">
        <v>4405</v>
      </c>
      <c r="O509" t="s">
        <v>4406</v>
      </c>
      <c r="P509" t="s">
        <v>2401</v>
      </c>
      <c r="Q509" t="s">
        <v>2401</v>
      </c>
      <c r="R509" t="s">
        <v>2401</v>
      </c>
      <c r="S509" t="s">
        <v>2401</v>
      </c>
    </row>
    <row r="510" spans="1:19">
      <c r="A510" t="s">
        <v>4407</v>
      </c>
      <c r="B510" t="s">
        <v>4408</v>
      </c>
      <c r="C510" t="s">
        <v>2401</v>
      </c>
      <c r="D510" t="s">
        <v>2401</v>
      </c>
      <c r="E510" t="s">
        <v>2401</v>
      </c>
      <c r="F510" t="s">
        <v>2401</v>
      </c>
      <c r="G510" t="s">
        <v>2401</v>
      </c>
      <c r="H510" t="s">
        <v>2401</v>
      </c>
      <c r="I510" t="s">
        <v>2401</v>
      </c>
      <c r="J510" t="s">
        <v>2401</v>
      </c>
      <c r="K510" t="s">
        <v>2401</v>
      </c>
      <c r="L510" t="s">
        <v>2401</v>
      </c>
      <c r="M510" s="14">
        <v>45399.554861111108</v>
      </c>
      <c r="N510" t="s">
        <v>2401</v>
      </c>
      <c r="O510" t="s">
        <v>2401</v>
      </c>
      <c r="P510" t="s">
        <v>2401</v>
      </c>
      <c r="Q510" t="s">
        <v>2401</v>
      </c>
      <c r="R510" t="s">
        <v>2401</v>
      </c>
      <c r="S510" t="s">
        <v>2401</v>
      </c>
    </row>
    <row r="511" spans="1:19">
      <c r="A511" t="s">
        <v>4409</v>
      </c>
      <c r="B511" t="s">
        <v>4410</v>
      </c>
      <c r="C511" t="s">
        <v>2401</v>
      </c>
      <c r="D511" t="s">
        <v>2401</v>
      </c>
      <c r="E511" t="s">
        <v>2401</v>
      </c>
      <c r="F511" t="s">
        <v>2401</v>
      </c>
      <c r="G511" t="s">
        <v>2401</v>
      </c>
      <c r="H511" t="s">
        <v>2401</v>
      </c>
      <c r="I511" t="s">
        <v>2401</v>
      </c>
      <c r="J511" t="s">
        <v>2401</v>
      </c>
      <c r="K511" t="s">
        <v>2401</v>
      </c>
      <c r="L511" t="s">
        <v>2401</v>
      </c>
      <c r="M511" s="14">
        <v>45399.554861111108</v>
      </c>
      <c r="N511" t="s">
        <v>2401</v>
      </c>
      <c r="O511" t="s">
        <v>2401</v>
      </c>
      <c r="P511" t="s">
        <v>2401</v>
      </c>
      <c r="Q511" t="s">
        <v>2401</v>
      </c>
      <c r="R511" t="s">
        <v>2401</v>
      </c>
      <c r="S511" t="s">
        <v>2401</v>
      </c>
    </row>
    <row r="512" spans="1:19">
      <c r="A512" t="s">
        <v>4411</v>
      </c>
      <c r="B512" t="s">
        <v>4412</v>
      </c>
      <c r="C512" t="s">
        <v>2401</v>
      </c>
      <c r="D512" t="s">
        <v>2401</v>
      </c>
      <c r="E512" t="s">
        <v>2401</v>
      </c>
      <c r="F512" t="s">
        <v>2401</v>
      </c>
      <c r="G512" t="s">
        <v>2401</v>
      </c>
      <c r="H512" t="s">
        <v>2401</v>
      </c>
      <c r="I512" t="s">
        <v>2401</v>
      </c>
      <c r="J512" t="s">
        <v>4413</v>
      </c>
      <c r="K512" t="s">
        <v>3271</v>
      </c>
      <c r="L512" t="s">
        <v>2401</v>
      </c>
      <c r="M512" s="14">
        <v>45399.554861111108</v>
      </c>
      <c r="N512" t="s">
        <v>4414</v>
      </c>
      <c r="O512" t="s">
        <v>2401</v>
      </c>
      <c r="P512" t="s">
        <v>2401</v>
      </c>
      <c r="Q512" t="s">
        <v>2401</v>
      </c>
      <c r="R512" t="s">
        <v>2401</v>
      </c>
      <c r="S512" t="s">
        <v>2401</v>
      </c>
    </row>
    <row r="513" spans="1:19">
      <c r="A513" t="s">
        <v>4415</v>
      </c>
      <c r="B513" t="s">
        <v>4416</v>
      </c>
      <c r="C513" t="s">
        <v>2401</v>
      </c>
      <c r="D513" t="s">
        <v>2401</v>
      </c>
      <c r="E513" t="s">
        <v>2401</v>
      </c>
      <c r="F513" t="s">
        <v>2401</v>
      </c>
      <c r="G513" t="s">
        <v>2401</v>
      </c>
      <c r="H513" t="s">
        <v>2401</v>
      </c>
      <c r="I513" t="s">
        <v>2401</v>
      </c>
      <c r="J513" t="s">
        <v>4417</v>
      </c>
      <c r="K513" t="s">
        <v>2406</v>
      </c>
      <c r="L513" t="s">
        <v>2401</v>
      </c>
      <c r="M513" s="14">
        <v>45534.874305555553</v>
      </c>
      <c r="N513" t="s">
        <v>4418</v>
      </c>
      <c r="O513" t="s">
        <v>2401</v>
      </c>
      <c r="P513" t="s">
        <v>2401</v>
      </c>
      <c r="Q513" t="s">
        <v>2401</v>
      </c>
      <c r="R513" t="s">
        <v>2401</v>
      </c>
      <c r="S513" t="s">
        <v>2401</v>
      </c>
    </row>
    <row r="514" spans="1:19">
      <c r="A514" t="s">
        <v>4419</v>
      </c>
      <c r="B514" t="s">
        <v>4420</v>
      </c>
      <c r="C514" t="s">
        <v>2401</v>
      </c>
      <c r="D514" t="s">
        <v>2401</v>
      </c>
      <c r="E514" t="s">
        <v>2401</v>
      </c>
      <c r="F514" t="s">
        <v>2401</v>
      </c>
      <c r="G514" t="s">
        <v>2401</v>
      </c>
      <c r="H514" t="s">
        <v>2401</v>
      </c>
      <c r="I514" t="s">
        <v>2401</v>
      </c>
      <c r="J514" t="s">
        <v>4421</v>
      </c>
      <c r="K514" t="s">
        <v>2401</v>
      </c>
      <c r="L514" t="s">
        <v>2401</v>
      </c>
      <c r="M514" s="14">
        <v>45399.554861111108</v>
      </c>
      <c r="N514" t="s">
        <v>4422</v>
      </c>
      <c r="O514" t="s">
        <v>2401</v>
      </c>
      <c r="P514" t="s">
        <v>2401</v>
      </c>
      <c r="Q514" t="s">
        <v>2401</v>
      </c>
      <c r="R514" t="s">
        <v>2401</v>
      </c>
      <c r="S514" t="s">
        <v>2401</v>
      </c>
    </row>
    <row r="515" spans="1:19">
      <c r="A515" t="s">
        <v>4423</v>
      </c>
      <c r="B515" t="s">
        <v>4424</v>
      </c>
      <c r="C515" t="s">
        <v>2401</v>
      </c>
      <c r="D515" t="s">
        <v>2401</v>
      </c>
      <c r="E515" t="s">
        <v>2401</v>
      </c>
      <c r="F515" t="s">
        <v>2401</v>
      </c>
      <c r="G515" t="s">
        <v>2401</v>
      </c>
      <c r="H515" t="s">
        <v>2401</v>
      </c>
      <c r="I515" t="s">
        <v>2401</v>
      </c>
      <c r="J515" t="s">
        <v>4425</v>
      </c>
      <c r="K515" t="s">
        <v>2615</v>
      </c>
      <c r="L515" t="s">
        <v>2401</v>
      </c>
      <c r="M515" s="14">
        <v>45565.570833333331</v>
      </c>
      <c r="N515" t="s">
        <v>4426</v>
      </c>
      <c r="O515" t="s">
        <v>4427</v>
      </c>
      <c r="P515" t="s">
        <v>2401</v>
      </c>
      <c r="Q515" t="s">
        <v>2401</v>
      </c>
      <c r="R515" t="s">
        <v>2401</v>
      </c>
      <c r="S515" t="s">
        <v>2401</v>
      </c>
    </row>
    <row r="516" spans="1:19">
      <c r="A516" t="s">
        <v>4428</v>
      </c>
      <c r="B516" t="s">
        <v>4429</v>
      </c>
      <c r="C516" t="s">
        <v>2401</v>
      </c>
      <c r="D516" t="s">
        <v>2401</v>
      </c>
      <c r="E516" t="s">
        <v>2401</v>
      </c>
      <c r="F516" t="s">
        <v>2401</v>
      </c>
      <c r="G516" t="s">
        <v>2401</v>
      </c>
      <c r="H516" t="s">
        <v>2401</v>
      </c>
      <c r="I516" t="s">
        <v>61</v>
      </c>
      <c r="J516" t="s">
        <v>4430</v>
      </c>
      <c r="K516" t="s">
        <v>2499</v>
      </c>
      <c r="L516" t="s">
        <v>2401</v>
      </c>
      <c r="M516" s="14">
        <v>45399.554861111108</v>
      </c>
      <c r="N516" t="s">
        <v>4431</v>
      </c>
      <c r="O516" t="s">
        <v>4432</v>
      </c>
      <c r="P516" t="s">
        <v>2401</v>
      </c>
      <c r="Q516" t="s">
        <v>2401</v>
      </c>
      <c r="R516" t="s">
        <v>2401</v>
      </c>
      <c r="S516" t="s">
        <v>2401</v>
      </c>
    </row>
    <row r="517" spans="1:19">
      <c r="A517" t="s">
        <v>4433</v>
      </c>
      <c r="B517" t="s">
        <v>4429</v>
      </c>
      <c r="C517" t="s">
        <v>2401</v>
      </c>
      <c r="D517" t="s">
        <v>2401</v>
      </c>
      <c r="E517" t="s">
        <v>2401</v>
      </c>
      <c r="F517" t="s">
        <v>2401</v>
      </c>
      <c r="G517" t="s">
        <v>2401</v>
      </c>
      <c r="H517" t="s">
        <v>2401</v>
      </c>
      <c r="I517" t="s">
        <v>2401</v>
      </c>
      <c r="J517" t="s">
        <v>4434</v>
      </c>
      <c r="K517" t="s">
        <v>2877</v>
      </c>
      <c r="L517" t="s">
        <v>2401</v>
      </c>
      <c r="M517" s="14">
        <v>45390.607638888891</v>
      </c>
      <c r="N517" t="s">
        <v>4435</v>
      </c>
      <c r="O517" t="s">
        <v>4436</v>
      </c>
      <c r="P517" t="s">
        <v>2401</v>
      </c>
      <c r="Q517" t="s">
        <v>2401</v>
      </c>
      <c r="R517" t="s">
        <v>2401</v>
      </c>
      <c r="S517" t="s">
        <v>2401</v>
      </c>
    </row>
    <row r="518" spans="1:19">
      <c r="A518" t="s">
        <v>4437</v>
      </c>
      <c r="B518" t="s">
        <v>4438</v>
      </c>
      <c r="C518" t="s">
        <v>2401</v>
      </c>
      <c r="D518" t="s">
        <v>2401</v>
      </c>
      <c r="E518" t="s">
        <v>2401</v>
      </c>
      <c r="F518" t="s">
        <v>2401</v>
      </c>
      <c r="G518" t="s">
        <v>2401</v>
      </c>
      <c r="H518" t="s">
        <v>2401</v>
      </c>
      <c r="I518" t="s">
        <v>2401</v>
      </c>
      <c r="J518" t="s">
        <v>4439</v>
      </c>
      <c r="K518" t="s">
        <v>2755</v>
      </c>
      <c r="L518" t="s">
        <v>2401</v>
      </c>
      <c r="M518" s="14">
        <v>45390.607638888891</v>
      </c>
      <c r="N518" t="s">
        <v>4440</v>
      </c>
      <c r="O518" t="s">
        <v>4441</v>
      </c>
      <c r="P518" t="s">
        <v>2401</v>
      </c>
      <c r="Q518" t="s">
        <v>2401</v>
      </c>
      <c r="R518" t="s">
        <v>2401</v>
      </c>
      <c r="S518" t="s">
        <v>2401</v>
      </c>
    </row>
    <row r="519" spans="1:19">
      <c r="A519" t="s">
        <v>4442</v>
      </c>
      <c r="B519" t="s">
        <v>4443</v>
      </c>
      <c r="C519" t="s">
        <v>2401</v>
      </c>
      <c r="D519" t="s">
        <v>2401</v>
      </c>
      <c r="E519" t="s">
        <v>2401</v>
      </c>
      <c r="F519" t="s">
        <v>2401</v>
      </c>
      <c r="G519" t="s">
        <v>2401</v>
      </c>
      <c r="H519" t="s">
        <v>2401</v>
      </c>
      <c r="I519" t="s">
        <v>2401</v>
      </c>
      <c r="J519" t="s">
        <v>2401</v>
      </c>
      <c r="K519" t="s">
        <v>2548</v>
      </c>
      <c r="L519" t="s">
        <v>2401</v>
      </c>
      <c r="M519" s="14">
        <v>45390.607638888891</v>
      </c>
      <c r="N519" t="s">
        <v>2401</v>
      </c>
      <c r="O519" t="s">
        <v>4444</v>
      </c>
      <c r="P519" t="s">
        <v>4445</v>
      </c>
      <c r="Q519">
        <v>1</v>
      </c>
      <c r="R519" t="s">
        <v>2401</v>
      </c>
      <c r="S519" t="s">
        <v>4446</v>
      </c>
    </row>
    <row r="520" spans="1:19">
      <c r="A520" t="s">
        <v>4447</v>
      </c>
      <c r="B520" t="s">
        <v>4443</v>
      </c>
      <c r="C520" t="s">
        <v>2401</v>
      </c>
      <c r="D520" t="s">
        <v>2401</v>
      </c>
      <c r="E520" t="s">
        <v>2401</v>
      </c>
      <c r="F520" t="s">
        <v>2401</v>
      </c>
      <c r="G520" t="s">
        <v>2401</v>
      </c>
      <c r="H520" t="s">
        <v>2401</v>
      </c>
      <c r="I520" t="s">
        <v>2401</v>
      </c>
      <c r="J520" t="s">
        <v>4448</v>
      </c>
      <c r="K520" t="s">
        <v>2548</v>
      </c>
      <c r="L520" t="s">
        <v>2401</v>
      </c>
      <c r="M520" s="14">
        <v>45090.453472222223</v>
      </c>
      <c r="N520" t="s">
        <v>4449</v>
      </c>
      <c r="O520" t="s">
        <v>4444</v>
      </c>
      <c r="P520" t="s">
        <v>2401</v>
      </c>
      <c r="Q520" t="s">
        <v>2401</v>
      </c>
      <c r="R520" t="s">
        <v>2401</v>
      </c>
      <c r="S520" t="s">
        <v>2401</v>
      </c>
    </row>
    <row r="521" spans="1:19">
      <c r="A521" t="s">
        <v>4450</v>
      </c>
      <c r="B521" t="s">
        <v>4451</v>
      </c>
      <c r="C521" t="s">
        <v>2401</v>
      </c>
      <c r="D521" t="s">
        <v>2401</v>
      </c>
      <c r="E521" t="s">
        <v>2401</v>
      </c>
      <c r="F521" t="s">
        <v>2401</v>
      </c>
      <c r="G521" t="s">
        <v>2401</v>
      </c>
      <c r="H521" t="s">
        <v>2401</v>
      </c>
      <c r="I521" t="s">
        <v>2401</v>
      </c>
      <c r="J521" t="s">
        <v>2401</v>
      </c>
      <c r="K521" t="s">
        <v>2401</v>
      </c>
      <c r="L521" t="s">
        <v>2401</v>
      </c>
      <c r="M521" s="14">
        <v>45399.554861111108</v>
      </c>
      <c r="N521" t="s">
        <v>2401</v>
      </c>
      <c r="O521" t="s">
        <v>2401</v>
      </c>
      <c r="P521" t="s">
        <v>2401</v>
      </c>
      <c r="Q521" t="s">
        <v>2401</v>
      </c>
      <c r="R521" t="s">
        <v>2401</v>
      </c>
      <c r="S521" t="s">
        <v>2401</v>
      </c>
    </row>
    <row r="522" spans="1:19">
      <c r="A522" t="s">
        <v>4452</v>
      </c>
      <c r="B522" t="s">
        <v>4453</v>
      </c>
      <c r="C522" t="s">
        <v>2401</v>
      </c>
      <c r="D522" t="s">
        <v>2401</v>
      </c>
      <c r="E522" t="s">
        <v>2401</v>
      </c>
      <c r="F522" t="s">
        <v>2401</v>
      </c>
      <c r="G522" t="s">
        <v>2401</v>
      </c>
      <c r="H522" t="s">
        <v>2401</v>
      </c>
      <c r="I522" t="s">
        <v>2401</v>
      </c>
      <c r="J522" t="s">
        <v>4454</v>
      </c>
      <c r="K522" t="s">
        <v>2784</v>
      </c>
      <c r="L522" t="s">
        <v>2401</v>
      </c>
      <c r="M522" s="14">
        <v>45503.666666666664</v>
      </c>
      <c r="N522" t="s">
        <v>4455</v>
      </c>
      <c r="O522" t="s">
        <v>2401</v>
      </c>
      <c r="P522" t="s">
        <v>2401</v>
      </c>
      <c r="Q522" t="s">
        <v>2401</v>
      </c>
      <c r="R522" t="s">
        <v>2401</v>
      </c>
      <c r="S522" t="s">
        <v>2401</v>
      </c>
    </row>
    <row r="523" spans="1:19">
      <c r="A523" t="s">
        <v>4456</v>
      </c>
      <c r="B523" t="s">
        <v>4457</v>
      </c>
      <c r="C523" t="s">
        <v>2401</v>
      </c>
      <c r="D523" t="s">
        <v>2401</v>
      </c>
      <c r="E523" t="s">
        <v>2401</v>
      </c>
      <c r="F523" t="s">
        <v>2401</v>
      </c>
      <c r="G523" t="s">
        <v>2401</v>
      </c>
      <c r="H523" t="s">
        <v>2401</v>
      </c>
      <c r="I523" t="s">
        <v>2401</v>
      </c>
      <c r="J523" t="s">
        <v>2401</v>
      </c>
      <c r="K523" t="s">
        <v>4458</v>
      </c>
      <c r="L523" t="s">
        <v>2401</v>
      </c>
      <c r="M523" s="14">
        <v>45390.607638888891</v>
      </c>
      <c r="N523" t="s">
        <v>2401</v>
      </c>
      <c r="O523" t="s">
        <v>4459</v>
      </c>
      <c r="P523" t="s">
        <v>2401</v>
      </c>
      <c r="Q523" t="s">
        <v>2401</v>
      </c>
      <c r="R523" t="s">
        <v>2401</v>
      </c>
      <c r="S523" t="s">
        <v>2401</v>
      </c>
    </row>
    <row r="524" spans="1:19">
      <c r="A524" t="s">
        <v>4460</v>
      </c>
      <c r="B524" t="s">
        <v>4461</v>
      </c>
      <c r="C524" t="s">
        <v>2401</v>
      </c>
      <c r="D524" t="s">
        <v>2401</v>
      </c>
      <c r="E524" t="s">
        <v>2401</v>
      </c>
      <c r="F524" t="s">
        <v>2401</v>
      </c>
      <c r="G524" t="s">
        <v>2401</v>
      </c>
      <c r="H524" t="s">
        <v>2401</v>
      </c>
      <c r="I524" t="s">
        <v>61</v>
      </c>
      <c r="J524" t="s">
        <v>4462</v>
      </c>
      <c r="K524" t="s">
        <v>2401</v>
      </c>
      <c r="L524" t="s">
        <v>2401</v>
      </c>
      <c r="M524" s="14">
        <v>45399.554861111108</v>
      </c>
      <c r="N524" t="s">
        <v>4463</v>
      </c>
      <c r="O524" t="s">
        <v>4464</v>
      </c>
      <c r="P524" t="s">
        <v>2401</v>
      </c>
      <c r="Q524" t="s">
        <v>2401</v>
      </c>
      <c r="R524" t="s">
        <v>2401</v>
      </c>
      <c r="S524" t="s">
        <v>2401</v>
      </c>
    </row>
    <row r="525" spans="1:19">
      <c r="A525" t="s">
        <v>4465</v>
      </c>
      <c r="B525" t="s">
        <v>4461</v>
      </c>
      <c r="C525" t="s">
        <v>2401</v>
      </c>
      <c r="D525" t="s">
        <v>2401</v>
      </c>
      <c r="E525" t="s">
        <v>2401</v>
      </c>
      <c r="F525" t="s">
        <v>2401</v>
      </c>
      <c r="G525" t="s">
        <v>2401</v>
      </c>
      <c r="H525" t="s">
        <v>2401</v>
      </c>
      <c r="I525" t="s">
        <v>2401</v>
      </c>
      <c r="J525" t="s">
        <v>2401</v>
      </c>
      <c r="K525" t="s">
        <v>2401</v>
      </c>
      <c r="L525" t="s">
        <v>2401</v>
      </c>
      <c r="M525" s="14">
        <v>45390.607638888891</v>
      </c>
      <c r="N525" t="s">
        <v>2401</v>
      </c>
      <c r="O525" t="s">
        <v>2586</v>
      </c>
      <c r="P525" t="s">
        <v>2401</v>
      </c>
      <c r="Q525" t="s">
        <v>2401</v>
      </c>
      <c r="R525" t="s">
        <v>2401</v>
      </c>
      <c r="S525" t="s">
        <v>2401</v>
      </c>
    </row>
    <row r="526" spans="1:19">
      <c r="A526" t="s">
        <v>4466</v>
      </c>
      <c r="B526" t="s">
        <v>4467</v>
      </c>
      <c r="C526" t="s">
        <v>2401</v>
      </c>
      <c r="D526" t="s">
        <v>2401</v>
      </c>
      <c r="E526" t="s">
        <v>2401</v>
      </c>
      <c r="F526" t="s">
        <v>2401</v>
      </c>
      <c r="G526" t="s">
        <v>2401</v>
      </c>
      <c r="H526" t="s">
        <v>2401</v>
      </c>
      <c r="I526" t="s">
        <v>2401</v>
      </c>
      <c r="J526" t="s">
        <v>4468</v>
      </c>
      <c r="K526" t="s">
        <v>3071</v>
      </c>
      <c r="L526" t="s">
        <v>2401</v>
      </c>
      <c r="M526" s="14">
        <v>45565.65347222222</v>
      </c>
      <c r="N526" t="s">
        <v>4469</v>
      </c>
      <c r="O526" t="s">
        <v>4470</v>
      </c>
      <c r="P526" t="s">
        <v>2401</v>
      </c>
      <c r="Q526" t="s">
        <v>2401</v>
      </c>
      <c r="R526" t="s">
        <v>2401</v>
      </c>
      <c r="S526" t="s">
        <v>2401</v>
      </c>
    </row>
    <row r="527" spans="1:19">
      <c r="A527" t="s">
        <v>4471</v>
      </c>
      <c r="B527" t="s">
        <v>4472</v>
      </c>
      <c r="C527" t="s">
        <v>2401</v>
      </c>
      <c r="D527" t="s">
        <v>2401</v>
      </c>
      <c r="E527" t="s">
        <v>2401</v>
      </c>
      <c r="F527" t="s">
        <v>2401</v>
      </c>
      <c r="G527" t="s">
        <v>2401</v>
      </c>
      <c r="H527" t="s">
        <v>2401</v>
      </c>
      <c r="I527" t="s">
        <v>2401</v>
      </c>
      <c r="J527" t="s">
        <v>2401</v>
      </c>
      <c r="K527" t="s">
        <v>2401</v>
      </c>
      <c r="L527" t="s">
        <v>2401</v>
      </c>
      <c r="M527" s="14">
        <v>45390.607638888891</v>
      </c>
      <c r="N527" t="s">
        <v>2401</v>
      </c>
      <c r="O527" t="s">
        <v>4473</v>
      </c>
      <c r="P527" t="s">
        <v>2401</v>
      </c>
      <c r="Q527" t="s">
        <v>2401</v>
      </c>
      <c r="R527" t="s">
        <v>2401</v>
      </c>
      <c r="S527" t="s">
        <v>2401</v>
      </c>
    </row>
    <row r="528" spans="1:19">
      <c r="A528" t="s">
        <v>4474</v>
      </c>
      <c r="B528" t="s">
        <v>4475</v>
      </c>
      <c r="C528" t="s">
        <v>2401</v>
      </c>
      <c r="D528" t="s">
        <v>2401</v>
      </c>
      <c r="E528" t="s">
        <v>2401</v>
      </c>
      <c r="F528" t="s">
        <v>2401</v>
      </c>
      <c r="G528" t="s">
        <v>2401</v>
      </c>
      <c r="H528" t="s">
        <v>2401</v>
      </c>
      <c r="I528" t="s">
        <v>2401</v>
      </c>
      <c r="J528" t="s">
        <v>4476</v>
      </c>
      <c r="K528" t="s">
        <v>2433</v>
      </c>
      <c r="L528" t="s">
        <v>2401</v>
      </c>
      <c r="M528" s="14">
        <v>45565.65</v>
      </c>
      <c r="N528" t="s">
        <v>4477</v>
      </c>
      <c r="O528" t="s">
        <v>4478</v>
      </c>
      <c r="P528" t="s">
        <v>2401</v>
      </c>
      <c r="Q528" t="s">
        <v>2401</v>
      </c>
      <c r="R528" t="s">
        <v>2401</v>
      </c>
      <c r="S528" t="s">
        <v>2401</v>
      </c>
    </row>
    <row r="529" spans="1:19">
      <c r="A529" t="s">
        <v>4479</v>
      </c>
      <c r="B529" t="s">
        <v>4475</v>
      </c>
      <c r="C529" t="s">
        <v>2401</v>
      </c>
      <c r="D529" t="s">
        <v>2401</v>
      </c>
      <c r="E529" t="s">
        <v>2401</v>
      </c>
      <c r="F529" t="s">
        <v>2401</v>
      </c>
      <c r="G529" t="s">
        <v>2401</v>
      </c>
      <c r="H529" t="s">
        <v>2401</v>
      </c>
      <c r="I529" t="s">
        <v>2401</v>
      </c>
      <c r="J529" t="s">
        <v>2401</v>
      </c>
      <c r="K529" t="s">
        <v>2401</v>
      </c>
      <c r="L529" t="s">
        <v>2401</v>
      </c>
      <c r="M529" s="14">
        <v>45390.607638888891</v>
      </c>
      <c r="N529" t="s">
        <v>2401</v>
      </c>
      <c r="O529" t="s">
        <v>2586</v>
      </c>
      <c r="P529" t="s">
        <v>2401</v>
      </c>
      <c r="Q529" t="s">
        <v>2401</v>
      </c>
      <c r="R529" t="s">
        <v>2401</v>
      </c>
      <c r="S529" t="s">
        <v>2401</v>
      </c>
    </row>
    <row r="530" spans="1:19">
      <c r="A530" t="s">
        <v>4480</v>
      </c>
      <c r="B530" t="s">
        <v>1523</v>
      </c>
      <c r="C530" t="s">
        <v>2401</v>
      </c>
      <c r="D530" t="s">
        <v>2401</v>
      </c>
      <c r="E530" t="s">
        <v>2401</v>
      </c>
      <c r="F530" t="s">
        <v>2401</v>
      </c>
      <c r="G530" t="s">
        <v>2401</v>
      </c>
      <c r="H530" t="s">
        <v>2401</v>
      </c>
      <c r="I530" t="s">
        <v>2401</v>
      </c>
      <c r="J530" t="s">
        <v>4481</v>
      </c>
      <c r="K530" t="s">
        <v>2406</v>
      </c>
      <c r="L530" t="s">
        <v>2401</v>
      </c>
      <c r="M530" s="14">
        <v>45397.48541666667</v>
      </c>
      <c r="N530" t="s">
        <v>4482</v>
      </c>
      <c r="O530" t="s">
        <v>4483</v>
      </c>
      <c r="P530" t="s">
        <v>2401</v>
      </c>
      <c r="Q530" t="s">
        <v>2401</v>
      </c>
      <c r="R530" t="s">
        <v>2401</v>
      </c>
      <c r="S530" t="s">
        <v>2401</v>
      </c>
    </row>
    <row r="531" spans="1:19">
      <c r="A531" t="s">
        <v>4484</v>
      </c>
      <c r="B531" t="s">
        <v>4485</v>
      </c>
      <c r="C531" t="s">
        <v>2401</v>
      </c>
      <c r="D531" t="s">
        <v>2401</v>
      </c>
      <c r="E531" t="s">
        <v>2401</v>
      </c>
      <c r="F531" t="s">
        <v>2401</v>
      </c>
      <c r="G531" t="s">
        <v>2401</v>
      </c>
      <c r="H531" t="s">
        <v>2401</v>
      </c>
      <c r="I531" t="s">
        <v>2401</v>
      </c>
      <c r="J531" t="s">
        <v>2401</v>
      </c>
      <c r="K531" t="s">
        <v>2499</v>
      </c>
      <c r="L531" t="s">
        <v>2401</v>
      </c>
      <c r="M531" s="14">
        <v>45390.607638888891</v>
      </c>
      <c r="N531" t="s">
        <v>2401</v>
      </c>
      <c r="O531" t="s">
        <v>4486</v>
      </c>
      <c r="P531" t="s">
        <v>2401</v>
      </c>
      <c r="Q531" t="s">
        <v>2401</v>
      </c>
      <c r="R531" t="s">
        <v>2401</v>
      </c>
      <c r="S531" t="s">
        <v>2401</v>
      </c>
    </row>
    <row r="532" spans="1:19">
      <c r="A532" t="s">
        <v>4487</v>
      </c>
      <c r="B532" t="s">
        <v>4488</v>
      </c>
      <c r="C532" t="s">
        <v>2401</v>
      </c>
      <c r="D532" t="s">
        <v>2401</v>
      </c>
      <c r="E532" t="s">
        <v>2401</v>
      </c>
      <c r="F532" t="s">
        <v>2401</v>
      </c>
      <c r="G532" t="s">
        <v>2401</v>
      </c>
      <c r="H532" t="s">
        <v>2401</v>
      </c>
      <c r="I532" t="s">
        <v>61</v>
      </c>
      <c r="J532" t="s">
        <v>4489</v>
      </c>
      <c r="K532" t="s">
        <v>2499</v>
      </c>
      <c r="L532" t="s">
        <v>2401</v>
      </c>
      <c r="M532" s="14">
        <v>45399.554861111108</v>
      </c>
      <c r="N532" t="s">
        <v>4490</v>
      </c>
      <c r="O532" t="s">
        <v>4491</v>
      </c>
      <c r="P532" t="s">
        <v>2401</v>
      </c>
      <c r="Q532" t="s">
        <v>2401</v>
      </c>
      <c r="R532" t="s">
        <v>2401</v>
      </c>
      <c r="S532" t="s">
        <v>2401</v>
      </c>
    </row>
    <row r="533" spans="1:19">
      <c r="A533" t="s">
        <v>4492</v>
      </c>
      <c r="B533" t="s">
        <v>4493</v>
      </c>
      <c r="C533" t="s">
        <v>2401</v>
      </c>
      <c r="D533" t="s">
        <v>2401</v>
      </c>
      <c r="E533" t="s">
        <v>2401</v>
      </c>
      <c r="F533" t="s">
        <v>2401</v>
      </c>
      <c r="G533" t="s">
        <v>2401</v>
      </c>
      <c r="H533" t="s">
        <v>2401</v>
      </c>
      <c r="I533" t="s">
        <v>2401</v>
      </c>
      <c r="J533" t="s">
        <v>4494</v>
      </c>
      <c r="K533" t="s">
        <v>2406</v>
      </c>
      <c r="L533" t="s">
        <v>2401</v>
      </c>
      <c r="M533" s="14">
        <v>45554.474305555559</v>
      </c>
      <c r="N533" t="s">
        <v>4495</v>
      </c>
      <c r="O533" t="s">
        <v>4496</v>
      </c>
      <c r="P533" t="s">
        <v>2401</v>
      </c>
      <c r="Q533" t="s">
        <v>2401</v>
      </c>
      <c r="R533" t="s">
        <v>2401</v>
      </c>
      <c r="S533" t="s">
        <v>2401</v>
      </c>
    </row>
    <row r="534" spans="1:19">
      <c r="A534" t="s">
        <v>4497</v>
      </c>
      <c r="B534" t="s">
        <v>4498</v>
      </c>
      <c r="C534" t="s">
        <v>2401</v>
      </c>
      <c r="D534" t="s">
        <v>2401</v>
      </c>
      <c r="E534" t="s">
        <v>2401</v>
      </c>
      <c r="F534" t="s">
        <v>2401</v>
      </c>
      <c r="G534" t="s">
        <v>2401</v>
      </c>
      <c r="H534" t="s">
        <v>2401</v>
      </c>
      <c r="I534" t="s">
        <v>2401</v>
      </c>
      <c r="J534" t="s">
        <v>4499</v>
      </c>
      <c r="K534" t="s">
        <v>2433</v>
      </c>
      <c r="L534" t="s">
        <v>2401</v>
      </c>
      <c r="M534" s="14">
        <v>45399.554861111108</v>
      </c>
      <c r="N534" t="s">
        <v>4500</v>
      </c>
      <c r="O534" t="s">
        <v>4501</v>
      </c>
      <c r="P534" t="s">
        <v>2401</v>
      </c>
      <c r="Q534" t="s">
        <v>2401</v>
      </c>
      <c r="R534" t="s">
        <v>2401</v>
      </c>
      <c r="S534" t="s">
        <v>2401</v>
      </c>
    </row>
    <row r="535" spans="1:19">
      <c r="A535" t="s">
        <v>4502</v>
      </c>
      <c r="B535" t="s">
        <v>4503</v>
      </c>
      <c r="C535" t="s">
        <v>2401</v>
      </c>
      <c r="D535" t="s">
        <v>2401</v>
      </c>
      <c r="E535" t="s">
        <v>2401</v>
      </c>
      <c r="F535" t="s">
        <v>2401</v>
      </c>
      <c r="G535" t="s">
        <v>2401</v>
      </c>
      <c r="H535" t="s">
        <v>2401</v>
      </c>
      <c r="I535" t="s">
        <v>2401</v>
      </c>
      <c r="J535" t="s">
        <v>4504</v>
      </c>
      <c r="K535" t="s">
        <v>2499</v>
      </c>
      <c r="L535" t="s">
        <v>2401</v>
      </c>
      <c r="M535" s="14">
        <v>45565.566666666666</v>
      </c>
      <c r="N535" t="s">
        <v>4505</v>
      </c>
      <c r="O535" t="s">
        <v>4506</v>
      </c>
      <c r="P535" t="s">
        <v>2401</v>
      </c>
      <c r="Q535" t="s">
        <v>2401</v>
      </c>
      <c r="R535" t="s">
        <v>2401</v>
      </c>
      <c r="S535" t="s">
        <v>2401</v>
      </c>
    </row>
    <row r="536" spans="1:19">
      <c r="A536" t="s">
        <v>4507</v>
      </c>
      <c r="B536" t="s">
        <v>4508</v>
      </c>
      <c r="C536" t="s">
        <v>2564</v>
      </c>
      <c r="D536" t="s">
        <v>4509</v>
      </c>
      <c r="E536" t="s">
        <v>4510</v>
      </c>
      <c r="F536" t="s">
        <v>4511</v>
      </c>
      <c r="G536" t="s">
        <v>4512</v>
      </c>
      <c r="H536" t="s">
        <v>4513</v>
      </c>
      <c r="I536" t="s">
        <v>2401</v>
      </c>
      <c r="J536" t="s">
        <v>4514</v>
      </c>
      <c r="K536" t="s">
        <v>2406</v>
      </c>
      <c r="L536" t="s">
        <v>2401</v>
      </c>
      <c r="M536" s="14">
        <v>45534.874305555553</v>
      </c>
      <c r="N536" t="s">
        <v>4515</v>
      </c>
      <c r="O536" t="s">
        <v>2401</v>
      </c>
      <c r="P536" t="s">
        <v>2401</v>
      </c>
      <c r="Q536" t="s">
        <v>2401</v>
      </c>
      <c r="R536" t="s">
        <v>2401</v>
      </c>
      <c r="S536" t="s">
        <v>2401</v>
      </c>
    </row>
    <row r="537" spans="1:19">
      <c r="A537" t="s">
        <v>4516</v>
      </c>
      <c r="B537" t="s">
        <v>399</v>
      </c>
      <c r="C537" t="s">
        <v>2401</v>
      </c>
      <c r="D537" t="s">
        <v>2401</v>
      </c>
      <c r="E537" t="s">
        <v>2401</v>
      </c>
      <c r="F537" t="s">
        <v>2401</v>
      </c>
      <c r="G537" t="s">
        <v>2401</v>
      </c>
      <c r="H537" t="s">
        <v>2401</v>
      </c>
      <c r="I537" t="s">
        <v>2401</v>
      </c>
      <c r="J537" t="s">
        <v>4517</v>
      </c>
      <c r="K537" t="s">
        <v>2406</v>
      </c>
      <c r="L537" t="s">
        <v>2401</v>
      </c>
      <c r="M537" s="14">
        <v>45390.607638888891</v>
      </c>
      <c r="N537" t="s">
        <v>4518</v>
      </c>
      <c r="O537" t="s">
        <v>4519</v>
      </c>
      <c r="P537" t="s">
        <v>2401</v>
      </c>
      <c r="Q537" t="s">
        <v>2401</v>
      </c>
      <c r="R537" t="s">
        <v>2401</v>
      </c>
      <c r="S537" t="s">
        <v>2401</v>
      </c>
    </row>
    <row r="538" spans="1:19">
      <c r="A538" t="s">
        <v>4520</v>
      </c>
      <c r="B538" t="s">
        <v>4521</v>
      </c>
      <c r="C538" t="s">
        <v>2401</v>
      </c>
      <c r="D538" t="s">
        <v>2401</v>
      </c>
      <c r="E538" t="s">
        <v>2401</v>
      </c>
      <c r="F538" t="s">
        <v>2401</v>
      </c>
      <c r="G538" t="s">
        <v>2401</v>
      </c>
      <c r="H538" t="s">
        <v>2401</v>
      </c>
      <c r="I538" t="s">
        <v>2401</v>
      </c>
      <c r="J538" t="s">
        <v>4522</v>
      </c>
      <c r="K538" t="s">
        <v>2615</v>
      </c>
      <c r="L538" t="s">
        <v>2401</v>
      </c>
      <c r="M538" s="14">
        <v>45565.69027777778</v>
      </c>
      <c r="N538" t="s">
        <v>4523</v>
      </c>
      <c r="O538" t="s">
        <v>4524</v>
      </c>
      <c r="P538" t="s">
        <v>2401</v>
      </c>
      <c r="Q538" t="s">
        <v>2401</v>
      </c>
      <c r="R538" t="s">
        <v>2401</v>
      </c>
      <c r="S538" t="s">
        <v>2401</v>
      </c>
    </row>
    <row r="539" spans="1:19">
      <c r="A539" t="s">
        <v>4525</v>
      </c>
      <c r="B539" t="s">
        <v>4521</v>
      </c>
      <c r="C539" t="s">
        <v>2401</v>
      </c>
      <c r="D539" t="s">
        <v>2401</v>
      </c>
      <c r="E539" t="s">
        <v>2401</v>
      </c>
      <c r="F539" t="s">
        <v>2401</v>
      </c>
      <c r="G539" t="s">
        <v>2401</v>
      </c>
      <c r="H539" t="s">
        <v>2401</v>
      </c>
      <c r="I539" t="s">
        <v>2401</v>
      </c>
      <c r="J539" t="s">
        <v>4526</v>
      </c>
      <c r="K539" t="s">
        <v>2615</v>
      </c>
      <c r="L539" t="s">
        <v>2401</v>
      </c>
      <c r="M539" s="14">
        <v>45565.69027777778</v>
      </c>
      <c r="N539" t="s">
        <v>4527</v>
      </c>
      <c r="O539" t="s">
        <v>2401</v>
      </c>
      <c r="P539" t="s">
        <v>2401</v>
      </c>
      <c r="Q539" t="s">
        <v>2401</v>
      </c>
      <c r="R539" t="s">
        <v>2401</v>
      </c>
      <c r="S539" t="s">
        <v>2401</v>
      </c>
    </row>
    <row r="540" spans="1:19">
      <c r="A540" t="s">
        <v>4528</v>
      </c>
      <c r="B540" t="s">
        <v>4529</v>
      </c>
      <c r="C540" t="s">
        <v>2401</v>
      </c>
      <c r="D540" t="s">
        <v>2401</v>
      </c>
      <c r="E540" t="s">
        <v>2401</v>
      </c>
      <c r="F540" t="s">
        <v>2401</v>
      </c>
      <c r="G540" t="s">
        <v>2401</v>
      </c>
      <c r="H540" t="s">
        <v>2401</v>
      </c>
      <c r="I540" t="s">
        <v>2401</v>
      </c>
      <c r="J540" t="s">
        <v>4530</v>
      </c>
      <c r="K540" t="s">
        <v>3071</v>
      </c>
      <c r="L540" t="s">
        <v>2401</v>
      </c>
      <c r="M540" s="14">
        <v>45565.672222222223</v>
      </c>
      <c r="N540" t="s">
        <v>4531</v>
      </c>
      <c r="O540" t="s">
        <v>4532</v>
      </c>
      <c r="P540" t="s">
        <v>2401</v>
      </c>
      <c r="Q540" t="s">
        <v>2401</v>
      </c>
      <c r="R540" t="s">
        <v>2401</v>
      </c>
      <c r="S540" t="s">
        <v>2401</v>
      </c>
    </row>
    <row r="541" spans="1:19">
      <c r="A541" t="s">
        <v>4533</v>
      </c>
      <c r="B541" t="s">
        <v>4534</v>
      </c>
      <c r="C541" t="s">
        <v>2401</v>
      </c>
      <c r="D541" t="s">
        <v>2401</v>
      </c>
      <c r="E541" t="s">
        <v>2401</v>
      </c>
      <c r="F541" t="s">
        <v>2401</v>
      </c>
      <c r="G541" t="s">
        <v>2401</v>
      </c>
      <c r="H541" t="s">
        <v>2401</v>
      </c>
      <c r="I541" t="s">
        <v>2401</v>
      </c>
      <c r="J541" t="s">
        <v>4535</v>
      </c>
      <c r="K541" t="s">
        <v>2438</v>
      </c>
      <c r="L541" t="s">
        <v>2401</v>
      </c>
      <c r="M541" s="14">
        <v>45534.874305555553</v>
      </c>
      <c r="N541" t="s">
        <v>4536</v>
      </c>
      <c r="O541" t="s">
        <v>4537</v>
      </c>
      <c r="P541" t="s">
        <v>2401</v>
      </c>
      <c r="Q541" t="s">
        <v>2401</v>
      </c>
      <c r="R541" t="s">
        <v>2401</v>
      </c>
      <c r="S541" t="s">
        <v>2401</v>
      </c>
    </row>
    <row r="542" spans="1:19">
      <c r="A542" t="s">
        <v>4538</v>
      </c>
      <c r="B542" t="s">
        <v>4539</v>
      </c>
      <c r="C542" t="s">
        <v>2401</v>
      </c>
      <c r="D542" t="s">
        <v>2401</v>
      </c>
      <c r="E542" t="s">
        <v>2401</v>
      </c>
      <c r="F542" t="s">
        <v>2401</v>
      </c>
      <c r="G542" t="s">
        <v>2401</v>
      </c>
      <c r="H542" t="s">
        <v>2401</v>
      </c>
      <c r="I542" t="s">
        <v>2401</v>
      </c>
      <c r="J542" t="s">
        <v>4540</v>
      </c>
      <c r="K542" t="s">
        <v>2438</v>
      </c>
      <c r="L542" t="s">
        <v>2401</v>
      </c>
      <c r="M542" s="14">
        <v>45565.17291666667</v>
      </c>
      <c r="N542" t="s">
        <v>4541</v>
      </c>
      <c r="O542" t="s">
        <v>2401</v>
      </c>
      <c r="P542" t="s">
        <v>2401</v>
      </c>
      <c r="Q542" t="s">
        <v>2401</v>
      </c>
      <c r="R542" t="s">
        <v>2401</v>
      </c>
      <c r="S542" t="s">
        <v>2401</v>
      </c>
    </row>
    <row r="543" spans="1:19">
      <c r="A543" t="s">
        <v>4542</v>
      </c>
      <c r="B543" t="s">
        <v>4543</v>
      </c>
      <c r="C543" t="s">
        <v>2401</v>
      </c>
      <c r="D543" t="s">
        <v>2401</v>
      </c>
      <c r="E543" t="s">
        <v>2401</v>
      </c>
      <c r="F543" t="s">
        <v>2401</v>
      </c>
      <c r="G543" t="s">
        <v>2401</v>
      </c>
      <c r="H543" t="s">
        <v>2401</v>
      </c>
      <c r="I543" t="s">
        <v>2401</v>
      </c>
      <c r="J543" t="s">
        <v>4544</v>
      </c>
      <c r="K543" t="s">
        <v>2411</v>
      </c>
      <c r="L543" t="s">
        <v>2401</v>
      </c>
      <c r="M543" s="14">
        <v>45391.345833333333</v>
      </c>
      <c r="N543" t="s">
        <v>4545</v>
      </c>
      <c r="O543" t="s">
        <v>4546</v>
      </c>
      <c r="P543" t="s">
        <v>2401</v>
      </c>
      <c r="Q543" t="s">
        <v>2401</v>
      </c>
      <c r="R543" t="s">
        <v>2401</v>
      </c>
      <c r="S543" t="s">
        <v>2401</v>
      </c>
    </row>
    <row r="544" spans="1:19">
      <c r="A544" t="s">
        <v>4547</v>
      </c>
      <c r="B544" t="s">
        <v>4548</v>
      </c>
      <c r="C544" t="s">
        <v>2401</v>
      </c>
      <c r="D544" t="s">
        <v>2401</v>
      </c>
      <c r="E544" t="s">
        <v>2401</v>
      </c>
      <c r="F544" t="s">
        <v>2401</v>
      </c>
      <c r="G544" t="s">
        <v>2401</v>
      </c>
      <c r="H544" t="s">
        <v>2401</v>
      </c>
      <c r="I544" t="s">
        <v>2401</v>
      </c>
      <c r="J544" t="s">
        <v>4549</v>
      </c>
      <c r="K544" t="s">
        <v>3071</v>
      </c>
      <c r="L544" t="s">
        <v>2401</v>
      </c>
      <c r="M544" s="14">
        <v>45565.683333333334</v>
      </c>
      <c r="N544" t="s">
        <v>4550</v>
      </c>
      <c r="O544" t="s">
        <v>2401</v>
      </c>
      <c r="P544" t="s">
        <v>2401</v>
      </c>
      <c r="Q544" t="s">
        <v>2401</v>
      </c>
      <c r="R544" t="s">
        <v>2401</v>
      </c>
      <c r="S544" t="s">
        <v>2401</v>
      </c>
    </row>
    <row r="545" spans="1:19">
      <c r="A545" t="s">
        <v>4551</v>
      </c>
      <c r="B545" t="s">
        <v>4552</v>
      </c>
      <c r="C545" t="s">
        <v>2401</v>
      </c>
      <c r="D545" t="s">
        <v>2401</v>
      </c>
      <c r="E545" t="s">
        <v>2401</v>
      </c>
      <c r="F545" t="s">
        <v>2401</v>
      </c>
      <c r="G545" t="s">
        <v>2401</v>
      </c>
      <c r="H545" t="s">
        <v>2401</v>
      </c>
      <c r="I545" t="s">
        <v>2401</v>
      </c>
      <c r="J545" t="s">
        <v>4553</v>
      </c>
      <c r="K545" t="s">
        <v>2438</v>
      </c>
      <c r="L545" t="s">
        <v>2401</v>
      </c>
      <c r="M545" s="14">
        <v>45534.874305555553</v>
      </c>
      <c r="N545" t="s">
        <v>4554</v>
      </c>
      <c r="O545" t="s">
        <v>4555</v>
      </c>
      <c r="P545" t="s">
        <v>2401</v>
      </c>
      <c r="Q545" t="s">
        <v>2401</v>
      </c>
      <c r="R545" t="s">
        <v>2401</v>
      </c>
      <c r="S545" t="s">
        <v>2401</v>
      </c>
    </row>
    <row r="546" spans="1:19">
      <c r="A546" t="s">
        <v>4556</v>
      </c>
      <c r="B546" t="s">
        <v>4557</v>
      </c>
      <c r="C546" t="s">
        <v>2401</v>
      </c>
      <c r="D546" t="s">
        <v>2401</v>
      </c>
      <c r="E546" t="s">
        <v>2401</v>
      </c>
      <c r="F546" t="s">
        <v>2401</v>
      </c>
      <c r="G546" t="s">
        <v>2401</v>
      </c>
      <c r="H546" t="s">
        <v>2401</v>
      </c>
      <c r="I546" t="s">
        <v>2401</v>
      </c>
      <c r="J546" t="s">
        <v>4558</v>
      </c>
      <c r="K546" t="s">
        <v>2406</v>
      </c>
      <c r="L546" t="s">
        <v>2401</v>
      </c>
      <c r="M546" s="14">
        <v>45554.463194444441</v>
      </c>
      <c r="N546" t="s">
        <v>4559</v>
      </c>
      <c r="O546" t="s">
        <v>2401</v>
      </c>
      <c r="P546" t="s">
        <v>2401</v>
      </c>
      <c r="Q546" t="s">
        <v>2401</v>
      </c>
      <c r="R546" t="s">
        <v>2401</v>
      </c>
      <c r="S546" t="s">
        <v>2401</v>
      </c>
    </row>
    <row r="547" spans="1:19">
      <c r="A547" t="s">
        <v>4560</v>
      </c>
      <c r="B547" t="s">
        <v>4561</v>
      </c>
      <c r="C547" t="s">
        <v>2401</v>
      </c>
      <c r="D547" t="s">
        <v>2401</v>
      </c>
      <c r="E547" t="s">
        <v>2401</v>
      </c>
      <c r="F547" t="s">
        <v>2401</v>
      </c>
      <c r="G547" t="s">
        <v>2401</v>
      </c>
      <c r="H547" t="s">
        <v>2401</v>
      </c>
      <c r="I547" t="s">
        <v>2401</v>
      </c>
      <c r="J547" t="s">
        <v>4561</v>
      </c>
      <c r="K547" t="s">
        <v>2401</v>
      </c>
      <c r="L547" t="s">
        <v>2401</v>
      </c>
      <c r="M547" s="14">
        <v>45565.671527777777</v>
      </c>
      <c r="N547" t="s">
        <v>2401</v>
      </c>
      <c r="O547" t="s">
        <v>2401</v>
      </c>
      <c r="P547" t="s">
        <v>2401</v>
      </c>
      <c r="Q547" t="s">
        <v>2401</v>
      </c>
      <c r="R547" t="s">
        <v>2401</v>
      </c>
      <c r="S547" t="s">
        <v>2401</v>
      </c>
    </row>
    <row r="548" spans="1:19">
      <c r="A548" t="s">
        <v>4562</v>
      </c>
      <c r="B548" t="s">
        <v>4563</v>
      </c>
      <c r="C548" t="s">
        <v>2401</v>
      </c>
      <c r="D548" t="s">
        <v>2401</v>
      </c>
      <c r="E548" t="s">
        <v>2401</v>
      </c>
      <c r="F548" t="s">
        <v>2401</v>
      </c>
      <c r="G548" t="s">
        <v>2401</v>
      </c>
      <c r="H548" t="s">
        <v>2401</v>
      </c>
      <c r="I548" t="s">
        <v>2401</v>
      </c>
      <c r="J548" t="s">
        <v>4564</v>
      </c>
      <c r="K548" t="s">
        <v>2427</v>
      </c>
      <c r="L548" t="s">
        <v>2549</v>
      </c>
      <c r="M548" s="14">
        <v>45518.836111111108</v>
      </c>
      <c r="N548" t="s">
        <v>4565</v>
      </c>
      <c r="O548" t="s">
        <v>2401</v>
      </c>
      <c r="P548" t="s">
        <v>2401</v>
      </c>
      <c r="Q548" t="s">
        <v>2401</v>
      </c>
      <c r="R548" t="s">
        <v>2401</v>
      </c>
      <c r="S548" t="s">
        <v>2401</v>
      </c>
    </row>
    <row r="549" spans="1:19">
      <c r="A549" t="s">
        <v>4566</v>
      </c>
      <c r="B549" t="s">
        <v>4567</v>
      </c>
      <c r="C549" t="s">
        <v>2401</v>
      </c>
      <c r="D549" t="s">
        <v>2401</v>
      </c>
      <c r="E549" t="s">
        <v>2401</v>
      </c>
      <c r="F549" t="s">
        <v>2401</v>
      </c>
      <c r="G549" t="s">
        <v>2401</v>
      </c>
      <c r="H549" t="s">
        <v>2401</v>
      </c>
      <c r="I549" t="s">
        <v>61</v>
      </c>
      <c r="J549" t="s">
        <v>4568</v>
      </c>
      <c r="K549" t="s">
        <v>2499</v>
      </c>
      <c r="L549" t="s">
        <v>2401</v>
      </c>
      <c r="M549" s="14">
        <v>45399.554861111108</v>
      </c>
      <c r="N549" t="s">
        <v>4569</v>
      </c>
      <c r="O549" t="s">
        <v>4570</v>
      </c>
      <c r="P549" t="s">
        <v>2401</v>
      </c>
      <c r="Q549" t="s">
        <v>2401</v>
      </c>
      <c r="R549" t="s">
        <v>2401</v>
      </c>
      <c r="S549" t="s">
        <v>2401</v>
      </c>
    </row>
    <row r="550" spans="1:19">
      <c r="A550" t="s">
        <v>4571</v>
      </c>
      <c r="B550" t="s">
        <v>4567</v>
      </c>
      <c r="C550" t="s">
        <v>2401</v>
      </c>
      <c r="D550" t="s">
        <v>2401</v>
      </c>
      <c r="E550" t="s">
        <v>2401</v>
      </c>
      <c r="F550" t="s">
        <v>2401</v>
      </c>
      <c r="G550" t="s">
        <v>2401</v>
      </c>
      <c r="H550" t="s">
        <v>2401</v>
      </c>
      <c r="I550" t="s">
        <v>2401</v>
      </c>
      <c r="J550" t="s">
        <v>2401</v>
      </c>
      <c r="K550" t="s">
        <v>2499</v>
      </c>
      <c r="L550" t="s">
        <v>2401</v>
      </c>
      <c r="M550" s="14">
        <v>45390.607638888891</v>
      </c>
      <c r="N550" t="s">
        <v>2401</v>
      </c>
      <c r="O550" t="s">
        <v>4572</v>
      </c>
      <c r="P550" t="s">
        <v>2401</v>
      </c>
      <c r="Q550" t="s">
        <v>2401</v>
      </c>
      <c r="R550" t="s">
        <v>2401</v>
      </c>
      <c r="S550" t="s">
        <v>2401</v>
      </c>
    </row>
    <row r="551" spans="1:19">
      <c r="A551" t="s">
        <v>4573</v>
      </c>
      <c r="B551" t="s">
        <v>4574</v>
      </c>
      <c r="C551" t="s">
        <v>2401</v>
      </c>
      <c r="D551" t="s">
        <v>2401</v>
      </c>
      <c r="E551" t="s">
        <v>2401</v>
      </c>
      <c r="F551" t="s">
        <v>2401</v>
      </c>
      <c r="G551" t="s">
        <v>2401</v>
      </c>
      <c r="H551" t="s">
        <v>2401</v>
      </c>
      <c r="I551" t="s">
        <v>2401</v>
      </c>
      <c r="J551" t="s">
        <v>4575</v>
      </c>
      <c r="K551" t="s">
        <v>2421</v>
      </c>
      <c r="L551" t="s">
        <v>2538</v>
      </c>
      <c r="M551" s="14">
        <v>45436.666666666664</v>
      </c>
      <c r="N551" t="s">
        <v>4576</v>
      </c>
      <c r="O551" t="s">
        <v>4577</v>
      </c>
      <c r="P551" t="s">
        <v>4578</v>
      </c>
      <c r="Q551">
        <v>1</v>
      </c>
      <c r="R551" t="s">
        <v>2401</v>
      </c>
      <c r="S551" t="s">
        <v>4579</v>
      </c>
    </row>
    <row r="552" spans="1:19">
      <c r="A552" t="s">
        <v>4580</v>
      </c>
      <c r="B552" t="s">
        <v>4581</v>
      </c>
      <c r="C552" t="s">
        <v>2401</v>
      </c>
      <c r="D552" t="s">
        <v>2401</v>
      </c>
      <c r="E552" t="s">
        <v>2401</v>
      </c>
      <c r="F552" t="s">
        <v>2401</v>
      </c>
      <c r="G552" t="s">
        <v>2401</v>
      </c>
      <c r="H552" t="s">
        <v>2401</v>
      </c>
      <c r="I552" t="s">
        <v>2401</v>
      </c>
      <c r="J552" t="s">
        <v>4582</v>
      </c>
      <c r="K552" t="s">
        <v>2433</v>
      </c>
      <c r="L552" t="s">
        <v>2401</v>
      </c>
      <c r="M552" s="14">
        <v>45565.675000000003</v>
      </c>
      <c r="N552" t="s">
        <v>4583</v>
      </c>
      <c r="O552" t="s">
        <v>4584</v>
      </c>
      <c r="P552" t="s">
        <v>2401</v>
      </c>
      <c r="Q552" t="s">
        <v>2401</v>
      </c>
      <c r="R552" t="s">
        <v>2401</v>
      </c>
      <c r="S552" t="s">
        <v>2401</v>
      </c>
    </row>
    <row r="553" spans="1:19">
      <c r="A553" t="s">
        <v>4585</v>
      </c>
      <c r="B553" t="s">
        <v>4586</v>
      </c>
      <c r="C553" t="s">
        <v>2401</v>
      </c>
      <c r="D553" t="s">
        <v>2401</v>
      </c>
      <c r="E553" t="s">
        <v>2401</v>
      </c>
      <c r="F553" t="s">
        <v>2401</v>
      </c>
      <c r="G553" t="s">
        <v>2401</v>
      </c>
      <c r="H553" t="s">
        <v>2401</v>
      </c>
      <c r="I553" t="s">
        <v>2401</v>
      </c>
      <c r="J553" t="s">
        <v>2401</v>
      </c>
      <c r="K553" t="s">
        <v>2401</v>
      </c>
      <c r="L553" t="s">
        <v>2401</v>
      </c>
      <c r="M553" s="14">
        <v>45390.607638888891</v>
      </c>
      <c r="N553" t="s">
        <v>2401</v>
      </c>
      <c r="O553" t="s">
        <v>2586</v>
      </c>
      <c r="P553" t="s">
        <v>2401</v>
      </c>
      <c r="Q553" t="s">
        <v>2401</v>
      </c>
      <c r="R553" t="s">
        <v>2401</v>
      </c>
      <c r="S553" t="s">
        <v>2401</v>
      </c>
    </row>
    <row r="554" spans="1:19">
      <c r="A554" t="s">
        <v>4587</v>
      </c>
      <c r="B554" t="s">
        <v>4588</v>
      </c>
      <c r="C554" t="s">
        <v>2401</v>
      </c>
      <c r="D554" t="s">
        <v>2401</v>
      </c>
      <c r="E554" t="s">
        <v>2401</v>
      </c>
      <c r="F554" t="s">
        <v>2401</v>
      </c>
      <c r="G554" t="s">
        <v>2401</v>
      </c>
      <c r="H554" t="s">
        <v>2401</v>
      </c>
      <c r="I554" t="s">
        <v>2401</v>
      </c>
      <c r="J554" t="s">
        <v>2401</v>
      </c>
      <c r="K554" t="s">
        <v>2548</v>
      </c>
      <c r="L554" t="s">
        <v>2401</v>
      </c>
      <c r="M554" s="14">
        <v>45390.607638888891</v>
      </c>
      <c r="N554" t="s">
        <v>2401</v>
      </c>
      <c r="O554" t="s">
        <v>2821</v>
      </c>
      <c r="P554" t="s">
        <v>2401</v>
      </c>
      <c r="Q554" t="s">
        <v>2401</v>
      </c>
      <c r="R554" t="s">
        <v>2401</v>
      </c>
      <c r="S554" t="s">
        <v>2401</v>
      </c>
    </row>
    <row r="555" spans="1:19">
      <c r="A555" t="s">
        <v>4589</v>
      </c>
      <c r="B555" t="s">
        <v>4588</v>
      </c>
      <c r="C555" t="s">
        <v>2401</v>
      </c>
      <c r="D555" t="s">
        <v>2401</v>
      </c>
      <c r="E555" t="s">
        <v>2401</v>
      </c>
      <c r="F555" t="s">
        <v>2401</v>
      </c>
      <c r="G555" t="s">
        <v>2401</v>
      </c>
      <c r="H555" t="s">
        <v>2401</v>
      </c>
      <c r="I555" t="s">
        <v>2401</v>
      </c>
      <c r="J555" t="s">
        <v>3994</v>
      </c>
      <c r="K555" t="s">
        <v>2548</v>
      </c>
      <c r="L555" t="s">
        <v>2401</v>
      </c>
      <c r="M555" s="14">
        <v>45383.615972222222</v>
      </c>
      <c r="N555" t="s">
        <v>2839</v>
      </c>
      <c r="O555" t="s">
        <v>2821</v>
      </c>
      <c r="P555" t="s">
        <v>4590</v>
      </c>
      <c r="Q555">
        <v>1</v>
      </c>
      <c r="R555" t="s">
        <v>2401</v>
      </c>
      <c r="S555" t="s">
        <v>4591</v>
      </c>
    </row>
    <row r="556" spans="1:19">
      <c r="A556" t="s">
        <v>4592</v>
      </c>
      <c r="B556" t="s">
        <v>4593</v>
      </c>
      <c r="C556" t="s">
        <v>2401</v>
      </c>
      <c r="D556" t="s">
        <v>2401</v>
      </c>
      <c r="E556" t="s">
        <v>2401</v>
      </c>
      <c r="F556" t="s">
        <v>2401</v>
      </c>
      <c r="G556" t="s">
        <v>2401</v>
      </c>
      <c r="H556" t="s">
        <v>2401</v>
      </c>
      <c r="I556" t="s">
        <v>2401</v>
      </c>
      <c r="J556" t="s">
        <v>4594</v>
      </c>
      <c r="K556" t="s">
        <v>2406</v>
      </c>
      <c r="L556" t="s">
        <v>2401</v>
      </c>
      <c r="M556" s="14">
        <v>45534.874305555553</v>
      </c>
      <c r="N556" t="s">
        <v>4595</v>
      </c>
      <c r="O556" t="s">
        <v>2401</v>
      </c>
      <c r="P556" t="s">
        <v>2401</v>
      </c>
      <c r="Q556" t="s">
        <v>2401</v>
      </c>
      <c r="R556" t="s">
        <v>2401</v>
      </c>
      <c r="S556" t="s">
        <v>2401</v>
      </c>
    </row>
    <row r="557" spans="1:19">
      <c r="A557" t="s">
        <v>4596</v>
      </c>
      <c r="B557" t="s">
        <v>4597</v>
      </c>
      <c r="C557" t="s">
        <v>2401</v>
      </c>
      <c r="D557" t="s">
        <v>2401</v>
      </c>
      <c r="E557" t="s">
        <v>2401</v>
      </c>
      <c r="F557" t="s">
        <v>2401</v>
      </c>
      <c r="G557" t="s">
        <v>2401</v>
      </c>
      <c r="H557" t="s">
        <v>2401</v>
      </c>
      <c r="I557" t="s">
        <v>61</v>
      </c>
      <c r="J557" t="s">
        <v>4598</v>
      </c>
      <c r="K557" t="s">
        <v>2406</v>
      </c>
      <c r="L557" t="s">
        <v>2401</v>
      </c>
      <c r="M557" s="14">
        <v>45399.554861111108</v>
      </c>
      <c r="N557" t="s">
        <v>4599</v>
      </c>
      <c r="O557" t="s">
        <v>4600</v>
      </c>
      <c r="P557" t="s">
        <v>2401</v>
      </c>
      <c r="Q557" t="s">
        <v>2401</v>
      </c>
      <c r="R557" t="s">
        <v>2401</v>
      </c>
      <c r="S557" t="s">
        <v>2401</v>
      </c>
    </row>
    <row r="558" spans="1:19">
      <c r="A558" t="s">
        <v>4601</v>
      </c>
      <c r="B558" t="s">
        <v>4597</v>
      </c>
      <c r="C558" t="s">
        <v>2401</v>
      </c>
      <c r="D558" t="s">
        <v>2401</v>
      </c>
      <c r="E558" t="s">
        <v>2401</v>
      </c>
      <c r="F558" t="s">
        <v>2401</v>
      </c>
      <c r="G558" t="s">
        <v>2401</v>
      </c>
      <c r="H558" t="s">
        <v>2401</v>
      </c>
      <c r="I558" t="s">
        <v>2401</v>
      </c>
      <c r="J558" t="s">
        <v>2401</v>
      </c>
      <c r="K558" t="s">
        <v>2401</v>
      </c>
      <c r="L558" t="s">
        <v>2401</v>
      </c>
      <c r="M558" s="14">
        <v>45390.607638888891</v>
      </c>
      <c r="N558" t="s">
        <v>2401</v>
      </c>
      <c r="O558" t="s">
        <v>2401</v>
      </c>
      <c r="P558" t="s">
        <v>2401</v>
      </c>
      <c r="Q558" t="s">
        <v>2401</v>
      </c>
      <c r="R558" t="s">
        <v>2401</v>
      </c>
      <c r="S558" t="s">
        <v>2401</v>
      </c>
    </row>
    <row r="559" spans="1:19">
      <c r="A559" t="s">
        <v>4602</v>
      </c>
      <c r="B559" t="s">
        <v>4603</v>
      </c>
      <c r="C559" t="s">
        <v>2401</v>
      </c>
      <c r="D559" t="s">
        <v>2401</v>
      </c>
      <c r="E559" t="s">
        <v>2401</v>
      </c>
      <c r="F559" t="s">
        <v>2401</v>
      </c>
      <c r="G559" t="s">
        <v>2401</v>
      </c>
      <c r="H559" t="s">
        <v>2401</v>
      </c>
      <c r="I559" t="s">
        <v>2401</v>
      </c>
      <c r="J559" t="s">
        <v>2401</v>
      </c>
      <c r="K559" t="s">
        <v>2401</v>
      </c>
      <c r="L559" t="s">
        <v>2401</v>
      </c>
      <c r="M559" s="14">
        <v>45517.415972222225</v>
      </c>
      <c r="N559" t="s">
        <v>2401</v>
      </c>
      <c r="O559" t="s">
        <v>2401</v>
      </c>
      <c r="P559" t="s">
        <v>2401</v>
      </c>
      <c r="Q559" t="s">
        <v>2401</v>
      </c>
      <c r="R559" t="s">
        <v>2401</v>
      </c>
      <c r="S559" t="s">
        <v>2401</v>
      </c>
    </row>
    <row r="560" spans="1:19">
      <c r="A560" t="s">
        <v>4604</v>
      </c>
      <c r="B560" t="s">
        <v>4603</v>
      </c>
      <c r="C560" t="s">
        <v>2401</v>
      </c>
      <c r="D560" t="s">
        <v>2401</v>
      </c>
      <c r="E560" t="s">
        <v>2401</v>
      </c>
      <c r="F560" t="s">
        <v>2401</v>
      </c>
      <c r="G560" t="s">
        <v>2401</v>
      </c>
      <c r="H560" t="s">
        <v>2401</v>
      </c>
      <c r="I560" t="s">
        <v>2401</v>
      </c>
      <c r="J560" t="s">
        <v>2401</v>
      </c>
      <c r="K560" t="s">
        <v>2401</v>
      </c>
      <c r="L560" t="s">
        <v>2401</v>
      </c>
      <c r="M560" s="14">
        <v>45517.415972222225</v>
      </c>
      <c r="N560" t="s">
        <v>2401</v>
      </c>
      <c r="O560" t="s">
        <v>2401</v>
      </c>
      <c r="P560" t="s">
        <v>2401</v>
      </c>
      <c r="Q560" t="s">
        <v>2401</v>
      </c>
      <c r="R560" t="s">
        <v>2401</v>
      </c>
      <c r="S560" t="s">
        <v>2401</v>
      </c>
    </row>
    <row r="561" spans="1:19">
      <c r="A561" t="s">
        <v>4605</v>
      </c>
      <c r="B561" t="s">
        <v>4606</v>
      </c>
      <c r="C561" t="s">
        <v>2401</v>
      </c>
      <c r="D561" t="s">
        <v>2401</v>
      </c>
      <c r="E561" t="s">
        <v>2401</v>
      </c>
      <c r="F561" t="s">
        <v>2401</v>
      </c>
      <c r="G561" t="s">
        <v>2401</v>
      </c>
      <c r="H561" t="s">
        <v>2401</v>
      </c>
      <c r="I561" t="s">
        <v>2401</v>
      </c>
      <c r="J561" t="s">
        <v>2401</v>
      </c>
      <c r="K561" t="s">
        <v>2401</v>
      </c>
      <c r="L561" t="s">
        <v>2401</v>
      </c>
      <c r="M561" s="14">
        <v>45399.554861111108</v>
      </c>
      <c r="N561" t="s">
        <v>2401</v>
      </c>
      <c r="O561" t="s">
        <v>2401</v>
      </c>
      <c r="P561" t="s">
        <v>2401</v>
      </c>
      <c r="Q561" t="s">
        <v>2401</v>
      </c>
      <c r="R561" t="s">
        <v>2401</v>
      </c>
      <c r="S561" t="s">
        <v>2401</v>
      </c>
    </row>
    <row r="562" spans="1:19">
      <c r="A562" t="s">
        <v>4607</v>
      </c>
      <c r="B562" t="s">
        <v>4608</v>
      </c>
      <c r="C562" t="s">
        <v>2401</v>
      </c>
      <c r="D562" t="s">
        <v>2401</v>
      </c>
      <c r="E562" t="s">
        <v>2401</v>
      </c>
      <c r="F562" t="s">
        <v>2401</v>
      </c>
      <c r="G562" t="s">
        <v>2401</v>
      </c>
      <c r="H562" t="s">
        <v>2401</v>
      </c>
      <c r="I562" t="s">
        <v>2401</v>
      </c>
      <c r="J562" t="s">
        <v>2401</v>
      </c>
      <c r="K562" t="s">
        <v>2401</v>
      </c>
      <c r="L562" t="s">
        <v>2401</v>
      </c>
      <c r="M562" s="14">
        <v>45517.415972222225</v>
      </c>
      <c r="N562" t="s">
        <v>2401</v>
      </c>
      <c r="O562" t="s">
        <v>2401</v>
      </c>
      <c r="P562" t="s">
        <v>2401</v>
      </c>
      <c r="Q562" t="s">
        <v>2401</v>
      </c>
      <c r="R562" t="s">
        <v>2401</v>
      </c>
      <c r="S562" t="s">
        <v>2401</v>
      </c>
    </row>
    <row r="563" spans="1:19">
      <c r="A563" t="s">
        <v>4609</v>
      </c>
      <c r="B563" t="s">
        <v>4610</v>
      </c>
      <c r="C563" t="s">
        <v>2401</v>
      </c>
      <c r="D563" t="s">
        <v>2401</v>
      </c>
      <c r="E563" t="s">
        <v>2401</v>
      </c>
      <c r="F563" t="s">
        <v>2401</v>
      </c>
      <c r="G563" t="s">
        <v>2401</v>
      </c>
      <c r="H563" t="s">
        <v>2401</v>
      </c>
      <c r="I563" t="s">
        <v>2401</v>
      </c>
      <c r="J563" t="s">
        <v>4611</v>
      </c>
      <c r="K563" t="s">
        <v>4612</v>
      </c>
      <c r="L563" t="s">
        <v>2401</v>
      </c>
      <c r="M563" s="14">
        <v>45399.554861111108</v>
      </c>
      <c r="N563" t="s">
        <v>4613</v>
      </c>
      <c r="O563" t="s">
        <v>4614</v>
      </c>
      <c r="P563" t="s">
        <v>2401</v>
      </c>
      <c r="Q563" t="s">
        <v>2401</v>
      </c>
      <c r="R563" t="s">
        <v>2401</v>
      </c>
      <c r="S563" t="s">
        <v>2401</v>
      </c>
    </row>
    <row r="564" spans="1:19">
      <c r="A564" t="s">
        <v>4615</v>
      </c>
      <c r="B564" t="s">
        <v>4616</v>
      </c>
      <c r="C564" t="s">
        <v>2401</v>
      </c>
      <c r="D564" t="s">
        <v>2401</v>
      </c>
      <c r="E564" t="s">
        <v>2401</v>
      </c>
      <c r="F564" t="s">
        <v>2401</v>
      </c>
      <c r="G564" t="s">
        <v>2401</v>
      </c>
      <c r="H564" t="s">
        <v>2401</v>
      </c>
      <c r="I564" t="s">
        <v>61</v>
      </c>
      <c r="J564" t="s">
        <v>2401</v>
      </c>
      <c r="K564" t="s">
        <v>2401</v>
      </c>
      <c r="L564" t="s">
        <v>2401</v>
      </c>
      <c r="M564" s="14">
        <v>45399.554861111108</v>
      </c>
      <c r="N564" t="s">
        <v>2401</v>
      </c>
      <c r="O564" t="s">
        <v>2401</v>
      </c>
      <c r="P564" t="s">
        <v>2401</v>
      </c>
      <c r="Q564" t="s">
        <v>2401</v>
      </c>
      <c r="R564" t="s">
        <v>2401</v>
      </c>
      <c r="S564" t="s">
        <v>2401</v>
      </c>
    </row>
    <row r="565" spans="1:19">
      <c r="A565" t="s">
        <v>4617</v>
      </c>
      <c r="B565" t="s">
        <v>4616</v>
      </c>
      <c r="C565" t="s">
        <v>2401</v>
      </c>
      <c r="D565" t="s">
        <v>2401</v>
      </c>
      <c r="E565" t="s">
        <v>2401</v>
      </c>
      <c r="F565" t="s">
        <v>2401</v>
      </c>
      <c r="G565" t="s">
        <v>2401</v>
      </c>
      <c r="H565" t="s">
        <v>2401</v>
      </c>
      <c r="I565" t="s">
        <v>2401</v>
      </c>
      <c r="J565" t="s">
        <v>2401</v>
      </c>
      <c r="K565" t="s">
        <v>4618</v>
      </c>
      <c r="L565" t="s">
        <v>2401</v>
      </c>
      <c r="M565" s="14">
        <v>45390.607638888891</v>
      </c>
      <c r="N565" t="s">
        <v>2401</v>
      </c>
      <c r="O565" t="s">
        <v>2401</v>
      </c>
      <c r="P565" t="s">
        <v>2401</v>
      </c>
      <c r="Q565" t="s">
        <v>2401</v>
      </c>
      <c r="R565" t="s">
        <v>2401</v>
      </c>
      <c r="S565" t="s">
        <v>2401</v>
      </c>
    </row>
    <row r="566" spans="1:19">
      <c r="A566" t="s">
        <v>4619</v>
      </c>
      <c r="B566" t="s">
        <v>4620</v>
      </c>
      <c r="C566" t="s">
        <v>2401</v>
      </c>
      <c r="D566" t="s">
        <v>2401</v>
      </c>
      <c r="E566" t="s">
        <v>2401</v>
      </c>
      <c r="F566" t="s">
        <v>2401</v>
      </c>
      <c r="G566" t="s">
        <v>2401</v>
      </c>
      <c r="H566" t="s">
        <v>2401</v>
      </c>
      <c r="I566" t="s">
        <v>2401</v>
      </c>
      <c r="J566" t="s">
        <v>2401</v>
      </c>
      <c r="K566" t="s">
        <v>2401</v>
      </c>
      <c r="L566" t="s">
        <v>2401</v>
      </c>
      <c r="M566" s="14">
        <v>45422.895833333336</v>
      </c>
      <c r="N566" t="s">
        <v>2401</v>
      </c>
      <c r="O566" t="s">
        <v>2401</v>
      </c>
      <c r="P566" t="s">
        <v>2401</v>
      </c>
      <c r="Q566" t="s">
        <v>2401</v>
      </c>
      <c r="R566" t="s">
        <v>2401</v>
      </c>
      <c r="S566" t="s">
        <v>2401</v>
      </c>
    </row>
    <row r="567" spans="1:19">
      <c r="A567" t="s">
        <v>4621</v>
      </c>
      <c r="B567" t="s">
        <v>4622</v>
      </c>
      <c r="C567" t="s">
        <v>2401</v>
      </c>
      <c r="D567" t="s">
        <v>2401</v>
      </c>
      <c r="E567" t="s">
        <v>2401</v>
      </c>
      <c r="F567" t="s">
        <v>2401</v>
      </c>
      <c r="G567" t="s">
        <v>2401</v>
      </c>
      <c r="H567" t="s">
        <v>2401</v>
      </c>
      <c r="I567" t="s">
        <v>2401</v>
      </c>
      <c r="J567" t="s">
        <v>3205</v>
      </c>
      <c r="K567" t="s">
        <v>2720</v>
      </c>
      <c r="L567" t="s">
        <v>2401</v>
      </c>
      <c r="M567" s="14">
        <v>45426.59097222222</v>
      </c>
      <c r="N567" t="s">
        <v>3206</v>
      </c>
      <c r="O567" t="s">
        <v>3207</v>
      </c>
      <c r="P567" t="s">
        <v>4623</v>
      </c>
      <c r="Q567">
        <v>3</v>
      </c>
      <c r="R567" t="s">
        <v>2401</v>
      </c>
      <c r="S567" t="s">
        <v>4624</v>
      </c>
    </row>
    <row r="568" spans="1:19">
      <c r="A568" t="s">
        <v>4625</v>
      </c>
      <c r="B568" t="s">
        <v>4626</v>
      </c>
      <c r="C568" t="s">
        <v>2401</v>
      </c>
      <c r="D568" t="s">
        <v>2401</v>
      </c>
      <c r="E568" t="s">
        <v>2401</v>
      </c>
      <c r="F568" t="s">
        <v>2401</v>
      </c>
      <c r="G568" t="s">
        <v>2401</v>
      </c>
      <c r="H568" t="s">
        <v>2401</v>
      </c>
      <c r="I568" t="s">
        <v>2401</v>
      </c>
      <c r="J568" t="s">
        <v>4627</v>
      </c>
      <c r="K568" t="s">
        <v>2401</v>
      </c>
      <c r="L568" t="s">
        <v>2401</v>
      </c>
      <c r="M568" s="14">
        <v>45534.874305555553</v>
      </c>
      <c r="N568" t="s">
        <v>4628</v>
      </c>
      <c r="O568" t="s">
        <v>4629</v>
      </c>
      <c r="P568" t="s">
        <v>2401</v>
      </c>
      <c r="Q568" t="s">
        <v>2401</v>
      </c>
      <c r="R568" t="s">
        <v>2401</v>
      </c>
      <c r="S568" t="s">
        <v>2401</v>
      </c>
    </row>
    <row r="569" spans="1:19">
      <c r="A569" t="s">
        <v>4630</v>
      </c>
      <c r="B569" t="s">
        <v>4631</v>
      </c>
      <c r="C569" t="s">
        <v>2401</v>
      </c>
      <c r="D569" t="s">
        <v>2401</v>
      </c>
      <c r="E569" t="s">
        <v>2401</v>
      </c>
      <c r="F569" t="s">
        <v>2401</v>
      </c>
      <c r="G569" t="s">
        <v>2401</v>
      </c>
      <c r="H569" t="s">
        <v>2401</v>
      </c>
      <c r="I569" t="s">
        <v>2401</v>
      </c>
      <c r="J569" t="s">
        <v>4632</v>
      </c>
      <c r="K569" t="s">
        <v>3060</v>
      </c>
      <c r="L569" t="s">
        <v>2401</v>
      </c>
      <c r="M569" s="14">
        <v>45565.675000000003</v>
      </c>
      <c r="N569" t="s">
        <v>4633</v>
      </c>
      <c r="O569" t="s">
        <v>4634</v>
      </c>
      <c r="P569" t="s">
        <v>2401</v>
      </c>
      <c r="Q569" t="s">
        <v>2401</v>
      </c>
      <c r="R569" t="s">
        <v>2401</v>
      </c>
      <c r="S569" t="s">
        <v>2401</v>
      </c>
    </row>
    <row r="570" spans="1:19">
      <c r="A570" t="s">
        <v>4635</v>
      </c>
      <c r="B570" t="s">
        <v>4636</v>
      </c>
      <c r="C570" t="s">
        <v>2401</v>
      </c>
      <c r="D570" t="s">
        <v>2401</v>
      </c>
      <c r="E570" t="s">
        <v>2401</v>
      </c>
      <c r="F570" t="s">
        <v>2401</v>
      </c>
      <c r="G570" t="s">
        <v>2401</v>
      </c>
      <c r="H570" t="s">
        <v>2401</v>
      </c>
      <c r="I570" t="s">
        <v>61</v>
      </c>
      <c r="J570" t="s">
        <v>4637</v>
      </c>
      <c r="K570" t="s">
        <v>2406</v>
      </c>
      <c r="L570" t="s">
        <v>2401</v>
      </c>
      <c r="M570" s="14">
        <v>45390.607638888891</v>
      </c>
      <c r="N570" t="s">
        <v>4638</v>
      </c>
      <c r="O570" t="s">
        <v>2586</v>
      </c>
      <c r="P570" t="s">
        <v>2401</v>
      </c>
      <c r="Q570" t="s">
        <v>2401</v>
      </c>
      <c r="R570" t="s">
        <v>2401</v>
      </c>
      <c r="S570" t="s">
        <v>2401</v>
      </c>
    </row>
    <row r="571" spans="1:19">
      <c r="A571" t="s">
        <v>4639</v>
      </c>
      <c r="B571" t="s">
        <v>4640</v>
      </c>
      <c r="C571" t="s">
        <v>2401</v>
      </c>
      <c r="D571" t="s">
        <v>2401</v>
      </c>
      <c r="E571" t="s">
        <v>2401</v>
      </c>
      <c r="F571" t="s">
        <v>2401</v>
      </c>
      <c r="G571" t="s">
        <v>2401</v>
      </c>
      <c r="H571" t="s">
        <v>2401</v>
      </c>
      <c r="I571" t="s">
        <v>2401</v>
      </c>
      <c r="J571" t="s">
        <v>4641</v>
      </c>
      <c r="K571" t="s">
        <v>2406</v>
      </c>
      <c r="L571" t="s">
        <v>2401</v>
      </c>
      <c r="M571" s="14">
        <v>45534.874305555553</v>
      </c>
      <c r="N571" t="s">
        <v>4642</v>
      </c>
      <c r="O571" t="s">
        <v>4643</v>
      </c>
      <c r="P571" t="s">
        <v>2401</v>
      </c>
      <c r="Q571" t="s">
        <v>2401</v>
      </c>
      <c r="R571" t="s">
        <v>2401</v>
      </c>
      <c r="S571" t="s">
        <v>2401</v>
      </c>
    </row>
    <row r="572" spans="1:19">
      <c r="A572" t="s">
        <v>4644</v>
      </c>
      <c r="B572" t="s">
        <v>4645</v>
      </c>
      <c r="C572" t="s">
        <v>2401</v>
      </c>
      <c r="D572" t="s">
        <v>2401</v>
      </c>
      <c r="E572" t="s">
        <v>2401</v>
      </c>
      <c r="F572" t="s">
        <v>2401</v>
      </c>
      <c r="G572" t="s">
        <v>2401</v>
      </c>
      <c r="H572" t="s">
        <v>2401</v>
      </c>
      <c r="I572" t="s">
        <v>2401</v>
      </c>
      <c r="J572" t="s">
        <v>4646</v>
      </c>
      <c r="K572" t="s">
        <v>2615</v>
      </c>
      <c r="L572" t="s">
        <v>2401</v>
      </c>
      <c r="M572" s="14">
        <v>45565.55972222222</v>
      </c>
      <c r="N572" t="s">
        <v>4647</v>
      </c>
      <c r="O572" t="s">
        <v>4648</v>
      </c>
      <c r="P572" t="s">
        <v>2401</v>
      </c>
      <c r="Q572" t="s">
        <v>2401</v>
      </c>
      <c r="R572" t="s">
        <v>2401</v>
      </c>
      <c r="S572" t="s">
        <v>2401</v>
      </c>
    </row>
    <row r="573" spans="1:19">
      <c r="A573" t="s">
        <v>4649</v>
      </c>
      <c r="B573" t="s">
        <v>4650</v>
      </c>
      <c r="C573" t="s">
        <v>2401</v>
      </c>
      <c r="D573" t="s">
        <v>2401</v>
      </c>
      <c r="E573" t="s">
        <v>2401</v>
      </c>
      <c r="F573" t="s">
        <v>2401</v>
      </c>
      <c r="G573" t="s">
        <v>2401</v>
      </c>
      <c r="H573" t="s">
        <v>2401</v>
      </c>
      <c r="I573" t="s">
        <v>2401</v>
      </c>
      <c r="J573" t="s">
        <v>4650</v>
      </c>
      <c r="K573" t="s">
        <v>2492</v>
      </c>
      <c r="L573" t="s">
        <v>2401</v>
      </c>
      <c r="M573" s="14">
        <v>45565.677083333336</v>
      </c>
      <c r="N573" t="s">
        <v>4651</v>
      </c>
      <c r="O573" t="s">
        <v>2401</v>
      </c>
      <c r="P573" t="s">
        <v>2401</v>
      </c>
      <c r="Q573" t="s">
        <v>2401</v>
      </c>
      <c r="R573" t="s">
        <v>2401</v>
      </c>
      <c r="S573" t="s">
        <v>2401</v>
      </c>
    </row>
    <row r="574" spans="1:19">
      <c r="A574" t="s">
        <v>4652</v>
      </c>
      <c r="B574" t="s">
        <v>4653</v>
      </c>
      <c r="C574" t="s">
        <v>2401</v>
      </c>
      <c r="D574" t="s">
        <v>2401</v>
      </c>
      <c r="E574" t="s">
        <v>2401</v>
      </c>
      <c r="F574" t="s">
        <v>2401</v>
      </c>
      <c r="G574" t="s">
        <v>2401</v>
      </c>
      <c r="H574" t="s">
        <v>2401</v>
      </c>
      <c r="I574" t="s">
        <v>2401</v>
      </c>
      <c r="J574" t="s">
        <v>4654</v>
      </c>
      <c r="K574" t="s">
        <v>3071</v>
      </c>
      <c r="L574" t="s">
        <v>2401</v>
      </c>
      <c r="M574" s="14">
        <v>45565.690972222219</v>
      </c>
      <c r="N574" t="s">
        <v>4655</v>
      </c>
      <c r="O574" t="s">
        <v>4656</v>
      </c>
      <c r="P574" t="s">
        <v>2401</v>
      </c>
      <c r="Q574" t="s">
        <v>2401</v>
      </c>
      <c r="R574" t="s">
        <v>2401</v>
      </c>
      <c r="S574" t="s">
        <v>2401</v>
      </c>
    </row>
    <row r="575" spans="1:19">
      <c r="A575" t="s">
        <v>4657</v>
      </c>
      <c r="B575" t="s">
        <v>4658</v>
      </c>
      <c r="C575" t="s">
        <v>2401</v>
      </c>
      <c r="D575" t="s">
        <v>2401</v>
      </c>
      <c r="E575" t="s">
        <v>2401</v>
      </c>
      <c r="F575" t="s">
        <v>2401</v>
      </c>
      <c r="G575" t="s">
        <v>2401</v>
      </c>
      <c r="H575" t="s">
        <v>2401</v>
      </c>
      <c r="I575" t="s">
        <v>2401</v>
      </c>
      <c r="J575" t="s">
        <v>4659</v>
      </c>
      <c r="K575" t="s">
        <v>3071</v>
      </c>
      <c r="L575" t="s">
        <v>2401</v>
      </c>
      <c r="M575" s="14">
        <v>45565.677083333336</v>
      </c>
      <c r="N575" t="s">
        <v>4660</v>
      </c>
      <c r="O575" t="s">
        <v>2401</v>
      </c>
      <c r="P575" t="s">
        <v>2401</v>
      </c>
      <c r="Q575" t="s">
        <v>2401</v>
      </c>
      <c r="R575" t="s">
        <v>2401</v>
      </c>
      <c r="S575" t="s">
        <v>2401</v>
      </c>
    </row>
    <row r="576" spans="1:19">
      <c r="A576" t="s">
        <v>4661</v>
      </c>
      <c r="B576" t="s">
        <v>4662</v>
      </c>
      <c r="C576" t="s">
        <v>2401</v>
      </c>
      <c r="D576" t="s">
        <v>2401</v>
      </c>
      <c r="E576" t="s">
        <v>2401</v>
      </c>
      <c r="F576" t="s">
        <v>2401</v>
      </c>
      <c r="G576" t="s">
        <v>2401</v>
      </c>
      <c r="H576" t="s">
        <v>2401</v>
      </c>
      <c r="I576" t="s">
        <v>2401</v>
      </c>
      <c r="J576" t="s">
        <v>4663</v>
      </c>
      <c r="K576" t="s">
        <v>2492</v>
      </c>
      <c r="L576" t="s">
        <v>2401</v>
      </c>
      <c r="M576" s="14">
        <v>45565.563888888886</v>
      </c>
      <c r="N576" t="s">
        <v>4664</v>
      </c>
      <c r="O576" t="s">
        <v>2401</v>
      </c>
      <c r="P576" t="s">
        <v>2401</v>
      </c>
      <c r="Q576" t="s">
        <v>2401</v>
      </c>
      <c r="R576" t="s">
        <v>2401</v>
      </c>
      <c r="S576" t="s">
        <v>2401</v>
      </c>
    </row>
    <row r="577" spans="1:19">
      <c r="A577" t="s">
        <v>4665</v>
      </c>
      <c r="B577" t="s">
        <v>4666</v>
      </c>
      <c r="C577" t="s">
        <v>2401</v>
      </c>
      <c r="D577" t="s">
        <v>2401</v>
      </c>
      <c r="E577" t="s">
        <v>2401</v>
      </c>
      <c r="F577" t="s">
        <v>2401</v>
      </c>
      <c r="G577" t="s">
        <v>2401</v>
      </c>
      <c r="H577" t="s">
        <v>2401</v>
      </c>
      <c r="I577" t="s">
        <v>2401</v>
      </c>
      <c r="J577" t="s">
        <v>4667</v>
      </c>
      <c r="K577" t="s">
        <v>2492</v>
      </c>
      <c r="L577" t="s">
        <v>2401</v>
      </c>
      <c r="M577" s="14">
        <v>45565.662499999999</v>
      </c>
      <c r="N577" t="s">
        <v>4668</v>
      </c>
      <c r="O577" t="s">
        <v>2401</v>
      </c>
      <c r="P577" t="s">
        <v>2401</v>
      </c>
      <c r="Q577" t="s">
        <v>2401</v>
      </c>
      <c r="R577" t="s">
        <v>2401</v>
      </c>
      <c r="S577" t="s">
        <v>2401</v>
      </c>
    </row>
    <row r="578" spans="1:19">
      <c r="A578" t="s">
        <v>4669</v>
      </c>
      <c r="B578" t="s">
        <v>4666</v>
      </c>
      <c r="C578" t="s">
        <v>2401</v>
      </c>
      <c r="D578" t="s">
        <v>2401</v>
      </c>
      <c r="E578" t="s">
        <v>2401</v>
      </c>
      <c r="F578" t="s">
        <v>2401</v>
      </c>
      <c r="G578" t="s">
        <v>2401</v>
      </c>
      <c r="H578" t="s">
        <v>2401</v>
      </c>
      <c r="I578" t="s">
        <v>2401</v>
      </c>
      <c r="J578" t="s">
        <v>4670</v>
      </c>
      <c r="K578" t="s">
        <v>3473</v>
      </c>
      <c r="L578" t="s">
        <v>2401</v>
      </c>
      <c r="M578" s="14">
        <v>45565.662499999999</v>
      </c>
      <c r="N578" t="s">
        <v>4671</v>
      </c>
      <c r="O578" t="s">
        <v>2401</v>
      </c>
      <c r="P578" t="s">
        <v>2401</v>
      </c>
      <c r="Q578" t="s">
        <v>2401</v>
      </c>
      <c r="R578" t="s">
        <v>2401</v>
      </c>
      <c r="S578" t="s">
        <v>2401</v>
      </c>
    </row>
    <row r="579" spans="1:19">
      <c r="A579" t="s">
        <v>4672</v>
      </c>
      <c r="B579" t="s">
        <v>4673</v>
      </c>
      <c r="C579" t="s">
        <v>2401</v>
      </c>
      <c r="D579" t="s">
        <v>2401</v>
      </c>
      <c r="E579" t="s">
        <v>2401</v>
      </c>
      <c r="F579" t="s">
        <v>2401</v>
      </c>
      <c r="G579" t="s">
        <v>2401</v>
      </c>
      <c r="H579" t="s">
        <v>2401</v>
      </c>
      <c r="I579" t="s">
        <v>2401</v>
      </c>
      <c r="J579" t="s">
        <v>2401</v>
      </c>
      <c r="K579" t="s">
        <v>2406</v>
      </c>
      <c r="L579" t="s">
        <v>2401</v>
      </c>
      <c r="M579" s="14">
        <v>45390.607638888891</v>
      </c>
      <c r="N579" t="s">
        <v>2401</v>
      </c>
      <c r="O579" t="s">
        <v>4674</v>
      </c>
      <c r="P579" t="s">
        <v>2401</v>
      </c>
      <c r="Q579" t="s">
        <v>2401</v>
      </c>
      <c r="R579" t="s">
        <v>2401</v>
      </c>
      <c r="S579" t="s">
        <v>2401</v>
      </c>
    </row>
    <row r="580" spans="1:19">
      <c r="A580" t="s">
        <v>4675</v>
      </c>
      <c r="B580" t="s">
        <v>4673</v>
      </c>
      <c r="C580" t="s">
        <v>2401</v>
      </c>
      <c r="D580" t="s">
        <v>2401</v>
      </c>
      <c r="E580" t="s">
        <v>2401</v>
      </c>
      <c r="F580" t="s">
        <v>2401</v>
      </c>
      <c r="G580" t="s">
        <v>2401</v>
      </c>
      <c r="H580" t="s">
        <v>2401</v>
      </c>
      <c r="I580" t="s">
        <v>2401</v>
      </c>
      <c r="J580" t="s">
        <v>4676</v>
      </c>
      <c r="K580" t="s">
        <v>2406</v>
      </c>
      <c r="L580" t="s">
        <v>2401</v>
      </c>
      <c r="M580" s="14">
        <v>45167.663888888892</v>
      </c>
      <c r="N580" t="s">
        <v>4677</v>
      </c>
      <c r="O580" t="s">
        <v>4674</v>
      </c>
      <c r="P580" t="s">
        <v>2401</v>
      </c>
      <c r="Q580" t="s">
        <v>2401</v>
      </c>
      <c r="R580" t="s">
        <v>2401</v>
      </c>
      <c r="S580" t="s">
        <v>2401</v>
      </c>
    </row>
    <row r="581" spans="1:19">
      <c r="A581" t="s">
        <v>4678</v>
      </c>
      <c r="B581" t="s">
        <v>4679</v>
      </c>
      <c r="C581" t="s">
        <v>2401</v>
      </c>
      <c r="D581" t="s">
        <v>2401</v>
      </c>
      <c r="E581" t="s">
        <v>2401</v>
      </c>
      <c r="F581" t="s">
        <v>2401</v>
      </c>
      <c r="G581" t="s">
        <v>2401</v>
      </c>
      <c r="H581" t="s">
        <v>2401</v>
      </c>
      <c r="I581" t="s">
        <v>2401</v>
      </c>
      <c r="J581" t="s">
        <v>2401</v>
      </c>
      <c r="K581" t="s">
        <v>2401</v>
      </c>
      <c r="L581" t="s">
        <v>2401</v>
      </c>
      <c r="M581" s="14">
        <v>45399.554861111108</v>
      </c>
      <c r="N581" t="s">
        <v>2401</v>
      </c>
      <c r="O581" t="s">
        <v>2401</v>
      </c>
      <c r="P581" t="s">
        <v>2401</v>
      </c>
      <c r="Q581" t="s">
        <v>2401</v>
      </c>
      <c r="R581" t="s">
        <v>2401</v>
      </c>
      <c r="S581" t="s">
        <v>2401</v>
      </c>
    </row>
    <row r="582" spans="1:19">
      <c r="A582" t="s">
        <v>4680</v>
      </c>
      <c r="B582" t="s">
        <v>4681</v>
      </c>
      <c r="C582" t="s">
        <v>2401</v>
      </c>
      <c r="D582" t="s">
        <v>2401</v>
      </c>
      <c r="E582" t="s">
        <v>2401</v>
      </c>
      <c r="F582" t="s">
        <v>2401</v>
      </c>
      <c r="G582" t="s">
        <v>2401</v>
      </c>
      <c r="H582" t="s">
        <v>2401</v>
      </c>
      <c r="I582" t="s">
        <v>2401</v>
      </c>
      <c r="J582" t="s">
        <v>4682</v>
      </c>
      <c r="K582" t="s">
        <v>2433</v>
      </c>
      <c r="L582" t="s">
        <v>2401</v>
      </c>
      <c r="M582" s="14">
        <v>45565.656944444447</v>
      </c>
      <c r="N582" t="s">
        <v>4683</v>
      </c>
      <c r="O582" t="s">
        <v>4684</v>
      </c>
      <c r="P582" t="s">
        <v>2401</v>
      </c>
      <c r="Q582" t="s">
        <v>2401</v>
      </c>
      <c r="R582" t="s">
        <v>2401</v>
      </c>
      <c r="S582" t="s">
        <v>2401</v>
      </c>
    </row>
    <row r="583" spans="1:19">
      <c r="A583" t="s">
        <v>4685</v>
      </c>
      <c r="B583" t="s">
        <v>4686</v>
      </c>
      <c r="C583" t="s">
        <v>2401</v>
      </c>
      <c r="D583" t="s">
        <v>2401</v>
      </c>
      <c r="E583" t="s">
        <v>2401</v>
      </c>
      <c r="F583" t="s">
        <v>2401</v>
      </c>
      <c r="G583" t="s">
        <v>2401</v>
      </c>
      <c r="H583" t="s">
        <v>2401</v>
      </c>
      <c r="I583" t="s">
        <v>2401</v>
      </c>
      <c r="J583" t="s">
        <v>4687</v>
      </c>
      <c r="K583" t="s">
        <v>3071</v>
      </c>
      <c r="L583" t="s">
        <v>2401</v>
      </c>
      <c r="M583" s="14">
        <v>45554.465277777781</v>
      </c>
      <c r="N583" t="s">
        <v>4688</v>
      </c>
      <c r="O583" t="s">
        <v>4689</v>
      </c>
      <c r="P583" t="s">
        <v>2401</v>
      </c>
      <c r="Q583" t="s">
        <v>2401</v>
      </c>
      <c r="R583" t="s">
        <v>2401</v>
      </c>
      <c r="S583" t="s">
        <v>2401</v>
      </c>
    </row>
    <row r="584" spans="1:19">
      <c r="A584" t="s">
        <v>4690</v>
      </c>
      <c r="B584" t="s">
        <v>4691</v>
      </c>
      <c r="C584" t="s">
        <v>2401</v>
      </c>
      <c r="D584" t="s">
        <v>2401</v>
      </c>
      <c r="E584" t="s">
        <v>2401</v>
      </c>
      <c r="F584" t="s">
        <v>2401</v>
      </c>
      <c r="G584" t="s">
        <v>2401</v>
      </c>
      <c r="H584" t="s">
        <v>2401</v>
      </c>
      <c r="I584" t="s">
        <v>2401</v>
      </c>
      <c r="J584" t="s">
        <v>4692</v>
      </c>
      <c r="K584" t="s">
        <v>2499</v>
      </c>
      <c r="L584" t="s">
        <v>2401</v>
      </c>
      <c r="M584" s="14">
        <v>45565.701388888891</v>
      </c>
      <c r="N584" t="s">
        <v>4693</v>
      </c>
      <c r="O584" t="s">
        <v>4694</v>
      </c>
      <c r="P584" t="s">
        <v>2401</v>
      </c>
      <c r="Q584" t="s">
        <v>2401</v>
      </c>
      <c r="R584" t="s">
        <v>2401</v>
      </c>
      <c r="S584" t="s">
        <v>2401</v>
      </c>
    </row>
    <row r="585" spans="1:19">
      <c r="A585" t="s">
        <v>4695</v>
      </c>
      <c r="B585" t="s">
        <v>4696</v>
      </c>
      <c r="C585" t="s">
        <v>2401</v>
      </c>
      <c r="D585" t="s">
        <v>2401</v>
      </c>
      <c r="E585" t="s">
        <v>2401</v>
      </c>
      <c r="F585" t="s">
        <v>2401</v>
      </c>
      <c r="G585" t="s">
        <v>2401</v>
      </c>
      <c r="H585" t="s">
        <v>2401</v>
      </c>
      <c r="I585" t="s">
        <v>2401</v>
      </c>
      <c r="J585" t="s">
        <v>4697</v>
      </c>
      <c r="K585" t="s">
        <v>3592</v>
      </c>
      <c r="L585" t="s">
        <v>2401</v>
      </c>
      <c r="M585" s="14">
        <v>45565.570833333331</v>
      </c>
      <c r="N585" t="s">
        <v>4698</v>
      </c>
      <c r="O585" t="s">
        <v>4699</v>
      </c>
      <c r="P585" t="s">
        <v>2401</v>
      </c>
      <c r="Q585" t="s">
        <v>2401</v>
      </c>
      <c r="R585" t="s">
        <v>2401</v>
      </c>
      <c r="S585" t="s">
        <v>2401</v>
      </c>
    </row>
    <row r="586" spans="1:19">
      <c r="A586" t="s">
        <v>4700</v>
      </c>
      <c r="B586" t="s">
        <v>4701</v>
      </c>
      <c r="C586" t="s">
        <v>2401</v>
      </c>
      <c r="D586" t="s">
        <v>2401</v>
      </c>
      <c r="E586" t="s">
        <v>2401</v>
      </c>
      <c r="F586" t="s">
        <v>2401</v>
      </c>
      <c r="G586" t="s">
        <v>2401</v>
      </c>
      <c r="H586" t="s">
        <v>2401</v>
      </c>
      <c r="I586" t="s">
        <v>2401</v>
      </c>
      <c r="J586" t="s">
        <v>4702</v>
      </c>
      <c r="K586" t="s">
        <v>3592</v>
      </c>
      <c r="L586" t="s">
        <v>2401</v>
      </c>
      <c r="M586" s="14">
        <v>45565.570833333331</v>
      </c>
      <c r="N586" t="s">
        <v>4703</v>
      </c>
      <c r="O586" t="s">
        <v>4699</v>
      </c>
      <c r="P586" t="s">
        <v>2401</v>
      </c>
      <c r="Q586" t="s">
        <v>2401</v>
      </c>
      <c r="R586" t="s">
        <v>2401</v>
      </c>
      <c r="S586" t="s">
        <v>2401</v>
      </c>
    </row>
    <row r="587" spans="1:19">
      <c r="A587" t="s">
        <v>4704</v>
      </c>
      <c r="B587" t="s">
        <v>4705</v>
      </c>
      <c r="C587" t="s">
        <v>2401</v>
      </c>
      <c r="D587" t="s">
        <v>2401</v>
      </c>
      <c r="E587" t="s">
        <v>2401</v>
      </c>
      <c r="F587" t="s">
        <v>2401</v>
      </c>
      <c r="G587" t="s">
        <v>2401</v>
      </c>
      <c r="H587" t="s">
        <v>2401</v>
      </c>
      <c r="I587" t="s">
        <v>2401</v>
      </c>
      <c r="J587" t="s">
        <v>2401</v>
      </c>
      <c r="K587" t="s">
        <v>2749</v>
      </c>
      <c r="L587" t="s">
        <v>2401</v>
      </c>
      <c r="M587" s="14">
        <v>45390.607638888891</v>
      </c>
      <c r="N587" t="s">
        <v>2401</v>
      </c>
      <c r="O587" t="s">
        <v>4706</v>
      </c>
      <c r="P587" t="s">
        <v>2401</v>
      </c>
      <c r="Q587" t="s">
        <v>2401</v>
      </c>
      <c r="R587" t="s">
        <v>2401</v>
      </c>
      <c r="S587" t="s">
        <v>2401</v>
      </c>
    </row>
    <row r="588" spans="1:19">
      <c r="A588" t="s">
        <v>4707</v>
      </c>
      <c r="B588" t="s">
        <v>4705</v>
      </c>
      <c r="C588" t="s">
        <v>2401</v>
      </c>
      <c r="D588" t="s">
        <v>2401</v>
      </c>
      <c r="E588" t="s">
        <v>2401</v>
      </c>
      <c r="F588" t="s">
        <v>2401</v>
      </c>
      <c r="G588" t="s">
        <v>2401</v>
      </c>
      <c r="H588" t="s">
        <v>2401</v>
      </c>
      <c r="I588" t="s">
        <v>2401</v>
      </c>
      <c r="J588" t="s">
        <v>4708</v>
      </c>
      <c r="K588" t="s">
        <v>2749</v>
      </c>
      <c r="L588" t="s">
        <v>2401</v>
      </c>
      <c r="M588" s="14">
        <v>45167.659722222219</v>
      </c>
      <c r="N588" t="s">
        <v>4709</v>
      </c>
      <c r="O588" t="s">
        <v>4706</v>
      </c>
      <c r="P588" t="s">
        <v>2401</v>
      </c>
      <c r="Q588" t="s">
        <v>2401</v>
      </c>
      <c r="R588" t="s">
        <v>2401</v>
      </c>
      <c r="S588" t="s">
        <v>2401</v>
      </c>
    </row>
    <row r="589" spans="1:19">
      <c r="A589" t="s">
        <v>4710</v>
      </c>
      <c r="B589" t="s">
        <v>4711</v>
      </c>
      <c r="C589" t="s">
        <v>2401</v>
      </c>
      <c r="D589" t="s">
        <v>2401</v>
      </c>
      <c r="E589" t="s">
        <v>2401</v>
      </c>
      <c r="F589" t="s">
        <v>2401</v>
      </c>
      <c r="G589" t="s">
        <v>2401</v>
      </c>
      <c r="H589" t="s">
        <v>2401</v>
      </c>
      <c r="I589" t="s">
        <v>2401</v>
      </c>
      <c r="J589" t="s">
        <v>4711</v>
      </c>
      <c r="K589" t="s">
        <v>2433</v>
      </c>
      <c r="L589" t="s">
        <v>2401</v>
      </c>
      <c r="M589" s="14">
        <v>45565.682638888888</v>
      </c>
      <c r="N589" t="s">
        <v>4712</v>
      </c>
      <c r="O589" t="s">
        <v>2401</v>
      </c>
      <c r="P589" t="s">
        <v>2401</v>
      </c>
      <c r="Q589" t="s">
        <v>2401</v>
      </c>
      <c r="R589" t="s">
        <v>2401</v>
      </c>
      <c r="S589" t="s">
        <v>2401</v>
      </c>
    </row>
    <row r="590" spans="1:19">
      <c r="A590" t="s">
        <v>4713</v>
      </c>
      <c r="B590" t="s">
        <v>4714</v>
      </c>
      <c r="C590" t="s">
        <v>2401</v>
      </c>
      <c r="D590" t="s">
        <v>2401</v>
      </c>
      <c r="E590" t="s">
        <v>2401</v>
      </c>
      <c r="F590" t="s">
        <v>2401</v>
      </c>
      <c r="G590" t="s">
        <v>2401</v>
      </c>
      <c r="H590" t="s">
        <v>2401</v>
      </c>
      <c r="I590" t="s">
        <v>2401</v>
      </c>
      <c r="J590" t="s">
        <v>2401</v>
      </c>
      <c r="K590" t="s">
        <v>3473</v>
      </c>
      <c r="L590" t="s">
        <v>2401</v>
      </c>
      <c r="M590" s="14">
        <v>45390.607638888891</v>
      </c>
      <c r="N590" t="s">
        <v>2401</v>
      </c>
      <c r="O590" t="s">
        <v>4715</v>
      </c>
      <c r="P590" t="s">
        <v>2401</v>
      </c>
      <c r="Q590" t="s">
        <v>2401</v>
      </c>
      <c r="R590" t="s">
        <v>2401</v>
      </c>
      <c r="S590" t="s">
        <v>2401</v>
      </c>
    </row>
    <row r="591" spans="1:19">
      <c r="A591" t="s">
        <v>4716</v>
      </c>
      <c r="B591" t="s">
        <v>4717</v>
      </c>
      <c r="C591" t="s">
        <v>2401</v>
      </c>
      <c r="D591" t="s">
        <v>2401</v>
      </c>
      <c r="E591" t="s">
        <v>2401</v>
      </c>
      <c r="F591" t="s">
        <v>2401</v>
      </c>
      <c r="G591" t="s">
        <v>2401</v>
      </c>
      <c r="H591" t="s">
        <v>2401</v>
      </c>
      <c r="I591" t="s">
        <v>2401</v>
      </c>
      <c r="J591" t="s">
        <v>2401</v>
      </c>
      <c r="K591" t="s">
        <v>4718</v>
      </c>
      <c r="L591" t="s">
        <v>2401</v>
      </c>
      <c r="M591" s="14">
        <v>45390.607638888891</v>
      </c>
      <c r="N591" t="s">
        <v>2401</v>
      </c>
      <c r="O591" t="s">
        <v>4719</v>
      </c>
      <c r="P591" t="s">
        <v>2401</v>
      </c>
      <c r="Q591" t="s">
        <v>2401</v>
      </c>
      <c r="R591" t="s">
        <v>2401</v>
      </c>
      <c r="S591" t="s">
        <v>2401</v>
      </c>
    </row>
    <row r="592" spans="1:19">
      <c r="A592" t="s">
        <v>4720</v>
      </c>
      <c r="B592" t="s">
        <v>4721</v>
      </c>
      <c r="C592" t="s">
        <v>2401</v>
      </c>
      <c r="D592" t="s">
        <v>2401</v>
      </c>
      <c r="E592" t="s">
        <v>2401</v>
      </c>
      <c r="F592" t="s">
        <v>2401</v>
      </c>
      <c r="G592" t="s">
        <v>2401</v>
      </c>
      <c r="H592" t="s">
        <v>2401</v>
      </c>
      <c r="I592" t="s">
        <v>2401</v>
      </c>
      <c r="J592" t="s">
        <v>4722</v>
      </c>
      <c r="K592" t="s">
        <v>2499</v>
      </c>
      <c r="L592" t="s">
        <v>2401</v>
      </c>
      <c r="M592" s="14">
        <v>45399.554861111108</v>
      </c>
      <c r="N592" t="s">
        <v>4723</v>
      </c>
      <c r="O592" t="s">
        <v>4724</v>
      </c>
      <c r="P592" t="s">
        <v>2401</v>
      </c>
      <c r="Q592" t="s">
        <v>2401</v>
      </c>
      <c r="R592" t="s">
        <v>2401</v>
      </c>
      <c r="S592" t="s">
        <v>2401</v>
      </c>
    </row>
    <row r="593" spans="1:19">
      <c r="A593" t="s">
        <v>4725</v>
      </c>
      <c r="B593" t="s">
        <v>4726</v>
      </c>
      <c r="C593" t="s">
        <v>2401</v>
      </c>
      <c r="D593" t="s">
        <v>2401</v>
      </c>
      <c r="E593" t="s">
        <v>2401</v>
      </c>
      <c r="F593" t="s">
        <v>2401</v>
      </c>
      <c r="G593" t="s">
        <v>2401</v>
      </c>
      <c r="H593" t="s">
        <v>2401</v>
      </c>
      <c r="I593" t="s">
        <v>2401</v>
      </c>
      <c r="J593" t="s">
        <v>4727</v>
      </c>
      <c r="K593" t="s">
        <v>2401</v>
      </c>
      <c r="L593" t="s">
        <v>2401</v>
      </c>
      <c r="M593" s="14">
        <v>45565.682638888888</v>
      </c>
      <c r="N593" t="s">
        <v>2401</v>
      </c>
      <c r="O593" t="s">
        <v>2401</v>
      </c>
      <c r="P593" t="s">
        <v>2401</v>
      </c>
      <c r="Q593" t="s">
        <v>2401</v>
      </c>
      <c r="R593" t="s">
        <v>2401</v>
      </c>
      <c r="S593" t="s">
        <v>2401</v>
      </c>
    </row>
    <row r="594" spans="1:19">
      <c r="A594" t="s">
        <v>4728</v>
      </c>
      <c r="B594" t="s">
        <v>4729</v>
      </c>
      <c r="C594" t="s">
        <v>2401</v>
      </c>
      <c r="D594" t="s">
        <v>2401</v>
      </c>
      <c r="E594" t="s">
        <v>2401</v>
      </c>
      <c r="F594" t="s">
        <v>2401</v>
      </c>
      <c r="G594" t="s">
        <v>2401</v>
      </c>
      <c r="H594" t="s">
        <v>2401</v>
      </c>
      <c r="I594" t="s">
        <v>61</v>
      </c>
      <c r="J594" t="s">
        <v>4730</v>
      </c>
      <c r="K594" t="s">
        <v>2406</v>
      </c>
      <c r="L594" t="s">
        <v>2401</v>
      </c>
      <c r="M594" s="14">
        <v>45399.554861111108</v>
      </c>
      <c r="N594" t="s">
        <v>4731</v>
      </c>
      <c r="O594" t="s">
        <v>2401</v>
      </c>
      <c r="P594" t="s">
        <v>2401</v>
      </c>
      <c r="Q594" t="s">
        <v>2401</v>
      </c>
      <c r="R594" t="s">
        <v>2401</v>
      </c>
      <c r="S594" t="s">
        <v>2401</v>
      </c>
    </row>
    <row r="595" spans="1:19">
      <c r="A595" t="s">
        <v>4732</v>
      </c>
      <c r="B595" t="s">
        <v>4729</v>
      </c>
      <c r="C595" t="s">
        <v>2401</v>
      </c>
      <c r="D595" t="s">
        <v>2401</v>
      </c>
      <c r="E595" t="s">
        <v>2401</v>
      </c>
      <c r="F595" t="s">
        <v>2401</v>
      </c>
      <c r="G595" t="s">
        <v>2401</v>
      </c>
      <c r="H595" t="s">
        <v>2401</v>
      </c>
      <c r="I595" t="s">
        <v>2401</v>
      </c>
      <c r="J595" t="s">
        <v>2401</v>
      </c>
      <c r="K595" t="s">
        <v>2401</v>
      </c>
      <c r="L595" t="s">
        <v>2401</v>
      </c>
      <c r="M595" s="14">
        <v>45390.607638888891</v>
      </c>
      <c r="N595" t="s">
        <v>2401</v>
      </c>
      <c r="O595" t="s">
        <v>4733</v>
      </c>
      <c r="P595" t="s">
        <v>2401</v>
      </c>
      <c r="Q595" t="s">
        <v>2401</v>
      </c>
      <c r="R595" t="s">
        <v>2401</v>
      </c>
      <c r="S595" t="s">
        <v>2401</v>
      </c>
    </row>
    <row r="596" spans="1:19">
      <c r="A596" t="s">
        <v>4734</v>
      </c>
      <c r="B596" t="s">
        <v>4735</v>
      </c>
      <c r="C596" t="s">
        <v>2401</v>
      </c>
      <c r="D596" t="s">
        <v>2401</v>
      </c>
      <c r="E596" t="s">
        <v>2401</v>
      </c>
      <c r="F596" t="s">
        <v>2401</v>
      </c>
      <c r="G596" t="s">
        <v>2401</v>
      </c>
      <c r="H596" t="s">
        <v>2401</v>
      </c>
      <c r="I596" t="s">
        <v>61</v>
      </c>
      <c r="J596" t="s">
        <v>4736</v>
      </c>
      <c r="K596" t="s">
        <v>2401</v>
      </c>
      <c r="L596" t="s">
        <v>2401</v>
      </c>
      <c r="M596" s="14">
        <v>45399.554861111108</v>
      </c>
      <c r="N596" t="s">
        <v>4737</v>
      </c>
      <c r="O596" t="s">
        <v>2401</v>
      </c>
      <c r="P596" t="s">
        <v>2401</v>
      </c>
      <c r="Q596" t="s">
        <v>2401</v>
      </c>
      <c r="R596" t="s">
        <v>2401</v>
      </c>
      <c r="S596" t="s">
        <v>2401</v>
      </c>
    </row>
    <row r="597" spans="1:19">
      <c r="A597" t="s">
        <v>4738</v>
      </c>
      <c r="B597" t="s">
        <v>4739</v>
      </c>
      <c r="C597" t="s">
        <v>2401</v>
      </c>
      <c r="D597" t="s">
        <v>2401</v>
      </c>
      <c r="E597" t="s">
        <v>2401</v>
      </c>
      <c r="F597" t="s">
        <v>2401</v>
      </c>
      <c r="G597" t="s">
        <v>2401</v>
      </c>
      <c r="H597" t="s">
        <v>2401</v>
      </c>
      <c r="I597" t="s">
        <v>2401</v>
      </c>
      <c r="J597" t="s">
        <v>2401</v>
      </c>
      <c r="K597" t="s">
        <v>2401</v>
      </c>
      <c r="L597" t="s">
        <v>2401</v>
      </c>
      <c r="M597" s="14">
        <v>45390.607638888891</v>
      </c>
      <c r="N597" t="s">
        <v>2401</v>
      </c>
      <c r="O597" t="s">
        <v>2401</v>
      </c>
      <c r="P597" t="s">
        <v>2401</v>
      </c>
      <c r="Q597" t="s">
        <v>2401</v>
      </c>
      <c r="R597" t="s">
        <v>2401</v>
      </c>
      <c r="S597" t="s">
        <v>2401</v>
      </c>
    </row>
    <row r="598" spans="1:19">
      <c r="A598" t="s">
        <v>4740</v>
      </c>
      <c r="B598" t="s">
        <v>4741</v>
      </c>
      <c r="C598" t="s">
        <v>2401</v>
      </c>
      <c r="D598" t="s">
        <v>2401</v>
      </c>
      <c r="E598" t="s">
        <v>2401</v>
      </c>
      <c r="F598" t="s">
        <v>2401</v>
      </c>
      <c r="G598" t="s">
        <v>2401</v>
      </c>
      <c r="H598" t="s">
        <v>2401</v>
      </c>
      <c r="I598" t="s">
        <v>2401</v>
      </c>
      <c r="J598" t="s">
        <v>4742</v>
      </c>
      <c r="K598" t="s">
        <v>2433</v>
      </c>
      <c r="L598" t="s">
        <v>2401</v>
      </c>
      <c r="M598" s="14">
        <v>45565.65</v>
      </c>
      <c r="N598" t="s">
        <v>4743</v>
      </c>
      <c r="O598" t="s">
        <v>4744</v>
      </c>
      <c r="P598" t="s">
        <v>2401</v>
      </c>
      <c r="Q598" t="s">
        <v>2401</v>
      </c>
      <c r="R598" t="s">
        <v>2401</v>
      </c>
      <c r="S598" t="s">
        <v>2401</v>
      </c>
    </row>
    <row r="599" spans="1:19">
      <c r="A599" t="s">
        <v>4745</v>
      </c>
      <c r="B599" t="s">
        <v>4746</v>
      </c>
      <c r="C599" t="s">
        <v>2401</v>
      </c>
      <c r="D599" t="s">
        <v>2401</v>
      </c>
      <c r="E599" t="s">
        <v>2401</v>
      </c>
      <c r="F599" t="s">
        <v>2401</v>
      </c>
      <c r="G599" t="s">
        <v>2401</v>
      </c>
      <c r="H599" t="s">
        <v>2401</v>
      </c>
      <c r="I599" t="s">
        <v>2401</v>
      </c>
      <c r="J599" t="s">
        <v>4747</v>
      </c>
      <c r="K599" t="s">
        <v>2433</v>
      </c>
      <c r="L599" t="s">
        <v>2401</v>
      </c>
      <c r="M599" s="14">
        <v>45565.65</v>
      </c>
      <c r="N599" t="s">
        <v>4748</v>
      </c>
      <c r="O599" t="s">
        <v>4744</v>
      </c>
      <c r="P599" t="s">
        <v>2401</v>
      </c>
      <c r="Q599" t="s">
        <v>2401</v>
      </c>
      <c r="R599" t="s">
        <v>2401</v>
      </c>
      <c r="S599" t="s">
        <v>2401</v>
      </c>
    </row>
    <row r="600" spans="1:19">
      <c r="A600" t="s">
        <v>4749</v>
      </c>
      <c r="B600" t="s">
        <v>4750</v>
      </c>
      <c r="C600" t="s">
        <v>2401</v>
      </c>
      <c r="D600" t="s">
        <v>2401</v>
      </c>
      <c r="E600" t="s">
        <v>2401</v>
      </c>
      <c r="F600" t="s">
        <v>2401</v>
      </c>
      <c r="G600" t="s">
        <v>2401</v>
      </c>
      <c r="H600" t="s">
        <v>2401</v>
      </c>
      <c r="I600" t="s">
        <v>2401</v>
      </c>
      <c r="J600" t="s">
        <v>4751</v>
      </c>
      <c r="K600" t="s">
        <v>3473</v>
      </c>
      <c r="L600" t="s">
        <v>2401</v>
      </c>
      <c r="M600" s="14">
        <v>45399.554861111108</v>
      </c>
      <c r="N600" t="s">
        <v>4752</v>
      </c>
      <c r="O600" t="s">
        <v>4753</v>
      </c>
      <c r="P600" t="s">
        <v>2401</v>
      </c>
      <c r="Q600" t="s">
        <v>2401</v>
      </c>
      <c r="R600" t="s">
        <v>2401</v>
      </c>
      <c r="S600" t="s">
        <v>2401</v>
      </c>
    </row>
    <row r="601" spans="1:19">
      <c r="A601" t="s">
        <v>4754</v>
      </c>
      <c r="B601" t="s">
        <v>4755</v>
      </c>
      <c r="C601" t="s">
        <v>2401</v>
      </c>
      <c r="D601" t="s">
        <v>2401</v>
      </c>
      <c r="E601" t="s">
        <v>2401</v>
      </c>
      <c r="F601" t="s">
        <v>2401</v>
      </c>
      <c r="G601" t="s">
        <v>2401</v>
      </c>
      <c r="H601" t="s">
        <v>2401</v>
      </c>
      <c r="I601" t="s">
        <v>2401</v>
      </c>
      <c r="J601" t="s">
        <v>2401</v>
      </c>
      <c r="K601" t="s">
        <v>2401</v>
      </c>
      <c r="L601" t="s">
        <v>2401</v>
      </c>
      <c r="M601" s="14">
        <v>45390.607638888891</v>
      </c>
      <c r="N601" t="s">
        <v>2401</v>
      </c>
      <c r="O601" t="s">
        <v>2586</v>
      </c>
      <c r="P601" t="s">
        <v>2401</v>
      </c>
      <c r="Q601" t="s">
        <v>2401</v>
      </c>
      <c r="R601" t="s">
        <v>2401</v>
      </c>
      <c r="S601" t="s">
        <v>2401</v>
      </c>
    </row>
    <row r="602" spans="1:19">
      <c r="A602" t="s">
        <v>4756</v>
      </c>
      <c r="B602" t="s">
        <v>469</v>
      </c>
      <c r="C602" t="s">
        <v>2401</v>
      </c>
      <c r="D602" t="s">
        <v>2401</v>
      </c>
      <c r="E602" t="s">
        <v>2401</v>
      </c>
      <c r="F602" t="s">
        <v>2401</v>
      </c>
      <c r="G602" t="s">
        <v>2401</v>
      </c>
      <c r="H602" t="s">
        <v>2401</v>
      </c>
      <c r="I602" t="s">
        <v>61</v>
      </c>
      <c r="J602" t="s">
        <v>4757</v>
      </c>
      <c r="K602" t="s">
        <v>2433</v>
      </c>
      <c r="L602" t="s">
        <v>2401</v>
      </c>
      <c r="M602" s="14">
        <v>45399.554861111108</v>
      </c>
      <c r="N602" t="s">
        <v>4758</v>
      </c>
      <c r="O602" t="s">
        <v>4689</v>
      </c>
      <c r="P602" t="s">
        <v>2401</v>
      </c>
      <c r="Q602" t="s">
        <v>2401</v>
      </c>
      <c r="R602" t="s">
        <v>2401</v>
      </c>
      <c r="S602" t="s">
        <v>2401</v>
      </c>
    </row>
    <row r="603" spans="1:19">
      <c r="A603" t="s">
        <v>4759</v>
      </c>
      <c r="B603" t="s">
        <v>4760</v>
      </c>
      <c r="C603" t="s">
        <v>2401</v>
      </c>
      <c r="D603" t="s">
        <v>2401</v>
      </c>
      <c r="E603" t="s">
        <v>2401</v>
      </c>
      <c r="F603" t="s">
        <v>2401</v>
      </c>
      <c r="G603" t="s">
        <v>2401</v>
      </c>
      <c r="H603" t="s">
        <v>2401</v>
      </c>
      <c r="I603" t="s">
        <v>2401</v>
      </c>
      <c r="J603" t="s">
        <v>4761</v>
      </c>
      <c r="K603" t="s">
        <v>2433</v>
      </c>
      <c r="L603" t="s">
        <v>2401</v>
      </c>
      <c r="M603" s="14">
        <v>45565.551388888889</v>
      </c>
      <c r="N603" t="s">
        <v>4762</v>
      </c>
      <c r="O603" t="s">
        <v>4689</v>
      </c>
      <c r="P603" t="s">
        <v>2401</v>
      </c>
      <c r="Q603" t="s">
        <v>2401</v>
      </c>
      <c r="R603" t="s">
        <v>2401</v>
      </c>
      <c r="S603" t="s">
        <v>2401</v>
      </c>
    </row>
    <row r="604" spans="1:19">
      <c r="A604" t="s">
        <v>4763</v>
      </c>
      <c r="B604" t="s">
        <v>4764</v>
      </c>
      <c r="C604" t="s">
        <v>2401</v>
      </c>
      <c r="D604" t="s">
        <v>2401</v>
      </c>
      <c r="E604" t="s">
        <v>2401</v>
      </c>
      <c r="F604" t="s">
        <v>2401</v>
      </c>
      <c r="G604" t="s">
        <v>2401</v>
      </c>
      <c r="H604" t="s">
        <v>2401</v>
      </c>
      <c r="I604" t="s">
        <v>2401</v>
      </c>
      <c r="J604" t="s">
        <v>4765</v>
      </c>
      <c r="K604" t="s">
        <v>2460</v>
      </c>
      <c r="L604" t="s">
        <v>2401</v>
      </c>
      <c r="M604" s="14">
        <v>45399.554861111108</v>
      </c>
      <c r="N604" t="s">
        <v>4766</v>
      </c>
      <c r="O604" t="s">
        <v>4767</v>
      </c>
      <c r="P604" t="s">
        <v>2401</v>
      </c>
      <c r="Q604" t="s">
        <v>2401</v>
      </c>
      <c r="R604" t="s">
        <v>2401</v>
      </c>
      <c r="S604" t="s">
        <v>2401</v>
      </c>
    </row>
    <row r="605" spans="1:19">
      <c r="A605" t="s">
        <v>4768</v>
      </c>
      <c r="B605" t="s">
        <v>4769</v>
      </c>
      <c r="C605" t="s">
        <v>2401</v>
      </c>
      <c r="D605" t="s">
        <v>2401</v>
      </c>
      <c r="E605" t="s">
        <v>2401</v>
      </c>
      <c r="F605" t="s">
        <v>2401</v>
      </c>
      <c r="G605" t="s">
        <v>2401</v>
      </c>
      <c r="H605" t="s">
        <v>2401</v>
      </c>
      <c r="I605" t="s">
        <v>2401</v>
      </c>
      <c r="J605" t="s">
        <v>4770</v>
      </c>
      <c r="K605" t="s">
        <v>2499</v>
      </c>
      <c r="L605" t="s">
        <v>2401</v>
      </c>
      <c r="M605" s="14">
        <v>45399.554861111108</v>
      </c>
      <c r="N605" t="s">
        <v>4771</v>
      </c>
      <c r="O605" t="s">
        <v>4772</v>
      </c>
      <c r="P605" t="s">
        <v>2401</v>
      </c>
      <c r="Q605" t="s">
        <v>2401</v>
      </c>
      <c r="R605" t="s">
        <v>2401</v>
      </c>
      <c r="S605" t="s">
        <v>2401</v>
      </c>
    </row>
    <row r="606" spans="1:19">
      <c r="A606" t="s">
        <v>4773</v>
      </c>
      <c r="B606" t="s">
        <v>4774</v>
      </c>
      <c r="C606" t="s">
        <v>2564</v>
      </c>
      <c r="D606" t="s">
        <v>4775</v>
      </c>
      <c r="E606" t="s">
        <v>2811</v>
      </c>
      <c r="F606" t="s">
        <v>4776</v>
      </c>
      <c r="G606" t="s">
        <v>2811</v>
      </c>
      <c r="H606" t="s">
        <v>4777</v>
      </c>
      <c r="I606" t="s">
        <v>2401</v>
      </c>
      <c r="J606" t="s">
        <v>4778</v>
      </c>
      <c r="K606" t="s">
        <v>2571</v>
      </c>
      <c r="L606" t="s">
        <v>2538</v>
      </c>
      <c r="M606" s="14">
        <v>45267.468055555553</v>
      </c>
      <c r="N606" t="s">
        <v>4779</v>
      </c>
      <c r="O606" t="s">
        <v>4780</v>
      </c>
      <c r="P606" t="s">
        <v>2401</v>
      </c>
      <c r="Q606" t="s">
        <v>2401</v>
      </c>
      <c r="R606" t="s">
        <v>2401</v>
      </c>
      <c r="S606" t="s">
        <v>2401</v>
      </c>
    </row>
    <row r="607" spans="1:19">
      <c r="A607" t="s">
        <v>4781</v>
      </c>
      <c r="B607" t="s">
        <v>4782</v>
      </c>
      <c r="C607" t="s">
        <v>2401</v>
      </c>
      <c r="D607" t="s">
        <v>2401</v>
      </c>
      <c r="E607" t="s">
        <v>2401</v>
      </c>
      <c r="F607" t="s">
        <v>2401</v>
      </c>
      <c r="G607" t="s">
        <v>2401</v>
      </c>
      <c r="H607" t="s">
        <v>2401</v>
      </c>
      <c r="I607" t="s">
        <v>61</v>
      </c>
      <c r="J607" t="s">
        <v>4783</v>
      </c>
      <c r="K607" t="s">
        <v>2401</v>
      </c>
      <c r="L607" t="s">
        <v>2401</v>
      </c>
      <c r="M607" s="14">
        <v>45399.554861111108</v>
      </c>
      <c r="N607" t="s">
        <v>4784</v>
      </c>
      <c r="O607" t="s">
        <v>2401</v>
      </c>
      <c r="P607" t="s">
        <v>2401</v>
      </c>
      <c r="Q607" t="s">
        <v>2401</v>
      </c>
      <c r="R607" t="s">
        <v>2401</v>
      </c>
      <c r="S607" t="s">
        <v>2401</v>
      </c>
    </row>
    <row r="608" spans="1:19">
      <c r="A608" t="s">
        <v>4785</v>
      </c>
      <c r="B608" t="s">
        <v>4786</v>
      </c>
      <c r="C608" t="s">
        <v>2401</v>
      </c>
      <c r="D608" t="s">
        <v>2401</v>
      </c>
      <c r="E608" t="s">
        <v>2401</v>
      </c>
      <c r="F608" t="s">
        <v>2401</v>
      </c>
      <c r="G608" t="s">
        <v>2401</v>
      </c>
      <c r="H608" t="s">
        <v>2401</v>
      </c>
      <c r="I608" t="s">
        <v>2401</v>
      </c>
      <c r="J608" t="s">
        <v>2401</v>
      </c>
      <c r="K608" t="s">
        <v>2438</v>
      </c>
      <c r="L608" t="s">
        <v>2401</v>
      </c>
      <c r="M608" s="14">
        <v>45390.607638888891</v>
      </c>
      <c r="N608" t="s">
        <v>2401</v>
      </c>
      <c r="O608" t="s">
        <v>4787</v>
      </c>
      <c r="P608" t="s">
        <v>2401</v>
      </c>
      <c r="Q608" t="s">
        <v>2401</v>
      </c>
      <c r="R608" t="s">
        <v>2401</v>
      </c>
      <c r="S608" t="s">
        <v>2401</v>
      </c>
    </row>
    <row r="609" spans="1:19">
      <c r="A609" t="s">
        <v>4788</v>
      </c>
      <c r="B609" t="s">
        <v>4789</v>
      </c>
      <c r="C609" t="s">
        <v>2401</v>
      </c>
      <c r="D609" t="s">
        <v>2401</v>
      </c>
      <c r="E609" t="s">
        <v>2401</v>
      </c>
      <c r="F609" t="s">
        <v>2401</v>
      </c>
      <c r="G609" t="s">
        <v>2401</v>
      </c>
      <c r="H609" t="s">
        <v>2401</v>
      </c>
      <c r="I609" t="s">
        <v>2401</v>
      </c>
      <c r="J609" t="s">
        <v>2401</v>
      </c>
      <c r="K609" t="s">
        <v>2401</v>
      </c>
      <c r="L609" t="s">
        <v>2401</v>
      </c>
      <c r="M609" s="14">
        <v>45399.554861111108</v>
      </c>
      <c r="N609" t="s">
        <v>2401</v>
      </c>
      <c r="O609" t="s">
        <v>2401</v>
      </c>
      <c r="P609" t="s">
        <v>2401</v>
      </c>
      <c r="Q609" t="s">
        <v>2401</v>
      </c>
      <c r="R609" t="s">
        <v>2401</v>
      </c>
      <c r="S609" t="s">
        <v>2401</v>
      </c>
    </row>
    <row r="610" spans="1:19">
      <c r="A610" t="s">
        <v>4790</v>
      </c>
      <c r="B610" t="s">
        <v>4791</v>
      </c>
      <c r="C610" t="s">
        <v>2401</v>
      </c>
      <c r="D610" t="s">
        <v>2401</v>
      </c>
      <c r="E610" t="s">
        <v>2401</v>
      </c>
      <c r="F610" t="s">
        <v>2401</v>
      </c>
      <c r="G610" t="s">
        <v>2401</v>
      </c>
      <c r="H610" t="s">
        <v>2401</v>
      </c>
      <c r="I610" t="s">
        <v>2401</v>
      </c>
      <c r="J610" t="s">
        <v>2401</v>
      </c>
      <c r="K610" t="s">
        <v>2401</v>
      </c>
      <c r="L610" t="s">
        <v>2401</v>
      </c>
      <c r="M610" s="14">
        <v>45390.607638888891</v>
      </c>
      <c r="N610" t="s">
        <v>2401</v>
      </c>
      <c r="O610" t="s">
        <v>2586</v>
      </c>
      <c r="P610" t="s">
        <v>2401</v>
      </c>
      <c r="Q610" t="s">
        <v>2401</v>
      </c>
      <c r="R610" t="s">
        <v>2401</v>
      </c>
      <c r="S610" t="s">
        <v>2401</v>
      </c>
    </row>
    <row r="611" spans="1:19">
      <c r="A611" t="s">
        <v>4792</v>
      </c>
      <c r="B611" t="s">
        <v>4793</v>
      </c>
      <c r="C611" t="s">
        <v>2401</v>
      </c>
      <c r="D611" t="s">
        <v>2401</v>
      </c>
      <c r="E611" t="s">
        <v>2401</v>
      </c>
      <c r="F611" t="s">
        <v>2401</v>
      </c>
      <c r="G611" t="s">
        <v>2401</v>
      </c>
      <c r="H611" t="s">
        <v>2401</v>
      </c>
      <c r="I611" t="s">
        <v>2401</v>
      </c>
      <c r="J611" t="s">
        <v>4794</v>
      </c>
      <c r="K611" t="s">
        <v>2427</v>
      </c>
      <c r="L611" t="s">
        <v>2401</v>
      </c>
      <c r="M611" s="14">
        <v>45534.874305555553</v>
      </c>
      <c r="N611" t="s">
        <v>4795</v>
      </c>
      <c r="O611" t="s">
        <v>2401</v>
      </c>
      <c r="P611" t="s">
        <v>2401</v>
      </c>
      <c r="Q611" t="s">
        <v>2401</v>
      </c>
      <c r="R611" t="s">
        <v>2401</v>
      </c>
      <c r="S611" t="s">
        <v>2401</v>
      </c>
    </row>
    <row r="612" spans="1:19">
      <c r="A612" t="s">
        <v>4796</v>
      </c>
      <c r="B612" t="s">
        <v>4797</v>
      </c>
      <c r="C612" t="s">
        <v>2401</v>
      </c>
      <c r="D612" t="s">
        <v>2401</v>
      </c>
      <c r="E612" t="s">
        <v>2401</v>
      </c>
      <c r="F612" t="s">
        <v>2401</v>
      </c>
      <c r="G612" t="s">
        <v>2401</v>
      </c>
      <c r="H612" t="s">
        <v>2401</v>
      </c>
      <c r="I612" t="s">
        <v>2401</v>
      </c>
      <c r="J612" t="s">
        <v>4797</v>
      </c>
      <c r="K612" t="s">
        <v>2401</v>
      </c>
      <c r="L612" t="s">
        <v>2401</v>
      </c>
      <c r="M612" s="14">
        <v>45565.69027777778</v>
      </c>
      <c r="N612" t="s">
        <v>2401</v>
      </c>
      <c r="O612" t="s">
        <v>2401</v>
      </c>
      <c r="P612" t="s">
        <v>2401</v>
      </c>
      <c r="Q612" t="s">
        <v>2401</v>
      </c>
      <c r="R612" t="s">
        <v>2401</v>
      </c>
      <c r="S612" t="s">
        <v>2401</v>
      </c>
    </row>
    <row r="613" spans="1:19">
      <c r="A613" t="s">
        <v>4798</v>
      </c>
      <c r="B613" t="s">
        <v>4799</v>
      </c>
      <c r="C613" t="s">
        <v>2401</v>
      </c>
      <c r="D613" t="s">
        <v>2401</v>
      </c>
      <c r="E613" t="s">
        <v>2401</v>
      </c>
      <c r="F613" t="s">
        <v>2401</v>
      </c>
      <c r="G613" t="s">
        <v>2401</v>
      </c>
      <c r="H613" t="s">
        <v>2401</v>
      </c>
      <c r="I613" t="s">
        <v>2401</v>
      </c>
      <c r="J613" t="s">
        <v>2401</v>
      </c>
      <c r="K613" t="s">
        <v>2401</v>
      </c>
      <c r="L613" t="s">
        <v>2401</v>
      </c>
      <c r="M613" s="14">
        <v>45399.554861111108</v>
      </c>
      <c r="N613" t="s">
        <v>2401</v>
      </c>
      <c r="O613" t="s">
        <v>2401</v>
      </c>
      <c r="P613" t="s">
        <v>2401</v>
      </c>
      <c r="Q613" t="s">
        <v>2401</v>
      </c>
      <c r="R613" t="s">
        <v>2401</v>
      </c>
      <c r="S613" t="s">
        <v>2401</v>
      </c>
    </row>
    <row r="614" spans="1:19">
      <c r="A614" t="s">
        <v>4800</v>
      </c>
      <c r="B614" t="s">
        <v>4801</v>
      </c>
      <c r="C614" t="s">
        <v>2401</v>
      </c>
      <c r="D614" t="s">
        <v>2401</v>
      </c>
      <c r="E614" t="s">
        <v>2401</v>
      </c>
      <c r="F614" t="s">
        <v>2401</v>
      </c>
      <c r="G614" t="s">
        <v>2401</v>
      </c>
      <c r="H614" t="s">
        <v>2401</v>
      </c>
      <c r="I614" t="s">
        <v>2401</v>
      </c>
      <c r="J614" t="s">
        <v>2401</v>
      </c>
      <c r="K614" t="s">
        <v>2401</v>
      </c>
      <c r="L614" t="s">
        <v>2401</v>
      </c>
      <c r="M614" s="14">
        <v>45399.554861111108</v>
      </c>
      <c r="N614" t="s">
        <v>2401</v>
      </c>
      <c r="O614" t="s">
        <v>2401</v>
      </c>
      <c r="P614" t="s">
        <v>2401</v>
      </c>
      <c r="Q614" t="s">
        <v>2401</v>
      </c>
      <c r="R614" t="s">
        <v>2401</v>
      </c>
      <c r="S614" t="s">
        <v>2401</v>
      </c>
    </row>
    <row r="615" spans="1:19">
      <c r="A615" t="s">
        <v>4802</v>
      </c>
      <c r="B615" t="s">
        <v>4803</v>
      </c>
      <c r="C615" t="s">
        <v>2401</v>
      </c>
      <c r="D615" t="s">
        <v>2401</v>
      </c>
      <c r="E615" t="s">
        <v>2401</v>
      </c>
      <c r="F615" t="s">
        <v>2401</v>
      </c>
      <c r="G615" t="s">
        <v>2401</v>
      </c>
      <c r="H615" t="s">
        <v>2401</v>
      </c>
      <c r="I615" t="s">
        <v>2401</v>
      </c>
      <c r="J615" t="s">
        <v>4804</v>
      </c>
      <c r="K615" t="s">
        <v>4805</v>
      </c>
      <c r="L615" t="s">
        <v>2401</v>
      </c>
      <c r="M615" s="14">
        <v>45399.554861111108</v>
      </c>
      <c r="N615" t="s">
        <v>4806</v>
      </c>
      <c r="O615" t="s">
        <v>4807</v>
      </c>
      <c r="P615" t="s">
        <v>2401</v>
      </c>
      <c r="Q615" t="s">
        <v>2401</v>
      </c>
      <c r="R615" t="s">
        <v>2401</v>
      </c>
      <c r="S615" t="s">
        <v>2401</v>
      </c>
    </row>
    <row r="616" spans="1:19">
      <c r="A616" t="s">
        <v>4808</v>
      </c>
      <c r="B616" t="s">
        <v>4809</v>
      </c>
      <c r="C616" t="s">
        <v>2401</v>
      </c>
      <c r="D616" t="s">
        <v>2401</v>
      </c>
      <c r="E616" t="s">
        <v>2401</v>
      </c>
      <c r="F616" t="s">
        <v>2401</v>
      </c>
      <c r="G616" t="s">
        <v>2401</v>
      </c>
      <c r="H616" t="s">
        <v>2401</v>
      </c>
      <c r="I616" t="s">
        <v>2401</v>
      </c>
      <c r="J616" t="s">
        <v>2401</v>
      </c>
      <c r="K616" t="s">
        <v>2401</v>
      </c>
      <c r="L616" t="s">
        <v>2401</v>
      </c>
      <c r="M616" s="14">
        <v>45399.554861111108</v>
      </c>
      <c r="N616" t="s">
        <v>2401</v>
      </c>
      <c r="O616" t="s">
        <v>2401</v>
      </c>
      <c r="P616" t="s">
        <v>2401</v>
      </c>
      <c r="Q616" t="s">
        <v>2401</v>
      </c>
      <c r="R616" t="s">
        <v>2401</v>
      </c>
      <c r="S616" t="s">
        <v>2401</v>
      </c>
    </row>
    <row r="617" spans="1:19">
      <c r="A617" t="s">
        <v>4810</v>
      </c>
      <c r="B617" t="s">
        <v>4811</v>
      </c>
      <c r="C617" t="s">
        <v>2564</v>
      </c>
      <c r="D617" t="s">
        <v>4775</v>
      </c>
      <c r="E617" t="s">
        <v>2401</v>
      </c>
      <c r="F617" t="s">
        <v>2401</v>
      </c>
      <c r="G617" t="s">
        <v>2401</v>
      </c>
      <c r="H617" t="s">
        <v>2401</v>
      </c>
      <c r="I617" t="s">
        <v>2401</v>
      </c>
      <c r="J617" t="s">
        <v>4812</v>
      </c>
      <c r="K617" t="s">
        <v>2401</v>
      </c>
      <c r="L617" t="s">
        <v>2401</v>
      </c>
      <c r="M617" s="14">
        <v>45408.647222222222</v>
      </c>
      <c r="N617" t="s">
        <v>4813</v>
      </c>
      <c r="O617" t="s">
        <v>2401</v>
      </c>
      <c r="P617" t="s">
        <v>2401</v>
      </c>
      <c r="Q617" t="s">
        <v>2401</v>
      </c>
      <c r="R617" t="s">
        <v>2401</v>
      </c>
      <c r="S617" t="s">
        <v>2401</v>
      </c>
    </row>
    <row r="618" spans="1:19">
      <c r="A618" t="s">
        <v>4814</v>
      </c>
      <c r="B618" t="s">
        <v>4815</v>
      </c>
      <c r="C618" t="s">
        <v>2401</v>
      </c>
      <c r="D618" t="s">
        <v>2401</v>
      </c>
      <c r="E618" t="s">
        <v>2401</v>
      </c>
      <c r="F618" t="s">
        <v>2401</v>
      </c>
      <c r="G618" t="s">
        <v>2401</v>
      </c>
      <c r="H618" t="s">
        <v>2401</v>
      </c>
      <c r="I618" t="s">
        <v>2401</v>
      </c>
      <c r="J618" t="s">
        <v>4816</v>
      </c>
      <c r="K618" t="s">
        <v>2406</v>
      </c>
      <c r="L618" t="s">
        <v>2401</v>
      </c>
      <c r="M618" s="14">
        <v>45534.874305555553</v>
      </c>
      <c r="N618" t="s">
        <v>4817</v>
      </c>
      <c r="O618" t="s">
        <v>2401</v>
      </c>
      <c r="P618" t="s">
        <v>2401</v>
      </c>
      <c r="Q618" t="s">
        <v>2401</v>
      </c>
      <c r="R618" t="s">
        <v>2401</v>
      </c>
      <c r="S618" t="s">
        <v>2401</v>
      </c>
    </row>
    <row r="619" spans="1:19">
      <c r="A619" t="s">
        <v>4818</v>
      </c>
      <c r="B619" t="s">
        <v>4819</v>
      </c>
      <c r="C619" t="s">
        <v>2401</v>
      </c>
      <c r="D619" t="s">
        <v>2401</v>
      </c>
      <c r="E619" t="s">
        <v>2401</v>
      </c>
      <c r="F619" t="s">
        <v>2401</v>
      </c>
      <c r="G619" t="s">
        <v>2401</v>
      </c>
      <c r="H619" t="s">
        <v>2401</v>
      </c>
      <c r="I619" t="s">
        <v>61</v>
      </c>
      <c r="J619" t="s">
        <v>4820</v>
      </c>
      <c r="K619" t="s">
        <v>4821</v>
      </c>
      <c r="L619" t="s">
        <v>2401</v>
      </c>
      <c r="M619" s="14">
        <v>45399.554861111108</v>
      </c>
      <c r="N619" t="s">
        <v>4822</v>
      </c>
      <c r="O619" t="s">
        <v>4823</v>
      </c>
      <c r="P619" t="s">
        <v>2401</v>
      </c>
      <c r="Q619" t="s">
        <v>2401</v>
      </c>
      <c r="R619" t="s">
        <v>2401</v>
      </c>
      <c r="S619" t="s">
        <v>2401</v>
      </c>
    </row>
    <row r="620" spans="1:19">
      <c r="A620" t="s">
        <v>4824</v>
      </c>
      <c r="B620" t="s">
        <v>4819</v>
      </c>
      <c r="C620" t="s">
        <v>2401</v>
      </c>
      <c r="D620" t="s">
        <v>2401</v>
      </c>
      <c r="E620" t="s">
        <v>2401</v>
      </c>
      <c r="F620" t="s">
        <v>2401</v>
      </c>
      <c r="G620" t="s">
        <v>2401</v>
      </c>
      <c r="H620" t="s">
        <v>2401</v>
      </c>
      <c r="I620" t="s">
        <v>2401</v>
      </c>
      <c r="J620" t="s">
        <v>2401</v>
      </c>
      <c r="K620" t="s">
        <v>2460</v>
      </c>
      <c r="L620" t="s">
        <v>2401</v>
      </c>
      <c r="M620" s="14">
        <v>45390.607638888891</v>
      </c>
      <c r="N620" t="s">
        <v>2401</v>
      </c>
      <c r="O620" t="s">
        <v>4825</v>
      </c>
      <c r="P620" t="s">
        <v>2401</v>
      </c>
      <c r="Q620" t="s">
        <v>2401</v>
      </c>
      <c r="R620" t="s">
        <v>2401</v>
      </c>
      <c r="S620" t="s">
        <v>2401</v>
      </c>
    </row>
    <row r="621" spans="1:19">
      <c r="A621" t="s">
        <v>4826</v>
      </c>
      <c r="B621" t="s">
        <v>4827</v>
      </c>
      <c r="C621" t="s">
        <v>2401</v>
      </c>
      <c r="D621" t="s">
        <v>2401</v>
      </c>
      <c r="E621" t="s">
        <v>2401</v>
      </c>
      <c r="F621" t="s">
        <v>2401</v>
      </c>
      <c r="G621" t="s">
        <v>2401</v>
      </c>
      <c r="H621" t="s">
        <v>2401</v>
      </c>
      <c r="I621" t="s">
        <v>2401</v>
      </c>
      <c r="J621" t="s">
        <v>4828</v>
      </c>
      <c r="K621" t="s">
        <v>4829</v>
      </c>
      <c r="L621" t="s">
        <v>2401</v>
      </c>
      <c r="M621" s="14">
        <v>45399.554861111108</v>
      </c>
      <c r="N621" t="s">
        <v>4830</v>
      </c>
      <c r="O621" t="s">
        <v>2401</v>
      </c>
      <c r="P621" t="s">
        <v>2401</v>
      </c>
      <c r="Q621" t="s">
        <v>2401</v>
      </c>
      <c r="R621" t="s">
        <v>2401</v>
      </c>
      <c r="S621" t="s">
        <v>2401</v>
      </c>
    </row>
    <row r="622" spans="1:19">
      <c r="A622" t="s">
        <v>4831</v>
      </c>
      <c r="B622" t="s">
        <v>4832</v>
      </c>
      <c r="C622" t="s">
        <v>2401</v>
      </c>
      <c r="D622" t="s">
        <v>2401</v>
      </c>
      <c r="E622" t="s">
        <v>2401</v>
      </c>
      <c r="F622" t="s">
        <v>2401</v>
      </c>
      <c r="G622" t="s">
        <v>2401</v>
      </c>
      <c r="H622" t="s">
        <v>2401</v>
      </c>
      <c r="I622" t="s">
        <v>2401</v>
      </c>
      <c r="J622" t="s">
        <v>4833</v>
      </c>
      <c r="K622" t="s">
        <v>3592</v>
      </c>
      <c r="L622" t="s">
        <v>2401</v>
      </c>
      <c r="M622" s="14">
        <v>45565.565972222219</v>
      </c>
      <c r="N622" t="s">
        <v>4834</v>
      </c>
      <c r="O622" t="s">
        <v>2401</v>
      </c>
      <c r="P622" t="s">
        <v>2401</v>
      </c>
      <c r="Q622" t="s">
        <v>2401</v>
      </c>
      <c r="R622" t="s">
        <v>2401</v>
      </c>
      <c r="S622" t="s">
        <v>2401</v>
      </c>
    </row>
    <row r="623" spans="1:19">
      <c r="A623" t="s">
        <v>4835</v>
      </c>
      <c r="B623" t="s">
        <v>4836</v>
      </c>
      <c r="C623" t="s">
        <v>2401</v>
      </c>
      <c r="D623" t="s">
        <v>2401</v>
      </c>
      <c r="E623" t="s">
        <v>2401</v>
      </c>
      <c r="F623" t="s">
        <v>2401</v>
      </c>
      <c r="G623" t="s">
        <v>2401</v>
      </c>
      <c r="H623" t="s">
        <v>2401</v>
      </c>
      <c r="I623" t="s">
        <v>2401</v>
      </c>
      <c r="J623" t="s">
        <v>2401</v>
      </c>
      <c r="K623" t="s">
        <v>2438</v>
      </c>
      <c r="L623" t="s">
        <v>2401</v>
      </c>
      <c r="M623" s="14">
        <v>45390.607638888891</v>
      </c>
      <c r="N623" t="s">
        <v>2401</v>
      </c>
      <c r="O623" t="s">
        <v>4837</v>
      </c>
      <c r="P623" t="s">
        <v>2401</v>
      </c>
      <c r="Q623" t="s">
        <v>2401</v>
      </c>
      <c r="R623" t="s">
        <v>2401</v>
      </c>
      <c r="S623" t="s">
        <v>2401</v>
      </c>
    </row>
    <row r="624" spans="1:19">
      <c r="A624" t="s">
        <v>4838</v>
      </c>
      <c r="B624" t="s">
        <v>4839</v>
      </c>
      <c r="C624" t="s">
        <v>2401</v>
      </c>
      <c r="D624" t="s">
        <v>2401</v>
      </c>
      <c r="E624" t="s">
        <v>2401</v>
      </c>
      <c r="F624" t="s">
        <v>2401</v>
      </c>
      <c r="G624" t="s">
        <v>2401</v>
      </c>
      <c r="H624" t="s">
        <v>2401</v>
      </c>
      <c r="I624" t="s">
        <v>2401</v>
      </c>
      <c r="J624" t="s">
        <v>4840</v>
      </c>
      <c r="K624" t="s">
        <v>2635</v>
      </c>
      <c r="L624" t="s">
        <v>2401</v>
      </c>
      <c r="M624" s="14">
        <v>45399.554861111108</v>
      </c>
      <c r="N624" t="s">
        <v>4841</v>
      </c>
      <c r="O624" t="s">
        <v>4842</v>
      </c>
      <c r="P624" t="s">
        <v>2401</v>
      </c>
      <c r="Q624" t="s">
        <v>2401</v>
      </c>
      <c r="R624" t="s">
        <v>2401</v>
      </c>
      <c r="S624" t="s">
        <v>2401</v>
      </c>
    </row>
    <row r="625" spans="1:19">
      <c r="A625" t="s">
        <v>4843</v>
      </c>
      <c r="B625" t="s">
        <v>485</v>
      </c>
      <c r="C625" t="s">
        <v>2401</v>
      </c>
      <c r="D625" t="s">
        <v>2401</v>
      </c>
      <c r="E625" t="s">
        <v>2401</v>
      </c>
      <c r="F625" t="s">
        <v>2401</v>
      </c>
      <c r="G625" t="s">
        <v>2401</v>
      </c>
      <c r="H625" t="s">
        <v>2401</v>
      </c>
      <c r="I625" t="s">
        <v>2401</v>
      </c>
      <c r="J625" t="s">
        <v>2401</v>
      </c>
      <c r="K625" t="s">
        <v>2448</v>
      </c>
      <c r="L625" t="s">
        <v>2401</v>
      </c>
      <c r="M625" s="14">
        <v>45390.607638888891</v>
      </c>
      <c r="N625" t="s">
        <v>2401</v>
      </c>
      <c r="O625" t="s">
        <v>4844</v>
      </c>
      <c r="P625" t="s">
        <v>2401</v>
      </c>
      <c r="Q625" t="s">
        <v>2401</v>
      </c>
      <c r="R625" t="s">
        <v>2401</v>
      </c>
      <c r="S625" t="s">
        <v>2401</v>
      </c>
    </row>
    <row r="626" spans="1:19">
      <c r="A626" t="s">
        <v>4845</v>
      </c>
      <c r="B626" t="s">
        <v>489</v>
      </c>
      <c r="C626" t="s">
        <v>2401</v>
      </c>
      <c r="D626" t="s">
        <v>2401</v>
      </c>
      <c r="E626" t="s">
        <v>2401</v>
      </c>
      <c r="F626" t="s">
        <v>2401</v>
      </c>
      <c r="G626" t="s">
        <v>2401</v>
      </c>
      <c r="H626" t="s">
        <v>2401</v>
      </c>
      <c r="I626" t="s">
        <v>2401</v>
      </c>
      <c r="J626" t="s">
        <v>4846</v>
      </c>
      <c r="K626" t="s">
        <v>2448</v>
      </c>
      <c r="L626" t="s">
        <v>2401</v>
      </c>
      <c r="M626" s="14">
        <v>45509.718055555553</v>
      </c>
      <c r="N626" t="s">
        <v>4847</v>
      </c>
      <c r="O626" t="s">
        <v>4844</v>
      </c>
      <c r="P626" t="s">
        <v>2401</v>
      </c>
      <c r="Q626" t="s">
        <v>2401</v>
      </c>
      <c r="R626" t="s">
        <v>2401</v>
      </c>
      <c r="S626" t="s">
        <v>2401</v>
      </c>
    </row>
    <row r="627" spans="1:19">
      <c r="A627" t="s">
        <v>4848</v>
      </c>
      <c r="B627" t="s">
        <v>4849</v>
      </c>
      <c r="C627" t="s">
        <v>2401</v>
      </c>
      <c r="D627" t="s">
        <v>2401</v>
      </c>
      <c r="E627" t="s">
        <v>2401</v>
      </c>
      <c r="F627" t="s">
        <v>2401</v>
      </c>
      <c r="G627" t="s">
        <v>2401</v>
      </c>
      <c r="H627" t="s">
        <v>2401</v>
      </c>
      <c r="I627" t="s">
        <v>2401</v>
      </c>
      <c r="J627" t="s">
        <v>2401</v>
      </c>
      <c r="K627" t="s">
        <v>2401</v>
      </c>
      <c r="L627" t="s">
        <v>2401</v>
      </c>
      <c r="M627" s="14">
        <v>45399.554861111108</v>
      </c>
      <c r="N627" t="s">
        <v>2401</v>
      </c>
      <c r="O627" t="s">
        <v>2401</v>
      </c>
      <c r="P627" t="s">
        <v>2401</v>
      </c>
      <c r="Q627" t="s">
        <v>2401</v>
      </c>
      <c r="R627" t="s">
        <v>2401</v>
      </c>
      <c r="S627" t="s">
        <v>2401</v>
      </c>
    </row>
    <row r="628" spans="1:19">
      <c r="A628" t="s">
        <v>4850</v>
      </c>
      <c r="B628" t="s">
        <v>4851</v>
      </c>
      <c r="C628" t="s">
        <v>2401</v>
      </c>
      <c r="D628" t="s">
        <v>2401</v>
      </c>
      <c r="E628" t="s">
        <v>2401</v>
      </c>
      <c r="F628" t="s">
        <v>2401</v>
      </c>
      <c r="G628" t="s">
        <v>2401</v>
      </c>
      <c r="H628" t="s">
        <v>2401</v>
      </c>
      <c r="I628" t="s">
        <v>2401</v>
      </c>
      <c r="J628" t="s">
        <v>2401</v>
      </c>
      <c r="K628" t="s">
        <v>2401</v>
      </c>
      <c r="L628" t="s">
        <v>2401</v>
      </c>
      <c r="M628" s="14">
        <v>45399.554861111108</v>
      </c>
      <c r="N628" t="s">
        <v>2401</v>
      </c>
      <c r="O628" t="s">
        <v>2401</v>
      </c>
      <c r="P628" t="s">
        <v>2401</v>
      </c>
      <c r="Q628" t="s">
        <v>2401</v>
      </c>
      <c r="R628" t="s">
        <v>2401</v>
      </c>
      <c r="S628" t="s">
        <v>2401</v>
      </c>
    </row>
    <row r="629" spans="1:19">
      <c r="A629" t="s">
        <v>4852</v>
      </c>
      <c r="B629" t="s">
        <v>4853</v>
      </c>
      <c r="C629" t="s">
        <v>2401</v>
      </c>
      <c r="D629" t="s">
        <v>2401</v>
      </c>
      <c r="E629" t="s">
        <v>2401</v>
      </c>
      <c r="F629" t="s">
        <v>2401</v>
      </c>
      <c r="G629" t="s">
        <v>2401</v>
      </c>
      <c r="H629" t="s">
        <v>2401</v>
      </c>
      <c r="I629" t="s">
        <v>2401</v>
      </c>
      <c r="J629" t="s">
        <v>4854</v>
      </c>
      <c r="K629" t="s">
        <v>3071</v>
      </c>
      <c r="L629" t="s">
        <v>2401</v>
      </c>
      <c r="M629" s="14">
        <v>45565.676388888889</v>
      </c>
      <c r="N629" t="s">
        <v>4855</v>
      </c>
      <c r="O629" t="s">
        <v>4856</v>
      </c>
      <c r="P629" t="s">
        <v>2401</v>
      </c>
      <c r="Q629" t="s">
        <v>2401</v>
      </c>
      <c r="R629" t="s">
        <v>2401</v>
      </c>
      <c r="S629" t="s">
        <v>2401</v>
      </c>
    </row>
    <row r="630" spans="1:19">
      <c r="A630" t="s">
        <v>4857</v>
      </c>
      <c r="B630" t="s">
        <v>4858</v>
      </c>
      <c r="C630" t="s">
        <v>2401</v>
      </c>
      <c r="D630" t="s">
        <v>2401</v>
      </c>
      <c r="E630" t="s">
        <v>2401</v>
      </c>
      <c r="F630" t="s">
        <v>2401</v>
      </c>
      <c r="G630" t="s">
        <v>2401</v>
      </c>
      <c r="H630" t="s">
        <v>2401</v>
      </c>
      <c r="I630" t="s">
        <v>2401</v>
      </c>
      <c r="J630" t="s">
        <v>4859</v>
      </c>
      <c r="K630" t="s">
        <v>2406</v>
      </c>
      <c r="L630" t="s">
        <v>2401</v>
      </c>
      <c r="M630" s="14">
        <v>45534.874305555553</v>
      </c>
      <c r="N630" t="s">
        <v>4860</v>
      </c>
      <c r="O630" t="s">
        <v>2401</v>
      </c>
      <c r="P630" t="s">
        <v>2401</v>
      </c>
      <c r="Q630" t="s">
        <v>2401</v>
      </c>
      <c r="R630" t="s">
        <v>2401</v>
      </c>
      <c r="S630" t="s">
        <v>2401</v>
      </c>
    </row>
    <row r="631" spans="1:19">
      <c r="A631" t="s">
        <v>4861</v>
      </c>
      <c r="B631" t="s">
        <v>4862</v>
      </c>
      <c r="C631" t="s">
        <v>2401</v>
      </c>
      <c r="D631" t="s">
        <v>2401</v>
      </c>
      <c r="E631" t="s">
        <v>2401</v>
      </c>
      <c r="F631" t="s">
        <v>2401</v>
      </c>
      <c r="G631" t="s">
        <v>2401</v>
      </c>
      <c r="H631" t="s">
        <v>2401</v>
      </c>
      <c r="I631" t="s">
        <v>2401</v>
      </c>
      <c r="J631" t="s">
        <v>4863</v>
      </c>
      <c r="K631" t="s">
        <v>2433</v>
      </c>
      <c r="L631" t="s">
        <v>2401</v>
      </c>
      <c r="M631" s="14">
        <v>45565.699305555558</v>
      </c>
      <c r="N631" t="s">
        <v>4864</v>
      </c>
      <c r="O631" t="s">
        <v>4865</v>
      </c>
      <c r="P631" t="s">
        <v>2401</v>
      </c>
      <c r="Q631" t="s">
        <v>2401</v>
      </c>
      <c r="R631" t="s">
        <v>2401</v>
      </c>
      <c r="S631" t="s">
        <v>2401</v>
      </c>
    </row>
    <row r="632" spans="1:19">
      <c r="A632" t="s">
        <v>4866</v>
      </c>
      <c r="B632" t="s">
        <v>4867</v>
      </c>
      <c r="C632" t="s">
        <v>2401</v>
      </c>
      <c r="D632" t="s">
        <v>2401</v>
      </c>
      <c r="E632" t="s">
        <v>2401</v>
      </c>
      <c r="F632" t="s">
        <v>2401</v>
      </c>
      <c r="G632" t="s">
        <v>2401</v>
      </c>
      <c r="H632" t="s">
        <v>2401</v>
      </c>
      <c r="I632" t="s">
        <v>2401</v>
      </c>
      <c r="J632" t="s">
        <v>4868</v>
      </c>
      <c r="K632" t="s">
        <v>2499</v>
      </c>
      <c r="L632" t="s">
        <v>2401</v>
      </c>
      <c r="M632" s="14">
        <v>45565.688888888886</v>
      </c>
      <c r="N632" t="s">
        <v>4869</v>
      </c>
      <c r="O632" t="s">
        <v>4870</v>
      </c>
      <c r="P632" t="s">
        <v>2401</v>
      </c>
      <c r="Q632" t="s">
        <v>2401</v>
      </c>
      <c r="R632" t="s">
        <v>2401</v>
      </c>
      <c r="S632" t="s">
        <v>2401</v>
      </c>
    </row>
    <row r="633" spans="1:19">
      <c r="A633" t="s">
        <v>4871</v>
      </c>
      <c r="B633" t="s">
        <v>4872</v>
      </c>
      <c r="C633" t="s">
        <v>2401</v>
      </c>
      <c r="D633" t="s">
        <v>2401</v>
      </c>
      <c r="E633" t="s">
        <v>2401</v>
      </c>
      <c r="F633" t="s">
        <v>2401</v>
      </c>
      <c r="G633" t="s">
        <v>2401</v>
      </c>
      <c r="H633" t="s">
        <v>2401</v>
      </c>
      <c r="I633" t="s">
        <v>2401</v>
      </c>
      <c r="J633" t="s">
        <v>4873</v>
      </c>
      <c r="K633" t="s">
        <v>2492</v>
      </c>
      <c r="L633" t="s">
        <v>2401</v>
      </c>
      <c r="M633" s="14">
        <v>45565.688888888886</v>
      </c>
      <c r="N633" t="s">
        <v>4874</v>
      </c>
      <c r="O633" t="s">
        <v>4870</v>
      </c>
      <c r="P633" t="s">
        <v>2401</v>
      </c>
      <c r="Q633" t="s">
        <v>2401</v>
      </c>
      <c r="R633" t="s">
        <v>2401</v>
      </c>
      <c r="S633" t="s">
        <v>2401</v>
      </c>
    </row>
    <row r="634" spans="1:19">
      <c r="A634" t="s">
        <v>4875</v>
      </c>
      <c r="B634" t="s">
        <v>4876</v>
      </c>
      <c r="C634" t="s">
        <v>2401</v>
      </c>
      <c r="D634" t="s">
        <v>2401</v>
      </c>
      <c r="E634" t="s">
        <v>2401</v>
      </c>
      <c r="F634" t="s">
        <v>2401</v>
      </c>
      <c r="G634" t="s">
        <v>2401</v>
      </c>
      <c r="H634" t="s">
        <v>2401</v>
      </c>
      <c r="I634" t="s">
        <v>2401</v>
      </c>
      <c r="J634" t="s">
        <v>4877</v>
      </c>
      <c r="K634" t="s">
        <v>3071</v>
      </c>
      <c r="L634" t="s">
        <v>2401</v>
      </c>
      <c r="M634" s="14">
        <v>45565.656944444447</v>
      </c>
      <c r="N634" t="s">
        <v>4878</v>
      </c>
      <c r="O634" t="s">
        <v>4879</v>
      </c>
      <c r="P634" t="s">
        <v>2401</v>
      </c>
      <c r="Q634" t="s">
        <v>2401</v>
      </c>
      <c r="R634" t="s">
        <v>2401</v>
      </c>
      <c r="S634" t="s">
        <v>2401</v>
      </c>
    </row>
    <row r="635" spans="1:19">
      <c r="A635" t="s">
        <v>4880</v>
      </c>
      <c r="B635" t="s">
        <v>4881</v>
      </c>
      <c r="C635" t="s">
        <v>2401</v>
      </c>
      <c r="D635" t="s">
        <v>2401</v>
      </c>
      <c r="E635" t="s">
        <v>2401</v>
      </c>
      <c r="F635" t="s">
        <v>2401</v>
      </c>
      <c r="G635" t="s">
        <v>2401</v>
      </c>
      <c r="H635" t="s">
        <v>2401</v>
      </c>
      <c r="I635" t="s">
        <v>61</v>
      </c>
      <c r="J635" t="s">
        <v>4882</v>
      </c>
      <c r="K635" t="s">
        <v>2448</v>
      </c>
      <c r="L635" t="s">
        <v>2401</v>
      </c>
      <c r="M635" s="14">
        <v>45399.554861111108</v>
      </c>
      <c r="N635" t="s">
        <v>4883</v>
      </c>
      <c r="O635" t="s">
        <v>4884</v>
      </c>
      <c r="P635" t="s">
        <v>2401</v>
      </c>
      <c r="Q635" t="s">
        <v>2401</v>
      </c>
      <c r="R635" t="s">
        <v>2401</v>
      </c>
      <c r="S635" t="s">
        <v>2401</v>
      </c>
    </row>
    <row r="636" spans="1:19">
      <c r="A636" t="s">
        <v>4885</v>
      </c>
      <c r="B636" t="s">
        <v>4886</v>
      </c>
      <c r="C636" t="s">
        <v>2401</v>
      </c>
      <c r="D636" t="s">
        <v>2401</v>
      </c>
      <c r="E636" t="s">
        <v>2401</v>
      </c>
      <c r="F636" t="s">
        <v>2401</v>
      </c>
      <c r="G636" t="s">
        <v>2401</v>
      </c>
      <c r="H636" t="s">
        <v>2401</v>
      </c>
      <c r="I636" t="s">
        <v>2401</v>
      </c>
      <c r="J636" t="s">
        <v>4887</v>
      </c>
      <c r="K636" t="s">
        <v>2720</v>
      </c>
      <c r="L636" t="s">
        <v>2401</v>
      </c>
      <c r="M636" s="14">
        <v>45565.678472222222</v>
      </c>
      <c r="N636" t="s">
        <v>4888</v>
      </c>
      <c r="O636" t="s">
        <v>4889</v>
      </c>
      <c r="P636" t="s">
        <v>2401</v>
      </c>
      <c r="Q636" t="s">
        <v>2401</v>
      </c>
      <c r="R636" t="s">
        <v>2401</v>
      </c>
      <c r="S636" t="s">
        <v>2401</v>
      </c>
    </row>
    <row r="637" spans="1:19">
      <c r="A637" t="s">
        <v>4890</v>
      </c>
      <c r="B637" t="s">
        <v>4891</v>
      </c>
      <c r="C637" t="s">
        <v>2401</v>
      </c>
      <c r="D637" t="s">
        <v>2401</v>
      </c>
      <c r="E637" t="s">
        <v>2401</v>
      </c>
      <c r="F637" t="s">
        <v>2401</v>
      </c>
      <c r="G637" t="s">
        <v>2401</v>
      </c>
      <c r="H637" t="s">
        <v>2401</v>
      </c>
      <c r="I637" t="s">
        <v>2401</v>
      </c>
      <c r="J637" t="s">
        <v>4892</v>
      </c>
      <c r="K637" t="s">
        <v>2433</v>
      </c>
      <c r="L637" t="s">
        <v>2401</v>
      </c>
      <c r="M637" s="14">
        <v>45565.681944444441</v>
      </c>
      <c r="N637" t="s">
        <v>4893</v>
      </c>
      <c r="O637" t="s">
        <v>4894</v>
      </c>
      <c r="P637" t="s">
        <v>2401</v>
      </c>
      <c r="Q637" t="s">
        <v>2401</v>
      </c>
      <c r="R637" t="s">
        <v>2401</v>
      </c>
      <c r="S637" t="s">
        <v>2401</v>
      </c>
    </row>
    <row r="638" spans="1:19">
      <c r="A638" t="s">
        <v>4895</v>
      </c>
      <c r="B638" t="s">
        <v>1534</v>
      </c>
      <c r="C638" t="s">
        <v>2401</v>
      </c>
      <c r="D638" t="s">
        <v>2401</v>
      </c>
      <c r="E638" t="s">
        <v>2401</v>
      </c>
      <c r="F638" t="s">
        <v>2401</v>
      </c>
      <c r="G638" t="s">
        <v>2401</v>
      </c>
      <c r="H638" t="s">
        <v>2401</v>
      </c>
      <c r="I638" t="s">
        <v>2401</v>
      </c>
      <c r="J638" t="s">
        <v>4896</v>
      </c>
      <c r="K638" t="s">
        <v>2499</v>
      </c>
      <c r="L638" t="s">
        <v>2401</v>
      </c>
      <c r="M638" s="14">
        <v>45534.874305555553</v>
      </c>
      <c r="N638" t="s">
        <v>4897</v>
      </c>
      <c r="O638" t="s">
        <v>4898</v>
      </c>
      <c r="P638" t="s">
        <v>2401</v>
      </c>
      <c r="Q638" t="s">
        <v>2401</v>
      </c>
      <c r="R638" t="s">
        <v>2401</v>
      </c>
      <c r="S638" t="s">
        <v>2401</v>
      </c>
    </row>
    <row r="639" spans="1:19">
      <c r="A639" t="s">
        <v>4899</v>
      </c>
      <c r="B639" t="s">
        <v>1534</v>
      </c>
      <c r="C639" t="s">
        <v>2401</v>
      </c>
      <c r="D639" t="s">
        <v>2401</v>
      </c>
      <c r="E639" t="s">
        <v>2401</v>
      </c>
      <c r="F639" t="s">
        <v>2401</v>
      </c>
      <c r="G639" t="s">
        <v>2401</v>
      </c>
      <c r="H639" t="s">
        <v>2401</v>
      </c>
      <c r="I639" t="s">
        <v>61</v>
      </c>
      <c r="J639" t="s">
        <v>4900</v>
      </c>
      <c r="K639" t="s">
        <v>2499</v>
      </c>
      <c r="L639" t="s">
        <v>2401</v>
      </c>
      <c r="M639" s="14">
        <v>45399.554861111108</v>
      </c>
      <c r="N639" t="s">
        <v>4901</v>
      </c>
      <c r="O639" t="s">
        <v>4898</v>
      </c>
      <c r="P639" t="s">
        <v>2401</v>
      </c>
      <c r="Q639" t="s">
        <v>2401</v>
      </c>
      <c r="R639" t="s">
        <v>2401</v>
      </c>
      <c r="S639" t="s">
        <v>2401</v>
      </c>
    </row>
    <row r="640" spans="1:19">
      <c r="A640" t="s">
        <v>4902</v>
      </c>
      <c r="B640" t="s">
        <v>4903</v>
      </c>
      <c r="C640" t="s">
        <v>2401</v>
      </c>
      <c r="D640" t="s">
        <v>2401</v>
      </c>
      <c r="E640" t="s">
        <v>2401</v>
      </c>
      <c r="F640" t="s">
        <v>2401</v>
      </c>
      <c r="G640" t="s">
        <v>2401</v>
      </c>
      <c r="H640" t="s">
        <v>2401</v>
      </c>
      <c r="I640" t="s">
        <v>2401</v>
      </c>
      <c r="J640" t="s">
        <v>2401</v>
      </c>
      <c r="K640" t="s">
        <v>2499</v>
      </c>
      <c r="L640" t="s">
        <v>2401</v>
      </c>
      <c r="M640" s="14">
        <v>45390.607638888891</v>
      </c>
      <c r="N640" t="s">
        <v>2401</v>
      </c>
      <c r="O640" t="s">
        <v>4904</v>
      </c>
      <c r="P640" t="s">
        <v>2401</v>
      </c>
      <c r="Q640" t="s">
        <v>2401</v>
      </c>
      <c r="R640" t="s">
        <v>2401</v>
      </c>
      <c r="S640" t="s">
        <v>2401</v>
      </c>
    </row>
    <row r="641" spans="1:19">
      <c r="A641" t="s">
        <v>4905</v>
      </c>
      <c r="B641" t="s">
        <v>4906</v>
      </c>
      <c r="C641" t="s">
        <v>2401</v>
      </c>
      <c r="D641" t="s">
        <v>2401</v>
      </c>
      <c r="E641" t="s">
        <v>2401</v>
      </c>
      <c r="F641" t="s">
        <v>2401</v>
      </c>
      <c r="G641" t="s">
        <v>2401</v>
      </c>
      <c r="H641" t="s">
        <v>2401</v>
      </c>
      <c r="I641" t="s">
        <v>2401</v>
      </c>
      <c r="J641" t="s">
        <v>2401</v>
      </c>
      <c r="K641" t="s">
        <v>2599</v>
      </c>
      <c r="L641" t="s">
        <v>2401</v>
      </c>
      <c r="M641" s="14">
        <v>45390.607638888891</v>
      </c>
      <c r="N641" t="s">
        <v>2401</v>
      </c>
      <c r="O641" t="s">
        <v>4907</v>
      </c>
      <c r="P641" t="s">
        <v>2401</v>
      </c>
      <c r="Q641" t="s">
        <v>2401</v>
      </c>
      <c r="R641" t="s">
        <v>2401</v>
      </c>
      <c r="S641" t="s">
        <v>2401</v>
      </c>
    </row>
    <row r="642" spans="1:19">
      <c r="A642" t="s">
        <v>4908</v>
      </c>
      <c r="B642" t="s">
        <v>4909</v>
      </c>
      <c r="C642" t="s">
        <v>2401</v>
      </c>
      <c r="D642" t="s">
        <v>2401</v>
      </c>
      <c r="E642" t="s">
        <v>2401</v>
      </c>
      <c r="F642" t="s">
        <v>2401</v>
      </c>
      <c r="G642" t="s">
        <v>2401</v>
      </c>
      <c r="H642" t="s">
        <v>2401</v>
      </c>
      <c r="I642" t="s">
        <v>2401</v>
      </c>
      <c r="J642" t="s">
        <v>4909</v>
      </c>
      <c r="K642" t="s">
        <v>2401</v>
      </c>
      <c r="L642" t="s">
        <v>2401</v>
      </c>
      <c r="M642" s="14">
        <v>45565.558333333334</v>
      </c>
      <c r="N642" t="s">
        <v>2401</v>
      </c>
      <c r="O642" t="s">
        <v>2401</v>
      </c>
      <c r="P642" t="s">
        <v>2401</v>
      </c>
      <c r="Q642" t="s">
        <v>2401</v>
      </c>
      <c r="R642" t="s">
        <v>2401</v>
      </c>
      <c r="S642" t="s">
        <v>2401</v>
      </c>
    </row>
    <row r="643" spans="1:19">
      <c r="A643" t="s">
        <v>4910</v>
      </c>
      <c r="B643" t="s">
        <v>4911</v>
      </c>
      <c r="C643" t="s">
        <v>2401</v>
      </c>
      <c r="D643" t="s">
        <v>2401</v>
      </c>
      <c r="E643" t="s">
        <v>2401</v>
      </c>
      <c r="F643" t="s">
        <v>2401</v>
      </c>
      <c r="G643" t="s">
        <v>2401</v>
      </c>
      <c r="H643" t="s">
        <v>2401</v>
      </c>
      <c r="I643" t="s">
        <v>2401</v>
      </c>
      <c r="J643" t="s">
        <v>4912</v>
      </c>
      <c r="K643" t="s">
        <v>2433</v>
      </c>
      <c r="L643" t="s">
        <v>2401</v>
      </c>
      <c r="M643" s="14">
        <v>45565.645138888889</v>
      </c>
      <c r="N643" t="s">
        <v>4913</v>
      </c>
      <c r="O643" t="s">
        <v>2401</v>
      </c>
      <c r="P643" t="s">
        <v>2401</v>
      </c>
      <c r="Q643" t="s">
        <v>2401</v>
      </c>
      <c r="R643" t="s">
        <v>2401</v>
      </c>
      <c r="S643" t="s">
        <v>2401</v>
      </c>
    </row>
    <row r="644" spans="1:19">
      <c r="A644" t="s">
        <v>4914</v>
      </c>
      <c r="B644" t="s">
        <v>510</v>
      </c>
      <c r="C644" t="s">
        <v>2401</v>
      </c>
      <c r="D644" t="s">
        <v>2401</v>
      </c>
      <c r="E644" t="s">
        <v>2401</v>
      </c>
      <c r="F644" t="s">
        <v>2401</v>
      </c>
      <c r="G644" t="s">
        <v>2401</v>
      </c>
      <c r="H644" t="s">
        <v>2401</v>
      </c>
      <c r="I644" t="s">
        <v>2401</v>
      </c>
      <c r="J644" t="s">
        <v>4915</v>
      </c>
      <c r="K644" t="s">
        <v>2438</v>
      </c>
      <c r="L644" t="s">
        <v>2401</v>
      </c>
      <c r="M644" s="14">
        <v>45517.415972222225</v>
      </c>
      <c r="N644" t="s">
        <v>4916</v>
      </c>
      <c r="O644" t="s">
        <v>4917</v>
      </c>
      <c r="P644" t="s">
        <v>2401</v>
      </c>
      <c r="Q644" t="s">
        <v>2401</v>
      </c>
      <c r="R644" t="s">
        <v>2401</v>
      </c>
      <c r="S644" t="s">
        <v>2401</v>
      </c>
    </row>
    <row r="645" spans="1:19">
      <c r="A645" t="s">
        <v>4918</v>
      </c>
      <c r="B645" t="s">
        <v>510</v>
      </c>
      <c r="C645" t="s">
        <v>2401</v>
      </c>
      <c r="D645" t="s">
        <v>2401</v>
      </c>
      <c r="E645" t="s">
        <v>2401</v>
      </c>
      <c r="F645" t="s">
        <v>2401</v>
      </c>
      <c r="G645" t="s">
        <v>2401</v>
      </c>
      <c r="H645" t="s">
        <v>2401</v>
      </c>
      <c r="I645" t="s">
        <v>2401</v>
      </c>
      <c r="J645" t="s">
        <v>4919</v>
      </c>
      <c r="K645" t="s">
        <v>2460</v>
      </c>
      <c r="L645" t="s">
        <v>2549</v>
      </c>
      <c r="M645" s="14">
        <v>45490.522222222222</v>
      </c>
      <c r="N645" t="s">
        <v>4916</v>
      </c>
      <c r="O645" t="s">
        <v>4917</v>
      </c>
      <c r="P645" t="s">
        <v>2401</v>
      </c>
      <c r="Q645" t="s">
        <v>2401</v>
      </c>
      <c r="R645" t="s">
        <v>2401</v>
      </c>
      <c r="S645" t="s">
        <v>2401</v>
      </c>
    </row>
    <row r="646" spans="1:19">
      <c r="A646" t="s">
        <v>4920</v>
      </c>
      <c r="B646" t="s">
        <v>518</v>
      </c>
      <c r="C646" t="s">
        <v>2401</v>
      </c>
      <c r="D646" t="s">
        <v>2401</v>
      </c>
      <c r="E646" t="s">
        <v>2401</v>
      </c>
      <c r="F646" t="s">
        <v>2401</v>
      </c>
      <c r="G646" t="s">
        <v>2401</v>
      </c>
      <c r="H646" t="s">
        <v>2401</v>
      </c>
      <c r="I646" t="s">
        <v>2401</v>
      </c>
      <c r="J646" t="s">
        <v>2401</v>
      </c>
      <c r="K646" t="s">
        <v>2401</v>
      </c>
      <c r="L646" t="s">
        <v>2401</v>
      </c>
      <c r="M646" s="14">
        <v>45509.718055555553</v>
      </c>
      <c r="N646" t="s">
        <v>2401</v>
      </c>
      <c r="O646" t="s">
        <v>2401</v>
      </c>
      <c r="P646" t="s">
        <v>2401</v>
      </c>
      <c r="Q646" t="s">
        <v>2401</v>
      </c>
      <c r="R646" t="s">
        <v>2401</v>
      </c>
      <c r="S646" t="s">
        <v>2401</v>
      </c>
    </row>
    <row r="647" spans="1:19">
      <c r="A647" t="s">
        <v>4921</v>
      </c>
      <c r="B647" t="s">
        <v>518</v>
      </c>
      <c r="C647" t="s">
        <v>2401</v>
      </c>
      <c r="D647" t="s">
        <v>2401</v>
      </c>
      <c r="E647" t="s">
        <v>2401</v>
      </c>
      <c r="F647" t="s">
        <v>2401</v>
      </c>
      <c r="G647" t="s">
        <v>2401</v>
      </c>
      <c r="H647" t="s">
        <v>2401</v>
      </c>
      <c r="I647" t="s">
        <v>61</v>
      </c>
      <c r="J647" t="s">
        <v>4922</v>
      </c>
      <c r="K647" t="s">
        <v>2448</v>
      </c>
      <c r="L647" t="s">
        <v>2401</v>
      </c>
      <c r="M647" s="14">
        <v>45399.554861111108</v>
      </c>
      <c r="N647" t="s">
        <v>4923</v>
      </c>
      <c r="O647" t="s">
        <v>4924</v>
      </c>
      <c r="P647" t="s">
        <v>4925</v>
      </c>
      <c r="Q647">
        <v>1</v>
      </c>
      <c r="R647" t="s">
        <v>2401</v>
      </c>
      <c r="S647" t="s">
        <v>4926</v>
      </c>
    </row>
    <row r="648" spans="1:19">
      <c r="A648" t="s">
        <v>4927</v>
      </c>
      <c r="B648" t="s">
        <v>518</v>
      </c>
      <c r="C648" t="s">
        <v>2401</v>
      </c>
      <c r="D648" t="s">
        <v>2401</v>
      </c>
      <c r="E648" t="s">
        <v>2401</v>
      </c>
      <c r="F648" t="s">
        <v>2401</v>
      </c>
      <c r="G648" t="s">
        <v>2401</v>
      </c>
      <c r="H648" t="s">
        <v>2401</v>
      </c>
      <c r="I648" t="s">
        <v>2401</v>
      </c>
      <c r="J648" t="s">
        <v>2401</v>
      </c>
      <c r="K648" t="s">
        <v>2406</v>
      </c>
      <c r="L648" t="s">
        <v>2401</v>
      </c>
      <c r="M648" s="14">
        <v>45390.607638888891</v>
      </c>
      <c r="N648" t="s">
        <v>2401</v>
      </c>
      <c r="O648" t="s">
        <v>2401</v>
      </c>
      <c r="P648" t="s">
        <v>2401</v>
      </c>
      <c r="Q648" t="s">
        <v>2401</v>
      </c>
      <c r="R648" t="s">
        <v>2401</v>
      </c>
      <c r="S648" t="s">
        <v>2401</v>
      </c>
    </row>
    <row r="649" spans="1:19">
      <c r="A649" t="s">
        <v>4928</v>
      </c>
      <c r="B649" t="s">
        <v>4929</v>
      </c>
      <c r="C649" t="s">
        <v>2401</v>
      </c>
      <c r="D649" t="s">
        <v>2401</v>
      </c>
      <c r="E649" t="s">
        <v>2401</v>
      </c>
      <c r="F649" t="s">
        <v>2401</v>
      </c>
      <c r="G649" t="s">
        <v>2401</v>
      </c>
      <c r="H649" t="s">
        <v>2401</v>
      </c>
      <c r="I649" t="s">
        <v>2401</v>
      </c>
      <c r="J649" t="s">
        <v>2401</v>
      </c>
      <c r="K649" t="s">
        <v>2401</v>
      </c>
      <c r="L649" t="s">
        <v>2401</v>
      </c>
      <c r="M649" s="14">
        <v>45390.607638888891</v>
      </c>
      <c r="N649" t="s">
        <v>2401</v>
      </c>
      <c r="O649" t="s">
        <v>2401</v>
      </c>
      <c r="P649" t="s">
        <v>2401</v>
      </c>
      <c r="Q649" t="s">
        <v>2401</v>
      </c>
      <c r="R649" t="s">
        <v>2401</v>
      </c>
      <c r="S649" t="s">
        <v>2401</v>
      </c>
    </row>
    <row r="650" spans="1:19">
      <c r="A650" t="s">
        <v>4930</v>
      </c>
      <c r="B650" t="s">
        <v>4931</v>
      </c>
      <c r="C650" t="s">
        <v>2401</v>
      </c>
      <c r="D650" t="s">
        <v>2401</v>
      </c>
      <c r="E650" t="s">
        <v>2401</v>
      </c>
      <c r="F650" t="s">
        <v>2401</v>
      </c>
      <c r="G650" t="s">
        <v>2401</v>
      </c>
      <c r="H650" t="s">
        <v>2401</v>
      </c>
      <c r="I650" t="s">
        <v>61</v>
      </c>
      <c r="J650" t="s">
        <v>4932</v>
      </c>
      <c r="K650" t="s">
        <v>4933</v>
      </c>
      <c r="L650" t="s">
        <v>2401</v>
      </c>
      <c r="M650" s="14">
        <v>45399.554861111108</v>
      </c>
      <c r="N650" t="s">
        <v>4934</v>
      </c>
      <c r="O650" t="s">
        <v>2401</v>
      </c>
      <c r="P650" t="s">
        <v>2401</v>
      </c>
      <c r="Q650" t="s">
        <v>2401</v>
      </c>
      <c r="R650" t="s">
        <v>2401</v>
      </c>
      <c r="S650" t="s">
        <v>2401</v>
      </c>
    </row>
    <row r="651" spans="1:19">
      <c r="A651" t="s">
        <v>4935</v>
      </c>
      <c r="B651" t="s">
        <v>4936</v>
      </c>
      <c r="C651" t="s">
        <v>2401</v>
      </c>
      <c r="D651" t="s">
        <v>2401</v>
      </c>
      <c r="E651" t="s">
        <v>2401</v>
      </c>
      <c r="F651" t="s">
        <v>2401</v>
      </c>
      <c r="G651" t="s">
        <v>2401</v>
      </c>
      <c r="H651" t="s">
        <v>2401</v>
      </c>
      <c r="I651" t="s">
        <v>2401</v>
      </c>
      <c r="J651" t="s">
        <v>4937</v>
      </c>
      <c r="K651" t="s">
        <v>3663</v>
      </c>
      <c r="L651" t="s">
        <v>2401</v>
      </c>
      <c r="M651" s="14">
        <v>45422.938194444447</v>
      </c>
      <c r="N651" t="s">
        <v>4938</v>
      </c>
      <c r="O651" t="s">
        <v>4939</v>
      </c>
      <c r="P651" t="s">
        <v>2401</v>
      </c>
      <c r="Q651" t="s">
        <v>2401</v>
      </c>
      <c r="R651" t="s">
        <v>2401</v>
      </c>
      <c r="S651" t="s">
        <v>2401</v>
      </c>
    </row>
    <row r="652" spans="1:19">
      <c r="A652" t="s">
        <v>4940</v>
      </c>
      <c r="B652" t="s">
        <v>4941</v>
      </c>
      <c r="C652" t="s">
        <v>2401</v>
      </c>
      <c r="D652" t="s">
        <v>2401</v>
      </c>
      <c r="E652" t="s">
        <v>2401</v>
      </c>
      <c r="F652" t="s">
        <v>2401</v>
      </c>
      <c r="G652" t="s">
        <v>2401</v>
      </c>
      <c r="H652" t="s">
        <v>2401</v>
      </c>
      <c r="I652" t="s">
        <v>61</v>
      </c>
      <c r="J652" t="s">
        <v>4942</v>
      </c>
      <c r="K652" t="s">
        <v>3049</v>
      </c>
      <c r="L652" t="s">
        <v>2401</v>
      </c>
      <c r="M652" s="14">
        <v>45399.554861111108</v>
      </c>
      <c r="N652" t="s">
        <v>4943</v>
      </c>
      <c r="O652" t="s">
        <v>4944</v>
      </c>
      <c r="P652" t="s">
        <v>2401</v>
      </c>
      <c r="Q652" t="s">
        <v>2401</v>
      </c>
      <c r="R652" t="s">
        <v>2401</v>
      </c>
      <c r="S652" t="s">
        <v>2401</v>
      </c>
    </row>
    <row r="653" spans="1:19">
      <c r="A653" t="s">
        <v>4945</v>
      </c>
      <c r="B653" t="s">
        <v>4946</v>
      </c>
      <c r="C653" t="s">
        <v>2401</v>
      </c>
      <c r="D653" t="s">
        <v>2401</v>
      </c>
      <c r="E653" t="s">
        <v>2401</v>
      </c>
      <c r="F653" t="s">
        <v>2401</v>
      </c>
      <c r="G653" t="s">
        <v>2401</v>
      </c>
      <c r="H653" t="s">
        <v>2401</v>
      </c>
      <c r="I653" t="s">
        <v>2401</v>
      </c>
      <c r="J653" t="s">
        <v>2401</v>
      </c>
      <c r="K653" t="s">
        <v>2406</v>
      </c>
      <c r="L653" t="s">
        <v>2401</v>
      </c>
      <c r="M653" s="14">
        <v>45390.607638888891</v>
      </c>
      <c r="N653" t="s">
        <v>2401</v>
      </c>
      <c r="O653" t="s">
        <v>4947</v>
      </c>
      <c r="P653" t="s">
        <v>2401</v>
      </c>
      <c r="Q653" t="s">
        <v>2401</v>
      </c>
      <c r="R653" t="s">
        <v>2401</v>
      </c>
      <c r="S653" t="s">
        <v>2401</v>
      </c>
    </row>
    <row r="654" spans="1:19">
      <c r="A654" t="s">
        <v>4948</v>
      </c>
      <c r="B654" t="s">
        <v>4949</v>
      </c>
      <c r="C654" t="s">
        <v>2401</v>
      </c>
      <c r="D654" t="s">
        <v>2401</v>
      </c>
      <c r="E654" t="s">
        <v>2401</v>
      </c>
      <c r="F654" t="s">
        <v>2401</v>
      </c>
      <c r="G654" t="s">
        <v>2401</v>
      </c>
      <c r="H654" t="s">
        <v>2401</v>
      </c>
      <c r="I654" t="s">
        <v>2401</v>
      </c>
      <c r="J654" t="s">
        <v>4950</v>
      </c>
      <c r="K654" t="s">
        <v>2460</v>
      </c>
      <c r="L654" t="s">
        <v>2401</v>
      </c>
      <c r="M654" s="14">
        <v>45399.554861111108</v>
      </c>
      <c r="N654" t="s">
        <v>4951</v>
      </c>
      <c r="O654" t="s">
        <v>4952</v>
      </c>
      <c r="P654" t="s">
        <v>2401</v>
      </c>
      <c r="Q654" t="s">
        <v>2401</v>
      </c>
      <c r="R654" t="s">
        <v>2401</v>
      </c>
      <c r="S654" t="s">
        <v>2401</v>
      </c>
    </row>
    <row r="655" spans="1:19">
      <c r="A655" t="s">
        <v>4953</v>
      </c>
      <c r="B655" t="s">
        <v>4954</v>
      </c>
      <c r="C655" t="s">
        <v>2401</v>
      </c>
      <c r="D655" t="s">
        <v>2401</v>
      </c>
      <c r="E655" t="s">
        <v>2401</v>
      </c>
      <c r="F655" t="s">
        <v>2401</v>
      </c>
      <c r="G655" t="s">
        <v>2401</v>
      </c>
      <c r="H655" t="s">
        <v>2401</v>
      </c>
      <c r="I655" t="s">
        <v>2401</v>
      </c>
      <c r="J655" t="s">
        <v>4955</v>
      </c>
      <c r="K655" t="s">
        <v>2492</v>
      </c>
      <c r="L655" t="s">
        <v>2401</v>
      </c>
      <c r="M655" s="14">
        <v>45399.554861111108</v>
      </c>
      <c r="N655" t="s">
        <v>4956</v>
      </c>
      <c r="O655" t="s">
        <v>4957</v>
      </c>
      <c r="P655" t="s">
        <v>2401</v>
      </c>
      <c r="Q655" t="s">
        <v>2401</v>
      </c>
      <c r="R655" t="s">
        <v>2401</v>
      </c>
      <c r="S655" t="s">
        <v>2401</v>
      </c>
    </row>
    <row r="656" spans="1:19">
      <c r="A656" t="s">
        <v>4958</v>
      </c>
      <c r="B656" t="s">
        <v>4959</v>
      </c>
      <c r="C656" t="s">
        <v>2401</v>
      </c>
      <c r="D656" t="s">
        <v>2401</v>
      </c>
      <c r="E656" t="s">
        <v>2401</v>
      </c>
      <c r="F656" t="s">
        <v>2401</v>
      </c>
      <c r="G656" t="s">
        <v>2401</v>
      </c>
      <c r="H656" t="s">
        <v>2401</v>
      </c>
      <c r="I656" t="s">
        <v>2401</v>
      </c>
      <c r="J656" t="s">
        <v>4960</v>
      </c>
      <c r="K656" t="s">
        <v>2401</v>
      </c>
      <c r="L656" t="s">
        <v>2401</v>
      </c>
      <c r="M656" s="14">
        <v>45534.874305555553</v>
      </c>
      <c r="N656" t="s">
        <v>2401</v>
      </c>
      <c r="O656" t="s">
        <v>2401</v>
      </c>
      <c r="P656" t="s">
        <v>2401</v>
      </c>
      <c r="Q656" t="s">
        <v>2401</v>
      </c>
      <c r="R656" t="s">
        <v>2401</v>
      </c>
      <c r="S656" t="s">
        <v>2401</v>
      </c>
    </row>
    <row r="657" spans="1:19">
      <c r="A657" t="s">
        <v>4961</v>
      </c>
      <c r="B657" t="s">
        <v>4962</v>
      </c>
      <c r="C657" t="s">
        <v>2401</v>
      </c>
      <c r="D657" t="s">
        <v>2401</v>
      </c>
      <c r="E657" t="s">
        <v>2401</v>
      </c>
      <c r="F657" t="s">
        <v>2401</v>
      </c>
      <c r="G657" t="s">
        <v>2401</v>
      </c>
      <c r="H657" t="s">
        <v>2401</v>
      </c>
      <c r="I657" t="s">
        <v>2401</v>
      </c>
      <c r="J657" t="s">
        <v>4963</v>
      </c>
      <c r="K657" t="s">
        <v>2615</v>
      </c>
      <c r="L657" t="s">
        <v>2401</v>
      </c>
      <c r="M657" s="14">
        <v>45565.699305555558</v>
      </c>
      <c r="N657" t="s">
        <v>4964</v>
      </c>
      <c r="O657" t="s">
        <v>2401</v>
      </c>
      <c r="P657" t="s">
        <v>2401</v>
      </c>
      <c r="Q657" t="s">
        <v>2401</v>
      </c>
      <c r="R657" t="s">
        <v>2401</v>
      </c>
      <c r="S657" t="s">
        <v>2401</v>
      </c>
    </row>
    <row r="658" spans="1:19">
      <c r="A658" t="s">
        <v>4965</v>
      </c>
      <c r="B658" t="s">
        <v>1549</v>
      </c>
      <c r="C658" t="s">
        <v>2401</v>
      </c>
      <c r="D658" t="s">
        <v>2401</v>
      </c>
      <c r="E658" t="s">
        <v>2401</v>
      </c>
      <c r="F658" t="s">
        <v>2401</v>
      </c>
      <c r="G658" t="s">
        <v>2401</v>
      </c>
      <c r="H658" t="s">
        <v>2401</v>
      </c>
      <c r="I658" t="s">
        <v>2401</v>
      </c>
      <c r="J658" t="s">
        <v>4966</v>
      </c>
      <c r="K658" t="s">
        <v>2433</v>
      </c>
      <c r="L658" t="s">
        <v>2401</v>
      </c>
      <c r="M658" s="14">
        <v>45565.570833333331</v>
      </c>
      <c r="N658" t="s">
        <v>4967</v>
      </c>
      <c r="O658" t="s">
        <v>4968</v>
      </c>
      <c r="P658" t="s">
        <v>2401</v>
      </c>
      <c r="Q658" t="s">
        <v>2401</v>
      </c>
      <c r="R658" t="s">
        <v>2401</v>
      </c>
      <c r="S658" t="s">
        <v>2401</v>
      </c>
    </row>
    <row r="659" spans="1:19">
      <c r="A659" t="s">
        <v>4969</v>
      </c>
      <c r="B659" t="s">
        <v>4970</v>
      </c>
      <c r="C659" t="s">
        <v>2401</v>
      </c>
      <c r="D659" t="s">
        <v>2401</v>
      </c>
      <c r="E659" t="s">
        <v>2401</v>
      </c>
      <c r="F659" t="s">
        <v>2401</v>
      </c>
      <c r="G659" t="s">
        <v>2401</v>
      </c>
      <c r="H659" t="s">
        <v>2401</v>
      </c>
      <c r="I659" t="s">
        <v>2401</v>
      </c>
      <c r="J659" t="s">
        <v>4971</v>
      </c>
      <c r="K659" t="s">
        <v>2406</v>
      </c>
      <c r="L659" t="s">
        <v>2401</v>
      </c>
      <c r="M659" s="14">
        <v>45554.470833333333</v>
      </c>
      <c r="N659" t="s">
        <v>4972</v>
      </c>
      <c r="O659" t="s">
        <v>4973</v>
      </c>
      <c r="P659" t="s">
        <v>2401</v>
      </c>
      <c r="Q659" t="s">
        <v>2401</v>
      </c>
      <c r="R659" t="s">
        <v>2401</v>
      </c>
      <c r="S659" t="s">
        <v>2401</v>
      </c>
    </row>
    <row r="660" spans="1:19">
      <c r="A660" t="s">
        <v>4974</v>
      </c>
      <c r="B660" t="s">
        <v>4975</v>
      </c>
      <c r="C660" t="s">
        <v>2401</v>
      </c>
      <c r="D660" t="s">
        <v>2401</v>
      </c>
      <c r="E660" t="s">
        <v>2401</v>
      </c>
      <c r="F660" t="s">
        <v>2401</v>
      </c>
      <c r="G660" t="s">
        <v>2401</v>
      </c>
      <c r="H660" t="s">
        <v>2401</v>
      </c>
      <c r="I660" t="s">
        <v>2401</v>
      </c>
      <c r="J660" t="s">
        <v>4976</v>
      </c>
      <c r="K660" t="s">
        <v>3071</v>
      </c>
      <c r="L660" t="s">
        <v>2401</v>
      </c>
      <c r="M660" s="14">
        <v>45565.566666666666</v>
      </c>
      <c r="N660" t="s">
        <v>4977</v>
      </c>
      <c r="O660" t="s">
        <v>2401</v>
      </c>
      <c r="P660" t="s">
        <v>2401</v>
      </c>
      <c r="Q660" t="s">
        <v>2401</v>
      </c>
      <c r="R660" t="s">
        <v>2401</v>
      </c>
      <c r="S660" t="s">
        <v>2401</v>
      </c>
    </row>
    <row r="661" spans="1:19">
      <c r="A661" t="s">
        <v>4978</v>
      </c>
      <c r="B661" t="s">
        <v>4979</v>
      </c>
      <c r="C661" t="s">
        <v>2401</v>
      </c>
      <c r="D661" t="s">
        <v>2401</v>
      </c>
      <c r="E661" t="s">
        <v>2401</v>
      </c>
      <c r="F661" t="s">
        <v>2401</v>
      </c>
      <c r="G661" t="s">
        <v>2401</v>
      </c>
      <c r="H661" t="s">
        <v>2401</v>
      </c>
      <c r="I661" t="s">
        <v>2401</v>
      </c>
      <c r="J661" t="s">
        <v>2401</v>
      </c>
      <c r="K661" t="s">
        <v>2401</v>
      </c>
      <c r="L661" t="s">
        <v>2401</v>
      </c>
      <c r="M661" s="14">
        <v>45390.607638888891</v>
      </c>
      <c r="N661" t="s">
        <v>2401</v>
      </c>
      <c r="O661" t="s">
        <v>4980</v>
      </c>
      <c r="P661" t="s">
        <v>2401</v>
      </c>
      <c r="Q661" t="s">
        <v>2401</v>
      </c>
      <c r="R661" t="s">
        <v>2401</v>
      </c>
      <c r="S661" t="s">
        <v>2401</v>
      </c>
    </row>
    <row r="662" spans="1:19">
      <c r="A662" t="s">
        <v>4981</v>
      </c>
      <c r="B662" t="s">
        <v>4982</v>
      </c>
      <c r="C662" t="s">
        <v>2401</v>
      </c>
      <c r="D662" t="s">
        <v>2401</v>
      </c>
      <c r="E662" t="s">
        <v>2401</v>
      </c>
      <c r="F662" t="s">
        <v>2401</v>
      </c>
      <c r="G662" t="s">
        <v>2401</v>
      </c>
      <c r="H662" t="s">
        <v>2401</v>
      </c>
      <c r="I662" t="s">
        <v>61</v>
      </c>
      <c r="J662" t="s">
        <v>4983</v>
      </c>
      <c r="K662" t="s">
        <v>2401</v>
      </c>
      <c r="L662" t="s">
        <v>2401</v>
      </c>
      <c r="M662" s="14">
        <v>45399.554861111108</v>
      </c>
      <c r="N662" t="s">
        <v>4984</v>
      </c>
      <c r="O662" t="s">
        <v>4985</v>
      </c>
      <c r="P662" t="s">
        <v>2401</v>
      </c>
      <c r="Q662" t="s">
        <v>2401</v>
      </c>
      <c r="R662" t="s">
        <v>2401</v>
      </c>
      <c r="S662" t="s">
        <v>2401</v>
      </c>
    </row>
    <row r="663" spans="1:19">
      <c r="A663" t="s">
        <v>4986</v>
      </c>
      <c r="B663" t="s">
        <v>4987</v>
      </c>
      <c r="C663" t="s">
        <v>2401</v>
      </c>
      <c r="D663" t="s">
        <v>2401</v>
      </c>
      <c r="E663" t="s">
        <v>2401</v>
      </c>
      <c r="F663" t="s">
        <v>2401</v>
      </c>
      <c r="G663" t="s">
        <v>2401</v>
      </c>
      <c r="H663" t="s">
        <v>2401</v>
      </c>
      <c r="I663" t="s">
        <v>2401</v>
      </c>
      <c r="J663" t="s">
        <v>4988</v>
      </c>
      <c r="K663" t="s">
        <v>4989</v>
      </c>
      <c r="L663" t="s">
        <v>2401</v>
      </c>
      <c r="M663" s="14">
        <v>45399.554861111108</v>
      </c>
      <c r="N663" t="s">
        <v>4990</v>
      </c>
      <c r="O663" t="s">
        <v>4991</v>
      </c>
      <c r="P663" t="s">
        <v>2401</v>
      </c>
      <c r="Q663" t="s">
        <v>2401</v>
      </c>
      <c r="R663" t="s">
        <v>2401</v>
      </c>
      <c r="S663" t="s">
        <v>2401</v>
      </c>
    </row>
    <row r="664" spans="1:19">
      <c r="A664" t="s">
        <v>4992</v>
      </c>
      <c r="B664" t="s">
        <v>4993</v>
      </c>
      <c r="C664" t="s">
        <v>2401</v>
      </c>
      <c r="D664" t="s">
        <v>2401</v>
      </c>
      <c r="E664" t="s">
        <v>2401</v>
      </c>
      <c r="F664" t="s">
        <v>2401</v>
      </c>
      <c r="G664" t="s">
        <v>2401</v>
      </c>
      <c r="H664" t="s">
        <v>2401</v>
      </c>
      <c r="I664" t="s">
        <v>2401</v>
      </c>
      <c r="J664" t="s">
        <v>4993</v>
      </c>
      <c r="K664" t="s">
        <v>2401</v>
      </c>
      <c r="L664" t="s">
        <v>2401</v>
      </c>
      <c r="M664" s="14">
        <v>45559.621527777781</v>
      </c>
      <c r="N664" t="s">
        <v>2401</v>
      </c>
      <c r="O664" t="s">
        <v>2401</v>
      </c>
      <c r="P664" t="s">
        <v>2401</v>
      </c>
      <c r="Q664" t="s">
        <v>2401</v>
      </c>
      <c r="R664" t="s">
        <v>2401</v>
      </c>
      <c r="S664" t="s">
        <v>2401</v>
      </c>
    </row>
    <row r="665" spans="1:19">
      <c r="A665" t="s">
        <v>4994</v>
      </c>
      <c r="B665" t="s">
        <v>4995</v>
      </c>
      <c r="C665" t="s">
        <v>2401</v>
      </c>
      <c r="D665" t="s">
        <v>2401</v>
      </c>
      <c r="E665" t="s">
        <v>2401</v>
      </c>
      <c r="F665" t="s">
        <v>2401</v>
      </c>
      <c r="G665" t="s">
        <v>2401</v>
      </c>
      <c r="H665" t="s">
        <v>2401</v>
      </c>
      <c r="I665" t="s">
        <v>2401</v>
      </c>
      <c r="J665" t="s">
        <v>4996</v>
      </c>
      <c r="K665" t="s">
        <v>4997</v>
      </c>
      <c r="L665" t="s">
        <v>2401</v>
      </c>
      <c r="M665" s="14">
        <v>45399.554861111108</v>
      </c>
      <c r="N665" t="s">
        <v>4998</v>
      </c>
      <c r="O665" t="s">
        <v>4999</v>
      </c>
      <c r="P665" t="s">
        <v>2401</v>
      </c>
      <c r="Q665" t="s">
        <v>2401</v>
      </c>
      <c r="R665" t="s">
        <v>2401</v>
      </c>
      <c r="S665" t="s">
        <v>2401</v>
      </c>
    </row>
    <row r="666" spans="1:19">
      <c r="A666" t="s">
        <v>5000</v>
      </c>
      <c r="B666" t="s">
        <v>5001</v>
      </c>
      <c r="C666" t="s">
        <v>2401</v>
      </c>
      <c r="D666" t="s">
        <v>2401</v>
      </c>
      <c r="E666" t="s">
        <v>2401</v>
      </c>
      <c r="F666" t="s">
        <v>2401</v>
      </c>
      <c r="G666" t="s">
        <v>2401</v>
      </c>
      <c r="H666" t="s">
        <v>2401</v>
      </c>
      <c r="I666" t="s">
        <v>2401</v>
      </c>
      <c r="J666" t="s">
        <v>5002</v>
      </c>
      <c r="K666" t="s">
        <v>2406</v>
      </c>
      <c r="L666" t="s">
        <v>2401</v>
      </c>
      <c r="M666" s="14">
        <v>45554.477777777778</v>
      </c>
      <c r="N666" t="s">
        <v>5003</v>
      </c>
      <c r="O666" t="s">
        <v>2401</v>
      </c>
      <c r="P666" t="s">
        <v>2401</v>
      </c>
      <c r="Q666" t="s">
        <v>2401</v>
      </c>
      <c r="R666" t="s">
        <v>2401</v>
      </c>
      <c r="S666" t="s">
        <v>2401</v>
      </c>
    </row>
    <row r="667" spans="1:19">
      <c r="A667" t="s">
        <v>5004</v>
      </c>
      <c r="B667" t="s">
        <v>5005</v>
      </c>
      <c r="C667" t="s">
        <v>2401</v>
      </c>
      <c r="D667" t="s">
        <v>2401</v>
      </c>
      <c r="E667" t="s">
        <v>2401</v>
      </c>
      <c r="F667" t="s">
        <v>2401</v>
      </c>
      <c r="G667" t="s">
        <v>2401</v>
      </c>
      <c r="H667" t="s">
        <v>2401</v>
      </c>
      <c r="I667" t="s">
        <v>2401</v>
      </c>
      <c r="J667" t="s">
        <v>5006</v>
      </c>
      <c r="K667" t="s">
        <v>2438</v>
      </c>
      <c r="L667" t="s">
        <v>2401</v>
      </c>
      <c r="M667" s="14">
        <v>45534.874305555553</v>
      </c>
      <c r="N667" t="s">
        <v>5007</v>
      </c>
      <c r="O667" t="s">
        <v>2401</v>
      </c>
      <c r="P667" t="s">
        <v>2401</v>
      </c>
      <c r="Q667" t="s">
        <v>2401</v>
      </c>
      <c r="R667" t="s">
        <v>2401</v>
      </c>
      <c r="S667" t="s">
        <v>2401</v>
      </c>
    </row>
    <row r="668" spans="1:19">
      <c r="A668" t="s">
        <v>5008</v>
      </c>
      <c r="B668" t="s">
        <v>5009</v>
      </c>
      <c r="C668" t="s">
        <v>2401</v>
      </c>
      <c r="D668" t="s">
        <v>2401</v>
      </c>
      <c r="E668" t="s">
        <v>2401</v>
      </c>
      <c r="F668" t="s">
        <v>2401</v>
      </c>
      <c r="G668" t="s">
        <v>2401</v>
      </c>
      <c r="H668" t="s">
        <v>2401</v>
      </c>
      <c r="I668" t="s">
        <v>2401</v>
      </c>
      <c r="J668" t="s">
        <v>2401</v>
      </c>
      <c r="K668" t="s">
        <v>2401</v>
      </c>
      <c r="L668" t="s">
        <v>2401</v>
      </c>
      <c r="M668" s="14">
        <v>45399.554861111108</v>
      </c>
      <c r="N668" t="s">
        <v>2401</v>
      </c>
      <c r="O668" t="s">
        <v>2401</v>
      </c>
      <c r="P668" t="s">
        <v>2401</v>
      </c>
      <c r="Q668" t="s">
        <v>2401</v>
      </c>
      <c r="R668" t="s">
        <v>2401</v>
      </c>
      <c r="S668" t="s">
        <v>2401</v>
      </c>
    </row>
    <row r="669" spans="1:19">
      <c r="A669" t="s">
        <v>5010</v>
      </c>
      <c r="B669" t="s">
        <v>5011</v>
      </c>
      <c r="C669" t="s">
        <v>2401</v>
      </c>
      <c r="D669" t="s">
        <v>2401</v>
      </c>
      <c r="E669" t="s">
        <v>2401</v>
      </c>
      <c r="F669" t="s">
        <v>2401</v>
      </c>
      <c r="G669" t="s">
        <v>2401</v>
      </c>
      <c r="H669" t="s">
        <v>2401</v>
      </c>
      <c r="I669" t="s">
        <v>2401</v>
      </c>
      <c r="J669" t="s">
        <v>5012</v>
      </c>
      <c r="K669" t="s">
        <v>2492</v>
      </c>
      <c r="L669" t="s">
        <v>2401</v>
      </c>
      <c r="M669" s="14">
        <v>45565.696527777778</v>
      </c>
      <c r="N669" t="s">
        <v>5013</v>
      </c>
      <c r="O669" t="s">
        <v>2401</v>
      </c>
      <c r="P669" t="s">
        <v>2401</v>
      </c>
      <c r="Q669" t="s">
        <v>2401</v>
      </c>
      <c r="R669" t="s">
        <v>2401</v>
      </c>
      <c r="S669" t="s">
        <v>2401</v>
      </c>
    </row>
    <row r="670" spans="1:19">
      <c r="A670" t="s">
        <v>5014</v>
      </c>
      <c r="B670" t="s">
        <v>5015</v>
      </c>
      <c r="C670" t="s">
        <v>2401</v>
      </c>
      <c r="D670" t="s">
        <v>2401</v>
      </c>
      <c r="E670" t="s">
        <v>2401</v>
      </c>
      <c r="F670" t="s">
        <v>2401</v>
      </c>
      <c r="G670" t="s">
        <v>2401</v>
      </c>
      <c r="H670" t="s">
        <v>2401</v>
      </c>
      <c r="I670" t="s">
        <v>2401</v>
      </c>
      <c r="J670" t="s">
        <v>5016</v>
      </c>
      <c r="K670" t="s">
        <v>4612</v>
      </c>
      <c r="L670" t="s">
        <v>2401</v>
      </c>
      <c r="M670" s="14">
        <v>45399.554861111108</v>
      </c>
      <c r="N670" t="s">
        <v>5017</v>
      </c>
      <c r="O670" t="s">
        <v>5018</v>
      </c>
      <c r="P670" t="s">
        <v>2401</v>
      </c>
      <c r="Q670" t="s">
        <v>2401</v>
      </c>
      <c r="R670" t="s">
        <v>2401</v>
      </c>
      <c r="S670" t="s">
        <v>2401</v>
      </c>
    </row>
    <row r="671" spans="1:19">
      <c r="A671" t="s">
        <v>5019</v>
      </c>
      <c r="B671" t="s">
        <v>1554</v>
      </c>
      <c r="C671" t="s">
        <v>2401</v>
      </c>
      <c r="D671" t="s">
        <v>2401</v>
      </c>
      <c r="E671" t="s">
        <v>2401</v>
      </c>
      <c r="F671" t="s">
        <v>2401</v>
      </c>
      <c r="G671" t="s">
        <v>2401</v>
      </c>
      <c r="H671" t="s">
        <v>2401</v>
      </c>
      <c r="I671" t="s">
        <v>2401</v>
      </c>
      <c r="J671" t="s">
        <v>5020</v>
      </c>
      <c r="K671" t="s">
        <v>3147</v>
      </c>
      <c r="L671" t="s">
        <v>2401</v>
      </c>
      <c r="M671" s="14">
        <v>45534.874305555553</v>
      </c>
      <c r="N671" t="s">
        <v>5021</v>
      </c>
      <c r="O671" t="s">
        <v>5022</v>
      </c>
      <c r="P671" t="s">
        <v>2401</v>
      </c>
      <c r="Q671" t="s">
        <v>2401</v>
      </c>
      <c r="R671" t="s">
        <v>2401</v>
      </c>
      <c r="S671" t="s">
        <v>2401</v>
      </c>
    </row>
    <row r="672" spans="1:19">
      <c r="A672" t="s">
        <v>5023</v>
      </c>
      <c r="B672" t="s">
        <v>1554</v>
      </c>
      <c r="C672" t="s">
        <v>2401</v>
      </c>
      <c r="D672" t="s">
        <v>2401</v>
      </c>
      <c r="E672" t="s">
        <v>2401</v>
      </c>
      <c r="F672" t="s">
        <v>2401</v>
      </c>
      <c r="G672" t="s">
        <v>2401</v>
      </c>
      <c r="H672" t="s">
        <v>2401</v>
      </c>
      <c r="I672" t="s">
        <v>2401</v>
      </c>
      <c r="J672" t="s">
        <v>2401</v>
      </c>
      <c r="K672" t="s">
        <v>2401</v>
      </c>
      <c r="L672" t="s">
        <v>2401</v>
      </c>
      <c r="M672" s="14">
        <v>45399.554861111108</v>
      </c>
      <c r="N672" t="s">
        <v>2401</v>
      </c>
      <c r="O672" t="s">
        <v>2401</v>
      </c>
      <c r="P672" t="s">
        <v>2401</v>
      </c>
      <c r="Q672" t="s">
        <v>2401</v>
      </c>
      <c r="R672" t="s">
        <v>2401</v>
      </c>
      <c r="S672" t="s">
        <v>2401</v>
      </c>
    </row>
    <row r="673" spans="1:19">
      <c r="A673" t="s">
        <v>5024</v>
      </c>
      <c r="B673" t="s">
        <v>5025</v>
      </c>
      <c r="C673" t="s">
        <v>2401</v>
      </c>
      <c r="D673" t="s">
        <v>2401</v>
      </c>
      <c r="E673" t="s">
        <v>2401</v>
      </c>
      <c r="F673" t="s">
        <v>2401</v>
      </c>
      <c r="G673" t="s">
        <v>2401</v>
      </c>
      <c r="H673" t="s">
        <v>2401</v>
      </c>
      <c r="I673" t="s">
        <v>2401</v>
      </c>
      <c r="J673" t="s">
        <v>5026</v>
      </c>
      <c r="K673" t="s">
        <v>2720</v>
      </c>
      <c r="L673" t="s">
        <v>2401</v>
      </c>
      <c r="M673" s="14">
        <v>45565.65</v>
      </c>
      <c r="N673" t="s">
        <v>5027</v>
      </c>
      <c r="O673" t="s">
        <v>5028</v>
      </c>
      <c r="P673" t="s">
        <v>2401</v>
      </c>
      <c r="Q673" t="s">
        <v>2401</v>
      </c>
      <c r="R673" t="s">
        <v>2401</v>
      </c>
      <c r="S673" t="s">
        <v>2401</v>
      </c>
    </row>
    <row r="674" spans="1:19">
      <c r="A674" t="s">
        <v>5029</v>
      </c>
      <c r="B674" t="s">
        <v>1562</v>
      </c>
      <c r="C674" t="s">
        <v>2401</v>
      </c>
      <c r="D674" t="s">
        <v>2401</v>
      </c>
      <c r="E674" t="s">
        <v>2401</v>
      </c>
      <c r="F674" t="s">
        <v>2401</v>
      </c>
      <c r="G674" t="s">
        <v>2401</v>
      </c>
      <c r="H674" t="s">
        <v>2401</v>
      </c>
      <c r="I674" t="s">
        <v>61</v>
      </c>
      <c r="J674" t="s">
        <v>5030</v>
      </c>
      <c r="K674" t="s">
        <v>2701</v>
      </c>
      <c r="L674" t="s">
        <v>2401</v>
      </c>
      <c r="M674" s="14">
        <v>45390.607638888891</v>
      </c>
      <c r="N674" t="s">
        <v>5031</v>
      </c>
      <c r="O674" t="s">
        <v>5032</v>
      </c>
      <c r="P674" t="s">
        <v>2401</v>
      </c>
      <c r="Q674" t="s">
        <v>2401</v>
      </c>
      <c r="R674" t="s">
        <v>2401</v>
      </c>
      <c r="S674" t="s">
        <v>2401</v>
      </c>
    </row>
    <row r="675" spans="1:19">
      <c r="A675" t="s">
        <v>5033</v>
      </c>
      <c r="B675" t="s">
        <v>5034</v>
      </c>
      <c r="C675" t="s">
        <v>2401</v>
      </c>
      <c r="D675" t="s">
        <v>2401</v>
      </c>
      <c r="E675" t="s">
        <v>2401</v>
      </c>
      <c r="F675" t="s">
        <v>2401</v>
      </c>
      <c r="G675" t="s">
        <v>2401</v>
      </c>
      <c r="H675" t="s">
        <v>2401</v>
      </c>
      <c r="I675" t="s">
        <v>2401</v>
      </c>
      <c r="J675" t="s">
        <v>2401</v>
      </c>
      <c r="K675" t="s">
        <v>2401</v>
      </c>
      <c r="L675" t="s">
        <v>2401</v>
      </c>
      <c r="M675" s="14">
        <v>45390.607638888891</v>
      </c>
      <c r="N675" t="s">
        <v>2401</v>
      </c>
      <c r="O675" t="s">
        <v>2586</v>
      </c>
      <c r="P675" t="s">
        <v>2401</v>
      </c>
      <c r="Q675" t="s">
        <v>2401</v>
      </c>
      <c r="R675" t="s">
        <v>2401</v>
      </c>
      <c r="S675" t="s">
        <v>2401</v>
      </c>
    </row>
    <row r="676" spans="1:19">
      <c r="A676" t="s">
        <v>5035</v>
      </c>
      <c r="B676" t="s">
        <v>5036</v>
      </c>
      <c r="C676" t="s">
        <v>2401</v>
      </c>
      <c r="D676" t="s">
        <v>2401</v>
      </c>
      <c r="E676" t="s">
        <v>2401</v>
      </c>
      <c r="F676" t="s">
        <v>2401</v>
      </c>
      <c r="G676" t="s">
        <v>2401</v>
      </c>
      <c r="H676" t="s">
        <v>2401</v>
      </c>
      <c r="I676" t="s">
        <v>61</v>
      </c>
      <c r="J676" t="s">
        <v>5037</v>
      </c>
      <c r="K676" t="s">
        <v>2499</v>
      </c>
      <c r="L676" t="s">
        <v>2401</v>
      </c>
      <c r="M676" s="14">
        <v>45399.554861111108</v>
      </c>
      <c r="N676" t="s">
        <v>5038</v>
      </c>
      <c r="O676" t="s">
        <v>5039</v>
      </c>
      <c r="P676" t="s">
        <v>2401</v>
      </c>
      <c r="Q676" t="s">
        <v>2401</v>
      </c>
      <c r="R676" t="s">
        <v>2401</v>
      </c>
      <c r="S676" t="s">
        <v>2401</v>
      </c>
    </row>
    <row r="677" spans="1:19">
      <c r="A677" t="s">
        <v>5040</v>
      </c>
      <c r="B677" t="s">
        <v>5041</v>
      </c>
      <c r="C677" t="s">
        <v>2401</v>
      </c>
      <c r="D677" t="s">
        <v>2401</v>
      </c>
      <c r="E677" t="s">
        <v>2401</v>
      </c>
      <c r="F677" t="s">
        <v>2401</v>
      </c>
      <c r="G677" t="s">
        <v>2401</v>
      </c>
      <c r="H677" t="s">
        <v>2401</v>
      </c>
      <c r="I677" t="s">
        <v>2401</v>
      </c>
      <c r="J677" t="s">
        <v>5042</v>
      </c>
      <c r="K677" t="s">
        <v>2438</v>
      </c>
      <c r="L677" t="s">
        <v>2401</v>
      </c>
      <c r="M677" s="14">
        <v>45565.566666666666</v>
      </c>
      <c r="N677" t="s">
        <v>5043</v>
      </c>
      <c r="O677" t="s">
        <v>5044</v>
      </c>
      <c r="P677" t="s">
        <v>2401</v>
      </c>
      <c r="Q677" t="s">
        <v>2401</v>
      </c>
      <c r="R677" t="s">
        <v>2401</v>
      </c>
      <c r="S677" t="s">
        <v>2401</v>
      </c>
    </row>
    <row r="678" spans="1:19">
      <c r="A678" t="s">
        <v>5045</v>
      </c>
      <c r="B678" t="s">
        <v>5046</v>
      </c>
      <c r="C678" t="s">
        <v>2401</v>
      </c>
      <c r="D678" t="s">
        <v>2401</v>
      </c>
      <c r="E678" t="s">
        <v>2401</v>
      </c>
      <c r="F678" t="s">
        <v>2401</v>
      </c>
      <c r="G678" t="s">
        <v>2401</v>
      </c>
      <c r="H678" t="s">
        <v>2401</v>
      </c>
      <c r="I678" t="s">
        <v>2401</v>
      </c>
      <c r="J678" t="s">
        <v>2401</v>
      </c>
      <c r="K678" t="s">
        <v>2499</v>
      </c>
      <c r="L678" t="s">
        <v>2401</v>
      </c>
      <c r="M678" s="14">
        <v>45390.607638888891</v>
      </c>
      <c r="N678" t="s">
        <v>2401</v>
      </c>
      <c r="O678" t="s">
        <v>5047</v>
      </c>
      <c r="P678" t="s">
        <v>2401</v>
      </c>
      <c r="Q678" t="s">
        <v>2401</v>
      </c>
      <c r="R678" t="s">
        <v>2401</v>
      </c>
      <c r="S678" t="s">
        <v>2401</v>
      </c>
    </row>
    <row r="679" spans="1:19">
      <c r="A679" t="s">
        <v>5048</v>
      </c>
      <c r="B679" t="s">
        <v>5049</v>
      </c>
      <c r="C679" t="s">
        <v>2401</v>
      </c>
      <c r="D679" t="s">
        <v>2401</v>
      </c>
      <c r="E679" t="s">
        <v>2401</v>
      </c>
      <c r="F679" t="s">
        <v>2401</v>
      </c>
      <c r="G679" t="s">
        <v>2401</v>
      </c>
      <c r="H679" t="s">
        <v>2401</v>
      </c>
      <c r="I679" t="s">
        <v>2401</v>
      </c>
      <c r="J679" t="s">
        <v>2401</v>
      </c>
      <c r="K679" t="s">
        <v>2401</v>
      </c>
      <c r="L679" t="s">
        <v>2401</v>
      </c>
      <c r="M679" s="14">
        <v>45390.607638888891</v>
      </c>
      <c r="N679" t="s">
        <v>2401</v>
      </c>
      <c r="O679" t="s">
        <v>2586</v>
      </c>
      <c r="P679" t="s">
        <v>2401</v>
      </c>
      <c r="Q679" t="s">
        <v>2401</v>
      </c>
      <c r="R679" t="s">
        <v>2401</v>
      </c>
      <c r="S679" t="s">
        <v>2401</v>
      </c>
    </row>
    <row r="680" spans="1:19">
      <c r="A680" t="s">
        <v>5050</v>
      </c>
      <c r="B680" t="s">
        <v>5051</v>
      </c>
      <c r="C680" t="s">
        <v>2401</v>
      </c>
      <c r="D680" t="s">
        <v>2401</v>
      </c>
      <c r="E680" t="s">
        <v>2401</v>
      </c>
      <c r="F680" t="s">
        <v>2401</v>
      </c>
      <c r="G680" t="s">
        <v>2401</v>
      </c>
      <c r="H680" t="s">
        <v>2401</v>
      </c>
      <c r="I680" t="s">
        <v>2401</v>
      </c>
      <c r="J680" t="s">
        <v>5052</v>
      </c>
      <c r="K680" t="s">
        <v>2499</v>
      </c>
      <c r="L680" t="s">
        <v>2401</v>
      </c>
      <c r="M680" s="14">
        <v>45565.65</v>
      </c>
      <c r="N680" t="s">
        <v>5053</v>
      </c>
      <c r="O680" t="s">
        <v>5054</v>
      </c>
      <c r="P680" t="s">
        <v>2401</v>
      </c>
      <c r="Q680" t="s">
        <v>2401</v>
      </c>
      <c r="R680" t="s">
        <v>2401</v>
      </c>
      <c r="S680" t="s">
        <v>2401</v>
      </c>
    </row>
    <row r="681" spans="1:19">
      <c r="A681" t="s">
        <v>5055</v>
      </c>
      <c r="B681" t="s">
        <v>5051</v>
      </c>
      <c r="C681" t="s">
        <v>2401</v>
      </c>
      <c r="D681" t="s">
        <v>2401</v>
      </c>
      <c r="E681" t="s">
        <v>2401</v>
      </c>
      <c r="F681" t="s">
        <v>2401</v>
      </c>
      <c r="G681" t="s">
        <v>2401</v>
      </c>
      <c r="H681" t="s">
        <v>2401</v>
      </c>
      <c r="I681" t="s">
        <v>2401</v>
      </c>
      <c r="J681" t="s">
        <v>2401</v>
      </c>
      <c r="K681" t="s">
        <v>2401</v>
      </c>
      <c r="L681" t="s">
        <v>2401</v>
      </c>
      <c r="M681" s="14">
        <v>45399.554861111108</v>
      </c>
      <c r="N681" t="s">
        <v>2401</v>
      </c>
      <c r="O681" t="s">
        <v>2401</v>
      </c>
      <c r="P681" t="s">
        <v>2401</v>
      </c>
      <c r="Q681" t="s">
        <v>2401</v>
      </c>
      <c r="R681" t="s">
        <v>2401</v>
      </c>
      <c r="S681" t="s">
        <v>2401</v>
      </c>
    </row>
    <row r="682" spans="1:19">
      <c r="A682" t="s">
        <v>5056</v>
      </c>
      <c r="B682" t="s">
        <v>5057</v>
      </c>
      <c r="C682" t="s">
        <v>2401</v>
      </c>
      <c r="D682" t="s">
        <v>2401</v>
      </c>
      <c r="E682" t="s">
        <v>2401</v>
      </c>
      <c r="F682" t="s">
        <v>2401</v>
      </c>
      <c r="G682" t="s">
        <v>2401</v>
      </c>
      <c r="H682" t="s">
        <v>2401</v>
      </c>
      <c r="I682" t="s">
        <v>2401</v>
      </c>
      <c r="J682" t="s">
        <v>5058</v>
      </c>
      <c r="K682" t="s">
        <v>2720</v>
      </c>
      <c r="L682" t="s">
        <v>2401</v>
      </c>
      <c r="M682" s="14">
        <v>45399.554861111108</v>
      </c>
      <c r="N682" t="s">
        <v>5059</v>
      </c>
      <c r="O682" t="s">
        <v>5060</v>
      </c>
      <c r="P682" t="s">
        <v>2401</v>
      </c>
      <c r="Q682" t="s">
        <v>2401</v>
      </c>
      <c r="R682" t="s">
        <v>2401</v>
      </c>
      <c r="S682" t="s">
        <v>2401</v>
      </c>
    </row>
    <row r="683" spans="1:19">
      <c r="A683" t="s">
        <v>5061</v>
      </c>
      <c r="B683" t="s">
        <v>5062</v>
      </c>
      <c r="C683" t="s">
        <v>2401</v>
      </c>
      <c r="D683" t="s">
        <v>2401</v>
      </c>
      <c r="E683" t="s">
        <v>2401</v>
      </c>
      <c r="F683" t="s">
        <v>2401</v>
      </c>
      <c r="G683" t="s">
        <v>2401</v>
      </c>
      <c r="H683" t="s">
        <v>2401</v>
      </c>
      <c r="I683" t="s">
        <v>2401</v>
      </c>
      <c r="J683" t="s">
        <v>2401</v>
      </c>
      <c r="K683" t="s">
        <v>2406</v>
      </c>
      <c r="L683" t="s">
        <v>2401</v>
      </c>
      <c r="M683" s="14">
        <v>45390.607638888891</v>
      </c>
      <c r="N683" t="s">
        <v>2401</v>
      </c>
      <c r="O683" t="s">
        <v>5063</v>
      </c>
      <c r="P683" t="s">
        <v>2401</v>
      </c>
      <c r="Q683" t="s">
        <v>2401</v>
      </c>
      <c r="R683" t="s">
        <v>2401</v>
      </c>
      <c r="S683" t="s">
        <v>2401</v>
      </c>
    </row>
    <row r="684" spans="1:19">
      <c r="A684" t="s">
        <v>5064</v>
      </c>
      <c r="B684" t="s">
        <v>5065</v>
      </c>
      <c r="C684" t="s">
        <v>2401</v>
      </c>
      <c r="D684" t="s">
        <v>2401</v>
      </c>
      <c r="E684" t="s">
        <v>2401</v>
      </c>
      <c r="F684" t="s">
        <v>2401</v>
      </c>
      <c r="G684" t="s">
        <v>2401</v>
      </c>
      <c r="H684" t="s">
        <v>2401</v>
      </c>
      <c r="I684" t="s">
        <v>2401</v>
      </c>
      <c r="J684" t="s">
        <v>5066</v>
      </c>
      <c r="K684" t="s">
        <v>2427</v>
      </c>
      <c r="L684" t="s">
        <v>2401</v>
      </c>
      <c r="M684" s="14">
        <v>45534.874305555553</v>
      </c>
      <c r="N684" t="s">
        <v>5067</v>
      </c>
      <c r="O684" t="s">
        <v>2401</v>
      </c>
      <c r="P684" t="s">
        <v>2401</v>
      </c>
      <c r="Q684" t="s">
        <v>2401</v>
      </c>
      <c r="R684" t="s">
        <v>2401</v>
      </c>
      <c r="S684" t="s">
        <v>2401</v>
      </c>
    </row>
    <row r="685" spans="1:19">
      <c r="A685" t="s">
        <v>5068</v>
      </c>
      <c r="B685" t="s">
        <v>5069</v>
      </c>
      <c r="C685" t="s">
        <v>2401</v>
      </c>
      <c r="D685" t="s">
        <v>2401</v>
      </c>
      <c r="E685" t="s">
        <v>2401</v>
      </c>
      <c r="F685" t="s">
        <v>2401</v>
      </c>
      <c r="G685" t="s">
        <v>2401</v>
      </c>
      <c r="H685" t="s">
        <v>2401</v>
      </c>
      <c r="I685" t="s">
        <v>2401</v>
      </c>
      <c r="J685" t="s">
        <v>5070</v>
      </c>
      <c r="K685" t="s">
        <v>2492</v>
      </c>
      <c r="L685" t="s">
        <v>2401</v>
      </c>
      <c r="M685" s="14">
        <v>45565.554166666669</v>
      </c>
      <c r="N685" t="s">
        <v>5071</v>
      </c>
      <c r="O685" t="s">
        <v>5072</v>
      </c>
      <c r="P685" t="s">
        <v>2401</v>
      </c>
      <c r="Q685" t="s">
        <v>2401</v>
      </c>
      <c r="R685" t="s">
        <v>2401</v>
      </c>
      <c r="S685" t="s">
        <v>2401</v>
      </c>
    </row>
    <row r="686" spans="1:19">
      <c r="A686" t="s">
        <v>5073</v>
      </c>
      <c r="B686" t="s">
        <v>5074</v>
      </c>
      <c r="C686" t="s">
        <v>2401</v>
      </c>
      <c r="D686" t="s">
        <v>2401</v>
      </c>
      <c r="E686" t="s">
        <v>2401</v>
      </c>
      <c r="F686" t="s">
        <v>2401</v>
      </c>
      <c r="G686" t="s">
        <v>2401</v>
      </c>
      <c r="H686" t="s">
        <v>2401</v>
      </c>
      <c r="I686" t="s">
        <v>2401</v>
      </c>
      <c r="J686" t="s">
        <v>5075</v>
      </c>
      <c r="K686" t="s">
        <v>3518</v>
      </c>
      <c r="L686" t="s">
        <v>2401</v>
      </c>
      <c r="M686" s="14">
        <v>45565.65</v>
      </c>
      <c r="N686" t="s">
        <v>5076</v>
      </c>
      <c r="O686" t="s">
        <v>2401</v>
      </c>
      <c r="P686" t="s">
        <v>2401</v>
      </c>
      <c r="Q686" t="s">
        <v>2401</v>
      </c>
      <c r="R686" t="s">
        <v>2401</v>
      </c>
      <c r="S686" t="s">
        <v>2401</v>
      </c>
    </row>
    <row r="687" spans="1:19">
      <c r="A687" t="s">
        <v>5077</v>
      </c>
      <c r="B687" t="s">
        <v>5074</v>
      </c>
      <c r="C687" t="s">
        <v>2401</v>
      </c>
      <c r="D687" t="s">
        <v>2401</v>
      </c>
      <c r="E687" t="s">
        <v>2401</v>
      </c>
      <c r="F687" t="s">
        <v>2401</v>
      </c>
      <c r="G687" t="s">
        <v>2401</v>
      </c>
      <c r="H687" t="s">
        <v>2401</v>
      </c>
      <c r="I687" t="s">
        <v>2401</v>
      </c>
      <c r="J687" t="s">
        <v>2401</v>
      </c>
      <c r="K687" t="s">
        <v>2401</v>
      </c>
      <c r="L687" t="s">
        <v>2401</v>
      </c>
      <c r="M687" s="14">
        <v>45390.607638888891</v>
      </c>
      <c r="N687" t="s">
        <v>2401</v>
      </c>
      <c r="O687" t="s">
        <v>2586</v>
      </c>
      <c r="P687" t="s">
        <v>2401</v>
      </c>
      <c r="Q687" t="s">
        <v>2401</v>
      </c>
      <c r="R687" t="s">
        <v>2401</v>
      </c>
      <c r="S687" t="s">
        <v>2401</v>
      </c>
    </row>
    <row r="688" spans="1:19">
      <c r="A688" t="s">
        <v>5078</v>
      </c>
      <c r="B688" t="s">
        <v>5079</v>
      </c>
      <c r="C688" t="s">
        <v>2401</v>
      </c>
      <c r="D688" t="s">
        <v>2401</v>
      </c>
      <c r="E688" t="s">
        <v>2401</v>
      </c>
      <c r="F688" t="s">
        <v>2401</v>
      </c>
      <c r="G688" t="s">
        <v>2401</v>
      </c>
      <c r="H688" t="s">
        <v>2401</v>
      </c>
      <c r="I688" t="s">
        <v>2401</v>
      </c>
      <c r="J688" t="s">
        <v>5080</v>
      </c>
      <c r="K688" t="s">
        <v>3088</v>
      </c>
      <c r="L688" t="s">
        <v>2401</v>
      </c>
      <c r="M688" s="14">
        <v>45399.554861111108</v>
      </c>
      <c r="N688" t="s">
        <v>5081</v>
      </c>
      <c r="O688" t="s">
        <v>5082</v>
      </c>
      <c r="P688" t="s">
        <v>2401</v>
      </c>
      <c r="Q688" t="s">
        <v>2401</v>
      </c>
      <c r="R688" t="s">
        <v>2401</v>
      </c>
      <c r="S688" t="s">
        <v>2401</v>
      </c>
    </row>
    <row r="689" spans="1:19">
      <c r="A689" t="s">
        <v>5083</v>
      </c>
      <c r="B689" t="s">
        <v>5084</v>
      </c>
      <c r="C689" t="s">
        <v>2401</v>
      </c>
      <c r="D689" t="s">
        <v>2401</v>
      </c>
      <c r="E689" t="s">
        <v>2401</v>
      </c>
      <c r="F689" t="s">
        <v>2401</v>
      </c>
      <c r="G689" t="s">
        <v>2401</v>
      </c>
      <c r="H689" t="s">
        <v>2401</v>
      </c>
      <c r="I689" t="s">
        <v>2401</v>
      </c>
      <c r="J689" t="s">
        <v>2401</v>
      </c>
      <c r="K689" t="s">
        <v>2406</v>
      </c>
      <c r="L689" t="s">
        <v>2401</v>
      </c>
      <c r="M689" s="14">
        <v>45390.607638888891</v>
      </c>
      <c r="N689" t="s">
        <v>2401</v>
      </c>
      <c r="O689" t="s">
        <v>5085</v>
      </c>
      <c r="P689" t="s">
        <v>2401</v>
      </c>
      <c r="Q689" t="s">
        <v>2401</v>
      </c>
      <c r="R689" t="s">
        <v>2401</v>
      </c>
      <c r="S689" t="s">
        <v>2401</v>
      </c>
    </row>
    <row r="690" spans="1:19">
      <c r="A690" t="s">
        <v>5086</v>
      </c>
      <c r="B690" t="s">
        <v>5087</v>
      </c>
      <c r="C690" t="s">
        <v>2401</v>
      </c>
      <c r="D690" t="s">
        <v>2401</v>
      </c>
      <c r="E690" t="s">
        <v>2401</v>
      </c>
      <c r="F690" t="s">
        <v>2401</v>
      </c>
      <c r="G690" t="s">
        <v>2401</v>
      </c>
      <c r="H690" t="s">
        <v>2401</v>
      </c>
      <c r="I690" t="s">
        <v>2401</v>
      </c>
      <c r="J690" t="s">
        <v>5088</v>
      </c>
      <c r="K690" t="s">
        <v>2571</v>
      </c>
      <c r="L690" t="s">
        <v>2401</v>
      </c>
      <c r="M690" s="14">
        <v>45399.554861111108</v>
      </c>
      <c r="N690" t="s">
        <v>5089</v>
      </c>
      <c r="O690" t="s">
        <v>5090</v>
      </c>
      <c r="P690" t="s">
        <v>2401</v>
      </c>
      <c r="Q690" t="s">
        <v>2401</v>
      </c>
      <c r="R690" t="s">
        <v>2401</v>
      </c>
      <c r="S690" t="s">
        <v>2401</v>
      </c>
    </row>
    <row r="691" spans="1:19">
      <c r="A691" t="s">
        <v>5091</v>
      </c>
      <c r="B691" t="s">
        <v>5092</v>
      </c>
      <c r="C691" t="s">
        <v>2401</v>
      </c>
      <c r="D691" t="s">
        <v>2401</v>
      </c>
      <c r="E691" t="s">
        <v>2401</v>
      </c>
      <c r="F691" t="s">
        <v>2401</v>
      </c>
      <c r="G691" t="s">
        <v>2401</v>
      </c>
      <c r="H691" t="s">
        <v>2401</v>
      </c>
      <c r="I691" t="s">
        <v>2401</v>
      </c>
      <c r="J691" t="s">
        <v>5093</v>
      </c>
      <c r="K691" t="s">
        <v>2492</v>
      </c>
      <c r="L691" t="s">
        <v>2401</v>
      </c>
      <c r="M691" s="14">
        <v>45565.566666666666</v>
      </c>
      <c r="N691" t="s">
        <v>5094</v>
      </c>
      <c r="O691" t="s">
        <v>2401</v>
      </c>
      <c r="P691" t="s">
        <v>2401</v>
      </c>
      <c r="Q691" t="s">
        <v>2401</v>
      </c>
      <c r="R691" t="s">
        <v>2401</v>
      </c>
      <c r="S691" t="s">
        <v>2401</v>
      </c>
    </row>
    <row r="692" spans="1:19">
      <c r="A692" t="s">
        <v>5095</v>
      </c>
      <c r="B692" t="s">
        <v>5096</v>
      </c>
      <c r="C692" t="s">
        <v>2401</v>
      </c>
      <c r="D692" t="s">
        <v>2401</v>
      </c>
      <c r="E692" t="s">
        <v>2401</v>
      </c>
      <c r="F692" t="s">
        <v>2401</v>
      </c>
      <c r="G692" t="s">
        <v>2401</v>
      </c>
      <c r="H692" t="s">
        <v>2401</v>
      </c>
      <c r="I692" t="s">
        <v>2401</v>
      </c>
      <c r="J692" t="s">
        <v>2401</v>
      </c>
      <c r="K692" t="s">
        <v>2401</v>
      </c>
      <c r="L692" t="s">
        <v>2401</v>
      </c>
      <c r="M692" s="14">
        <v>45422.895833333336</v>
      </c>
      <c r="N692" t="s">
        <v>2401</v>
      </c>
      <c r="O692" t="s">
        <v>2401</v>
      </c>
      <c r="P692" t="s">
        <v>2401</v>
      </c>
      <c r="Q692" t="s">
        <v>2401</v>
      </c>
      <c r="R692" t="s">
        <v>2401</v>
      </c>
      <c r="S692" t="s">
        <v>2401</v>
      </c>
    </row>
    <row r="693" spans="1:19">
      <c r="A693" t="s">
        <v>5097</v>
      </c>
      <c r="B693" t="s">
        <v>5098</v>
      </c>
      <c r="C693" t="s">
        <v>2401</v>
      </c>
      <c r="D693" t="s">
        <v>2401</v>
      </c>
      <c r="E693" t="s">
        <v>2401</v>
      </c>
      <c r="F693" t="s">
        <v>2401</v>
      </c>
      <c r="G693" t="s">
        <v>2401</v>
      </c>
      <c r="H693" t="s">
        <v>2401</v>
      </c>
      <c r="I693" t="s">
        <v>61</v>
      </c>
      <c r="J693" t="s">
        <v>5099</v>
      </c>
      <c r="K693" t="s">
        <v>3919</v>
      </c>
      <c r="L693" t="s">
        <v>2401</v>
      </c>
      <c r="M693" s="14">
        <v>45390.607638888891</v>
      </c>
      <c r="N693" t="s">
        <v>5100</v>
      </c>
      <c r="O693" t="s">
        <v>5101</v>
      </c>
      <c r="P693" t="s">
        <v>2401</v>
      </c>
      <c r="Q693" t="s">
        <v>2401</v>
      </c>
      <c r="R693" t="s">
        <v>2401</v>
      </c>
      <c r="S693" t="s">
        <v>2401</v>
      </c>
    </row>
    <row r="694" spans="1:19">
      <c r="A694" t="s">
        <v>5102</v>
      </c>
      <c r="B694" t="s">
        <v>5103</v>
      </c>
      <c r="C694" t="s">
        <v>2401</v>
      </c>
      <c r="D694" t="s">
        <v>2401</v>
      </c>
      <c r="E694" t="s">
        <v>2401</v>
      </c>
      <c r="F694" t="s">
        <v>2401</v>
      </c>
      <c r="G694" t="s">
        <v>2401</v>
      </c>
      <c r="H694" t="s">
        <v>2401</v>
      </c>
      <c r="I694" t="s">
        <v>2401</v>
      </c>
      <c r="J694" t="s">
        <v>5104</v>
      </c>
      <c r="K694" t="s">
        <v>3466</v>
      </c>
      <c r="L694" t="s">
        <v>2401</v>
      </c>
      <c r="M694" s="14">
        <v>45391.345138888886</v>
      </c>
      <c r="N694" t="s">
        <v>5105</v>
      </c>
      <c r="O694" t="s">
        <v>5106</v>
      </c>
      <c r="P694" t="s">
        <v>5107</v>
      </c>
      <c r="Q694">
        <v>1</v>
      </c>
      <c r="R694" t="s">
        <v>2401</v>
      </c>
      <c r="S694" t="s">
        <v>5108</v>
      </c>
    </row>
    <row r="695" spans="1:19">
      <c r="A695" t="s">
        <v>5109</v>
      </c>
      <c r="B695" t="s">
        <v>5110</v>
      </c>
      <c r="C695" t="s">
        <v>2401</v>
      </c>
      <c r="D695" t="s">
        <v>2401</v>
      </c>
      <c r="E695" t="s">
        <v>2401</v>
      </c>
      <c r="F695" t="s">
        <v>2401</v>
      </c>
      <c r="G695" t="s">
        <v>2401</v>
      </c>
      <c r="H695" t="s">
        <v>2401</v>
      </c>
      <c r="I695" t="s">
        <v>2401</v>
      </c>
      <c r="J695" t="s">
        <v>5111</v>
      </c>
      <c r="K695" t="s">
        <v>2615</v>
      </c>
      <c r="L695" t="s">
        <v>2401</v>
      </c>
      <c r="M695" s="14">
        <v>45565.680555555555</v>
      </c>
      <c r="N695" t="s">
        <v>5112</v>
      </c>
      <c r="O695" t="s">
        <v>2401</v>
      </c>
      <c r="P695" t="s">
        <v>2401</v>
      </c>
      <c r="Q695" t="s">
        <v>2401</v>
      </c>
      <c r="R695" t="s">
        <v>2401</v>
      </c>
      <c r="S695" t="s">
        <v>2401</v>
      </c>
    </row>
    <row r="696" spans="1:19">
      <c r="A696" t="s">
        <v>5113</v>
      </c>
      <c r="B696" t="s">
        <v>5114</v>
      </c>
      <c r="C696" t="s">
        <v>2401</v>
      </c>
      <c r="D696" t="s">
        <v>2401</v>
      </c>
      <c r="E696" t="s">
        <v>2401</v>
      </c>
      <c r="F696" t="s">
        <v>2401</v>
      </c>
      <c r="G696" t="s">
        <v>2401</v>
      </c>
      <c r="H696" t="s">
        <v>2401</v>
      </c>
      <c r="I696" t="s">
        <v>2401</v>
      </c>
      <c r="J696" t="s">
        <v>5115</v>
      </c>
      <c r="K696" t="s">
        <v>2492</v>
      </c>
      <c r="L696" t="s">
        <v>2401</v>
      </c>
      <c r="M696" s="14">
        <v>45565.693055555559</v>
      </c>
      <c r="N696" t="s">
        <v>5116</v>
      </c>
      <c r="O696" t="s">
        <v>5117</v>
      </c>
      <c r="P696" t="s">
        <v>2401</v>
      </c>
      <c r="Q696" t="s">
        <v>2401</v>
      </c>
      <c r="R696" t="s">
        <v>2401</v>
      </c>
      <c r="S696" t="s">
        <v>2401</v>
      </c>
    </row>
    <row r="697" spans="1:19">
      <c r="A697" t="s">
        <v>5118</v>
      </c>
      <c r="B697" t="s">
        <v>5119</v>
      </c>
      <c r="C697" t="s">
        <v>2401</v>
      </c>
      <c r="D697" t="s">
        <v>2401</v>
      </c>
      <c r="E697" t="s">
        <v>2401</v>
      </c>
      <c r="F697" t="s">
        <v>2401</v>
      </c>
      <c r="G697" t="s">
        <v>2401</v>
      </c>
      <c r="H697" t="s">
        <v>2401</v>
      </c>
      <c r="I697" t="s">
        <v>2401</v>
      </c>
      <c r="J697" t="s">
        <v>2401</v>
      </c>
      <c r="K697" t="s">
        <v>2779</v>
      </c>
      <c r="L697" t="s">
        <v>2401</v>
      </c>
      <c r="M697" s="14">
        <v>45390.607638888891</v>
      </c>
      <c r="N697" t="s">
        <v>2401</v>
      </c>
      <c r="O697" t="s">
        <v>5120</v>
      </c>
      <c r="P697" t="s">
        <v>2401</v>
      </c>
      <c r="Q697" t="s">
        <v>2401</v>
      </c>
      <c r="R697" t="s">
        <v>2401</v>
      </c>
      <c r="S697" t="s">
        <v>2401</v>
      </c>
    </row>
    <row r="698" spans="1:19">
      <c r="A698" t="s">
        <v>5121</v>
      </c>
      <c r="B698" t="s">
        <v>5122</v>
      </c>
      <c r="C698" t="s">
        <v>2401</v>
      </c>
      <c r="D698" t="s">
        <v>2401</v>
      </c>
      <c r="E698" t="s">
        <v>2401</v>
      </c>
      <c r="F698" t="s">
        <v>2401</v>
      </c>
      <c r="G698" t="s">
        <v>2401</v>
      </c>
      <c r="H698" t="s">
        <v>2401</v>
      </c>
      <c r="I698" t="s">
        <v>61</v>
      </c>
      <c r="J698" t="s">
        <v>5123</v>
      </c>
      <c r="K698" t="s">
        <v>2779</v>
      </c>
      <c r="L698" t="s">
        <v>2401</v>
      </c>
      <c r="M698" s="14">
        <v>45399.554861111108</v>
      </c>
      <c r="N698" t="s">
        <v>5124</v>
      </c>
      <c r="O698" t="s">
        <v>5125</v>
      </c>
      <c r="P698" t="s">
        <v>2401</v>
      </c>
      <c r="Q698" t="s">
        <v>2401</v>
      </c>
      <c r="R698" t="s">
        <v>2401</v>
      </c>
      <c r="S698" t="s">
        <v>2401</v>
      </c>
    </row>
    <row r="699" spans="1:19">
      <c r="A699" t="s">
        <v>5126</v>
      </c>
      <c r="B699" t="s">
        <v>5127</v>
      </c>
      <c r="C699" t="s">
        <v>2401</v>
      </c>
      <c r="D699" t="s">
        <v>2401</v>
      </c>
      <c r="E699" t="s">
        <v>2401</v>
      </c>
      <c r="F699" t="s">
        <v>2401</v>
      </c>
      <c r="G699" t="s">
        <v>2401</v>
      </c>
      <c r="H699" t="s">
        <v>2401</v>
      </c>
      <c r="I699" t="s">
        <v>2401</v>
      </c>
      <c r="J699" t="s">
        <v>2401</v>
      </c>
      <c r="K699" t="s">
        <v>2401</v>
      </c>
      <c r="L699" t="s">
        <v>2401</v>
      </c>
      <c r="M699" s="14">
        <v>45399.554861111108</v>
      </c>
      <c r="N699" t="s">
        <v>2401</v>
      </c>
      <c r="O699" t="s">
        <v>2401</v>
      </c>
      <c r="P699" t="s">
        <v>2401</v>
      </c>
      <c r="Q699" t="s">
        <v>2401</v>
      </c>
      <c r="R699" t="s">
        <v>2401</v>
      </c>
      <c r="S699" t="s">
        <v>2401</v>
      </c>
    </row>
    <row r="700" spans="1:19">
      <c r="A700" t="s">
        <v>5128</v>
      </c>
      <c r="B700" t="s">
        <v>5129</v>
      </c>
      <c r="C700" t="s">
        <v>2401</v>
      </c>
      <c r="D700" t="s">
        <v>2401</v>
      </c>
      <c r="E700" t="s">
        <v>2401</v>
      </c>
      <c r="F700" t="s">
        <v>2401</v>
      </c>
      <c r="G700" t="s">
        <v>2401</v>
      </c>
      <c r="H700" t="s">
        <v>2401</v>
      </c>
      <c r="I700" t="s">
        <v>2401</v>
      </c>
      <c r="J700" t="s">
        <v>5130</v>
      </c>
      <c r="K700" t="s">
        <v>2433</v>
      </c>
      <c r="L700" t="s">
        <v>2401</v>
      </c>
      <c r="M700" s="14">
        <v>45565.56527777778</v>
      </c>
      <c r="N700" t="s">
        <v>5131</v>
      </c>
      <c r="O700" t="s">
        <v>5132</v>
      </c>
      <c r="P700" t="s">
        <v>2401</v>
      </c>
      <c r="Q700" t="s">
        <v>2401</v>
      </c>
      <c r="R700" t="s">
        <v>2401</v>
      </c>
      <c r="S700" t="s">
        <v>2401</v>
      </c>
    </row>
    <row r="701" spans="1:19">
      <c r="A701" t="s">
        <v>5133</v>
      </c>
      <c r="B701" t="s">
        <v>5134</v>
      </c>
      <c r="C701" t="s">
        <v>2401</v>
      </c>
      <c r="D701" t="s">
        <v>2401</v>
      </c>
      <c r="E701" t="s">
        <v>2401</v>
      </c>
      <c r="F701" t="s">
        <v>2401</v>
      </c>
      <c r="G701" t="s">
        <v>2401</v>
      </c>
      <c r="H701" t="s">
        <v>2401</v>
      </c>
      <c r="I701" t="s">
        <v>2401</v>
      </c>
      <c r="J701" t="s">
        <v>5135</v>
      </c>
      <c r="K701" t="s">
        <v>2492</v>
      </c>
      <c r="L701" t="s">
        <v>2401</v>
      </c>
      <c r="M701" s="14">
        <v>45565.563888888886</v>
      </c>
      <c r="N701" t="s">
        <v>5136</v>
      </c>
      <c r="O701" t="s">
        <v>5137</v>
      </c>
      <c r="P701" t="s">
        <v>2401</v>
      </c>
      <c r="Q701" t="s">
        <v>2401</v>
      </c>
      <c r="R701" t="s">
        <v>2401</v>
      </c>
      <c r="S701" t="s">
        <v>2401</v>
      </c>
    </row>
    <row r="702" spans="1:19">
      <c r="A702" t="s">
        <v>5138</v>
      </c>
      <c r="B702" t="s">
        <v>5139</v>
      </c>
      <c r="C702" t="s">
        <v>2401</v>
      </c>
      <c r="D702" t="s">
        <v>2401</v>
      </c>
      <c r="E702" t="s">
        <v>2401</v>
      </c>
      <c r="F702" t="s">
        <v>2401</v>
      </c>
      <c r="G702" t="s">
        <v>2401</v>
      </c>
      <c r="H702" t="s">
        <v>2401</v>
      </c>
      <c r="I702" t="s">
        <v>61</v>
      </c>
      <c r="J702" t="s">
        <v>5140</v>
      </c>
      <c r="K702" t="s">
        <v>2401</v>
      </c>
      <c r="L702" t="s">
        <v>2401</v>
      </c>
      <c r="M702" s="14">
        <v>45399.554861111108</v>
      </c>
      <c r="N702" t="s">
        <v>5141</v>
      </c>
      <c r="O702" t="s">
        <v>2401</v>
      </c>
      <c r="P702" t="s">
        <v>2401</v>
      </c>
      <c r="Q702" t="s">
        <v>2401</v>
      </c>
      <c r="R702" t="s">
        <v>2401</v>
      </c>
      <c r="S702" t="s">
        <v>2401</v>
      </c>
    </row>
    <row r="703" spans="1:19">
      <c r="A703" t="s">
        <v>5142</v>
      </c>
      <c r="B703" t="s">
        <v>1574</v>
      </c>
      <c r="C703" t="s">
        <v>2401</v>
      </c>
      <c r="D703" t="s">
        <v>2401</v>
      </c>
      <c r="E703" t="s">
        <v>2401</v>
      </c>
      <c r="F703" t="s">
        <v>2401</v>
      </c>
      <c r="G703" t="s">
        <v>2401</v>
      </c>
      <c r="H703" t="s">
        <v>2401</v>
      </c>
      <c r="I703" t="s">
        <v>61</v>
      </c>
      <c r="J703" t="s">
        <v>5143</v>
      </c>
      <c r="K703" t="s">
        <v>2499</v>
      </c>
      <c r="L703" t="s">
        <v>2401</v>
      </c>
      <c r="M703" s="14">
        <v>45399.554861111108</v>
      </c>
      <c r="N703" t="s">
        <v>5144</v>
      </c>
      <c r="O703" t="s">
        <v>5145</v>
      </c>
      <c r="P703" t="s">
        <v>2401</v>
      </c>
      <c r="Q703" t="s">
        <v>2401</v>
      </c>
      <c r="R703" t="s">
        <v>2401</v>
      </c>
      <c r="S703" t="s">
        <v>2401</v>
      </c>
    </row>
    <row r="704" spans="1:19">
      <c r="A704" t="s">
        <v>5146</v>
      </c>
      <c r="B704" t="s">
        <v>5147</v>
      </c>
      <c r="C704" t="s">
        <v>2401</v>
      </c>
      <c r="D704" t="s">
        <v>2401</v>
      </c>
      <c r="E704" t="s">
        <v>2401</v>
      </c>
      <c r="F704" t="s">
        <v>2401</v>
      </c>
      <c r="G704" t="s">
        <v>2401</v>
      </c>
      <c r="H704" t="s">
        <v>2401</v>
      </c>
      <c r="I704" t="s">
        <v>2401</v>
      </c>
      <c r="J704" t="s">
        <v>5148</v>
      </c>
      <c r="K704" t="s">
        <v>2401</v>
      </c>
      <c r="L704" t="s">
        <v>2401</v>
      </c>
      <c r="M704" s="14">
        <v>45399.554861111108</v>
      </c>
      <c r="N704" t="s">
        <v>5149</v>
      </c>
      <c r="O704" t="s">
        <v>5150</v>
      </c>
      <c r="P704" t="s">
        <v>2401</v>
      </c>
      <c r="Q704" t="s">
        <v>2401</v>
      </c>
      <c r="R704" t="s">
        <v>2401</v>
      </c>
      <c r="S704" t="s">
        <v>2401</v>
      </c>
    </row>
    <row r="705" spans="1:19">
      <c r="A705" t="s">
        <v>5151</v>
      </c>
      <c r="B705" t="s">
        <v>5152</v>
      </c>
      <c r="C705" t="s">
        <v>2401</v>
      </c>
      <c r="D705" t="s">
        <v>2401</v>
      </c>
      <c r="E705" t="s">
        <v>2401</v>
      </c>
      <c r="F705" t="s">
        <v>2401</v>
      </c>
      <c r="G705" t="s">
        <v>2401</v>
      </c>
      <c r="H705" t="s">
        <v>2401</v>
      </c>
      <c r="I705" t="s">
        <v>2401</v>
      </c>
      <c r="J705" t="s">
        <v>5153</v>
      </c>
      <c r="K705" t="s">
        <v>2401</v>
      </c>
      <c r="L705" t="s">
        <v>2401</v>
      </c>
      <c r="M705" s="14">
        <v>45399.554861111108</v>
      </c>
      <c r="N705" t="s">
        <v>5154</v>
      </c>
      <c r="O705" t="s">
        <v>2401</v>
      </c>
      <c r="P705" t="s">
        <v>2401</v>
      </c>
      <c r="Q705" t="s">
        <v>2401</v>
      </c>
      <c r="R705" t="s">
        <v>2401</v>
      </c>
      <c r="S705" t="s">
        <v>2401</v>
      </c>
    </row>
    <row r="706" spans="1:19">
      <c r="A706" t="s">
        <v>5155</v>
      </c>
      <c r="B706" t="s">
        <v>5156</v>
      </c>
      <c r="C706" t="s">
        <v>2401</v>
      </c>
      <c r="D706" t="s">
        <v>2401</v>
      </c>
      <c r="E706" t="s">
        <v>2401</v>
      </c>
      <c r="F706" t="s">
        <v>2401</v>
      </c>
      <c r="G706" t="s">
        <v>2401</v>
      </c>
      <c r="H706" t="s">
        <v>2401</v>
      </c>
      <c r="I706" t="s">
        <v>2401</v>
      </c>
      <c r="J706" t="s">
        <v>5157</v>
      </c>
      <c r="K706" t="s">
        <v>2401</v>
      </c>
      <c r="L706" t="s">
        <v>2401</v>
      </c>
      <c r="M706" s="14">
        <v>45399.554861111108</v>
      </c>
      <c r="N706" t="s">
        <v>5158</v>
      </c>
      <c r="O706" t="s">
        <v>5159</v>
      </c>
      <c r="P706" t="s">
        <v>2401</v>
      </c>
      <c r="Q706" t="s">
        <v>2401</v>
      </c>
      <c r="R706" t="s">
        <v>2401</v>
      </c>
      <c r="S706" t="s">
        <v>2401</v>
      </c>
    </row>
    <row r="707" spans="1:19">
      <c r="A707" t="s">
        <v>5160</v>
      </c>
      <c r="B707" t="s">
        <v>5161</v>
      </c>
      <c r="C707" t="s">
        <v>2401</v>
      </c>
      <c r="D707" t="s">
        <v>2401</v>
      </c>
      <c r="E707" t="s">
        <v>2401</v>
      </c>
      <c r="F707" t="s">
        <v>2401</v>
      </c>
      <c r="G707" t="s">
        <v>2401</v>
      </c>
      <c r="H707" t="s">
        <v>2401</v>
      </c>
      <c r="I707" t="s">
        <v>2401</v>
      </c>
      <c r="J707" t="s">
        <v>2401</v>
      </c>
      <c r="K707" t="s">
        <v>2401</v>
      </c>
      <c r="L707" t="s">
        <v>2401</v>
      </c>
      <c r="M707" s="14">
        <v>45390.607638888891</v>
      </c>
      <c r="N707" t="s">
        <v>2401</v>
      </c>
      <c r="O707" t="s">
        <v>2401</v>
      </c>
      <c r="P707" t="s">
        <v>2401</v>
      </c>
      <c r="Q707" t="s">
        <v>2401</v>
      </c>
      <c r="R707" t="s">
        <v>2401</v>
      </c>
      <c r="S707" t="s">
        <v>2401</v>
      </c>
    </row>
    <row r="708" spans="1:19">
      <c r="A708" t="s">
        <v>5162</v>
      </c>
      <c r="B708" t="s">
        <v>5163</v>
      </c>
      <c r="C708" t="s">
        <v>2401</v>
      </c>
      <c r="D708" t="s">
        <v>2401</v>
      </c>
      <c r="E708" t="s">
        <v>2401</v>
      </c>
      <c r="F708" t="s">
        <v>2401</v>
      </c>
      <c r="G708" t="s">
        <v>2401</v>
      </c>
      <c r="H708" t="s">
        <v>2401</v>
      </c>
      <c r="I708" t="s">
        <v>2401</v>
      </c>
      <c r="J708" t="s">
        <v>5164</v>
      </c>
      <c r="K708" t="s">
        <v>2433</v>
      </c>
      <c r="L708" t="s">
        <v>2401</v>
      </c>
      <c r="M708" s="14">
        <v>45399.554861111108</v>
      </c>
      <c r="N708" t="s">
        <v>5165</v>
      </c>
      <c r="O708" t="s">
        <v>5166</v>
      </c>
      <c r="P708" t="s">
        <v>2401</v>
      </c>
      <c r="Q708" t="s">
        <v>2401</v>
      </c>
      <c r="R708" t="s">
        <v>2401</v>
      </c>
      <c r="S708" t="s">
        <v>2401</v>
      </c>
    </row>
    <row r="709" spans="1:19">
      <c r="A709" t="s">
        <v>5167</v>
      </c>
      <c r="B709" t="s">
        <v>5168</v>
      </c>
      <c r="C709" t="s">
        <v>2564</v>
      </c>
      <c r="D709" t="s">
        <v>5169</v>
      </c>
      <c r="E709" t="s">
        <v>5170</v>
      </c>
      <c r="F709" t="s">
        <v>5171</v>
      </c>
      <c r="G709" t="s">
        <v>5172</v>
      </c>
      <c r="H709" t="s">
        <v>5173</v>
      </c>
      <c r="I709" t="s">
        <v>2401</v>
      </c>
      <c r="J709" t="s">
        <v>5174</v>
      </c>
      <c r="K709" t="s">
        <v>2406</v>
      </c>
      <c r="L709" t="s">
        <v>2401</v>
      </c>
      <c r="M709" s="14">
        <v>45534.874305555553</v>
      </c>
      <c r="N709" t="s">
        <v>5175</v>
      </c>
      <c r="O709" t="s">
        <v>2401</v>
      </c>
      <c r="P709" t="s">
        <v>2401</v>
      </c>
      <c r="Q709" t="s">
        <v>2401</v>
      </c>
      <c r="R709" t="s">
        <v>2401</v>
      </c>
      <c r="S709" t="s">
        <v>2401</v>
      </c>
    </row>
    <row r="710" spans="1:19">
      <c r="A710" t="s">
        <v>5176</v>
      </c>
      <c r="B710" t="s">
        <v>5177</v>
      </c>
      <c r="C710" t="s">
        <v>2401</v>
      </c>
      <c r="D710" t="s">
        <v>2401</v>
      </c>
      <c r="E710" t="s">
        <v>2401</v>
      </c>
      <c r="F710" t="s">
        <v>2401</v>
      </c>
      <c r="G710" t="s">
        <v>2401</v>
      </c>
      <c r="H710" t="s">
        <v>2401</v>
      </c>
      <c r="I710" t="s">
        <v>2401</v>
      </c>
      <c r="J710" t="s">
        <v>5178</v>
      </c>
      <c r="K710" t="s">
        <v>2492</v>
      </c>
      <c r="L710" t="s">
        <v>2401</v>
      </c>
      <c r="M710" s="14">
        <v>45565.645138888889</v>
      </c>
      <c r="N710" t="s">
        <v>5179</v>
      </c>
      <c r="O710" t="s">
        <v>5180</v>
      </c>
      <c r="P710" t="s">
        <v>2401</v>
      </c>
      <c r="Q710" t="s">
        <v>2401</v>
      </c>
      <c r="R710" t="s">
        <v>2401</v>
      </c>
      <c r="S710" t="s">
        <v>2401</v>
      </c>
    </row>
    <row r="711" spans="1:19">
      <c r="A711" t="s">
        <v>5181</v>
      </c>
      <c r="B711" t="s">
        <v>5182</v>
      </c>
      <c r="C711" t="s">
        <v>2401</v>
      </c>
      <c r="D711" t="s">
        <v>2401</v>
      </c>
      <c r="E711" t="s">
        <v>2401</v>
      </c>
      <c r="F711" t="s">
        <v>2401</v>
      </c>
      <c r="G711" t="s">
        <v>2401</v>
      </c>
      <c r="H711" t="s">
        <v>2401</v>
      </c>
      <c r="I711" t="s">
        <v>2401</v>
      </c>
      <c r="J711" t="s">
        <v>5183</v>
      </c>
      <c r="K711" t="s">
        <v>2401</v>
      </c>
      <c r="L711" t="s">
        <v>2401</v>
      </c>
      <c r="M711" s="14">
        <v>45565.660416666666</v>
      </c>
      <c r="N711" t="s">
        <v>5184</v>
      </c>
      <c r="O711" t="s">
        <v>5185</v>
      </c>
      <c r="P711" t="s">
        <v>2401</v>
      </c>
      <c r="Q711" t="s">
        <v>2401</v>
      </c>
      <c r="R711" t="s">
        <v>2401</v>
      </c>
      <c r="S711" t="s">
        <v>2401</v>
      </c>
    </row>
    <row r="712" spans="1:19">
      <c r="A712" t="s">
        <v>5186</v>
      </c>
      <c r="B712" t="s">
        <v>5187</v>
      </c>
      <c r="C712" t="s">
        <v>2401</v>
      </c>
      <c r="D712" t="s">
        <v>2401</v>
      </c>
      <c r="E712" t="s">
        <v>2401</v>
      </c>
      <c r="F712" t="s">
        <v>2401</v>
      </c>
      <c r="G712" t="s">
        <v>2401</v>
      </c>
      <c r="H712" t="s">
        <v>2401</v>
      </c>
      <c r="I712" t="s">
        <v>2401</v>
      </c>
      <c r="J712" t="s">
        <v>5188</v>
      </c>
      <c r="K712" t="s">
        <v>2406</v>
      </c>
      <c r="L712" t="s">
        <v>2401</v>
      </c>
      <c r="M712" s="14">
        <v>45399.554861111108</v>
      </c>
      <c r="N712" t="s">
        <v>5189</v>
      </c>
      <c r="O712" t="s">
        <v>2401</v>
      </c>
      <c r="P712" t="s">
        <v>2401</v>
      </c>
      <c r="Q712" t="s">
        <v>2401</v>
      </c>
      <c r="R712" t="s">
        <v>2401</v>
      </c>
      <c r="S712" t="s">
        <v>2401</v>
      </c>
    </row>
    <row r="713" spans="1:19">
      <c r="A713" t="s">
        <v>5190</v>
      </c>
      <c r="B713" t="s">
        <v>5191</v>
      </c>
      <c r="C713" t="s">
        <v>2401</v>
      </c>
      <c r="D713" t="s">
        <v>2401</v>
      </c>
      <c r="E713" t="s">
        <v>2401</v>
      </c>
      <c r="F713" t="s">
        <v>2401</v>
      </c>
      <c r="G713" t="s">
        <v>2401</v>
      </c>
      <c r="H713" t="s">
        <v>2401</v>
      </c>
      <c r="I713" t="s">
        <v>2401</v>
      </c>
      <c r="J713" t="s">
        <v>5192</v>
      </c>
      <c r="K713" t="s">
        <v>2720</v>
      </c>
      <c r="L713" t="s">
        <v>2401</v>
      </c>
      <c r="M713" s="14">
        <v>45565.56527777778</v>
      </c>
      <c r="N713" t="s">
        <v>5193</v>
      </c>
      <c r="O713" t="s">
        <v>2401</v>
      </c>
      <c r="P713" t="s">
        <v>2401</v>
      </c>
      <c r="Q713" t="s">
        <v>2401</v>
      </c>
      <c r="R713" t="s">
        <v>2401</v>
      </c>
      <c r="S713" t="s">
        <v>2401</v>
      </c>
    </row>
    <row r="714" spans="1:19">
      <c r="A714" t="s">
        <v>5194</v>
      </c>
      <c r="B714" t="s">
        <v>5195</v>
      </c>
      <c r="C714" t="s">
        <v>2401</v>
      </c>
      <c r="D714" t="s">
        <v>2401</v>
      </c>
      <c r="E714" t="s">
        <v>2401</v>
      </c>
      <c r="F714" t="s">
        <v>2401</v>
      </c>
      <c r="G714" t="s">
        <v>2401</v>
      </c>
      <c r="H714" t="s">
        <v>2401</v>
      </c>
      <c r="I714" t="s">
        <v>2401</v>
      </c>
      <c r="J714" t="s">
        <v>5196</v>
      </c>
      <c r="K714" t="s">
        <v>2720</v>
      </c>
      <c r="L714" t="s">
        <v>2401</v>
      </c>
      <c r="M714" s="14">
        <v>45565.65</v>
      </c>
      <c r="N714" t="s">
        <v>5197</v>
      </c>
      <c r="O714" t="s">
        <v>5198</v>
      </c>
      <c r="P714" t="s">
        <v>2401</v>
      </c>
      <c r="Q714" t="s">
        <v>2401</v>
      </c>
      <c r="R714" t="s">
        <v>2401</v>
      </c>
      <c r="S714" t="s">
        <v>2401</v>
      </c>
    </row>
    <row r="715" spans="1:19">
      <c r="A715" t="s">
        <v>5199</v>
      </c>
      <c r="B715" t="s">
        <v>5200</v>
      </c>
      <c r="C715" t="s">
        <v>2401</v>
      </c>
      <c r="D715" t="s">
        <v>2401</v>
      </c>
      <c r="E715" t="s">
        <v>2401</v>
      </c>
      <c r="F715" t="s">
        <v>2401</v>
      </c>
      <c r="G715" t="s">
        <v>2401</v>
      </c>
      <c r="H715" t="s">
        <v>2401</v>
      </c>
      <c r="I715" t="s">
        <v>2401</v>
      </c>
      <c r="J715" t="s">
        <v>5201</v>
      </c>
      <c r="K715" t="s">
        <v>2486</v>
      </c>
      <c r="L715" t="s">
        <v>2401</v>
      </c>
      <c r="M715" s="14">
        <v>45399.554861111108</v>
      </c>
      <c r="N715" t="s">
        <v>5202</v>
      </c>
      <c r="O715" t="s">
        <v>5203</v>
      </c>
      <c r="P715" t="s">
        <v>2401</v>
      </c>
      <c r="Q715" t="s">
        <v>2401</v>
      </c>
      <c r="R715" t="s">
        <v>2401</v>
      </c>
      <c r="S715" t="s">
        <v>2401</v>
      </c>
    </row>
    <row r="716" spans="1:19">
      <c r="A716" t="s">
        <v>5204</v>
      </c>
      <c r="B716" t="s">
        <v>5205</v>
      </c>
      <c r="C716" t="s">
        <v>2401</v>
      </c>
      <c r="D716" t="s">
        <v>2401</v>
      </c>
      <c r="E716" t="s">
        <v>2401</v>
      </c>
      <c r="F716" t="s">
        <v>2401</v>
      </c>
      <c r="G716" t="s">
        <v>2401</v>
      </c>
      <c r="H716" t="s">
        <v>2401</v>
      </c>
      <c r="I716" t="s">
        <v>2401</v>
      </c>
      <c r="J716" t="s">
        <v>5206</v>
      </c>
      <c r="K716" t="s">
        <v>3071</v>
      </c>
      <c r="L716" t="s">
        <v>2401</v>
      </c>
      <c r="M716" s="14">
        <v>45565.570833333331</v>
      </c>
      <c r="N716" t="s">
        <v>5207</v>
      </c>
      <c r="O716" t="s">
        <v>5208</v>
      </c>
      <c r="P716" t="s">
        <v>2401</v>
      </c>
      <c r="Q716" t="s">
        <v>2401</v>
      </c>
      <c r="R716" t="s">
        <v>2401</v>
      </c>
      <c r="S716" t="s">
        <v>2401</v>
      </c>
    </row>
    <row r="717" spans="1:19">
      <c r="A717" t="s">
        <v>5209</v>
      </c>
      <c r="B717" t="s">
        <v>5205</v>
      </c>
      <c r="C717" t="s">
        <v>2401</v>
      </c>
      <c r="D717" t="s">
        <v>2401</v>
      </c>
      <c r="E717" t="s">
        <v>2401</v>
      </c>
      <c r="F717" t="s">
        <v>2401</v>
      </c>
      <c r="G717" t="s">
        <v>2401</v>
      </c>
      <c r="H717" t="s">
        <v>2401</v>
      </c>
      <c r="I717" t="s">
        <v>2401</v>
      </c>
      <c r="J717" t="s">
        <v>5210</v>
      </c>
      <c r="K717" t="s">
        <v>2406</v>
      </c>
      <c r="L717" t="s">
        <v>2401</v>
      </c>
      <c r="M717" s="14">
        <v>45399.554861111108</v>
      </c>
      <c r="N717" t="s">
        <v>5211</v>
      </c>
      <c r="O717" t="s">
        <v>2401</v>
      </c>
      <c r="P717" t="s">
        <v>2401</v>
      </c>
      <c r="Q717" t="s">
        <v>2401</v>
      </c>
      <c r="R717" t="s">
        <v>2401</v>
      </c>
      <c r="S717" t="s">
        <v>2401</v>
      </c>
    </row>
    <row r="718" spans="1:19">
      <c r="A718" t="s">
        <v>5212</v>
      </c>
      <c r="B718" t="s">
        <v>5213</v>
      </c>
      <c r="C718" t="s">
        <v>2401</v>
      </c>
      <c r="D718" t="s">
        <v>2401</v>
      </c>
      <c r="E718" t="s">
        <v>2401</v>
      </c>
      <c r="F718" t="s">
        <v>2401</v>
      </c>
      <c r="G718" t="s">
        <v>2401</v>
      </c>
      <c r="H718" t="s">
        <v>2401</v>
      </c>
      <c r="I718" t="s">
        <v>2401</v>
      </c>
      <c r="J718" t="s">
        <v>5214</v>
      </c>
      <c r="K718" t="s">
        <v>2492</v>
      </c>
      <c r="L718" t="s">
        <v>2401</v>
      </c>
      <c r="M718" s="14">
        <v>45565.570833333331</v>
      </c>
      <c r="N718" t="s">
        <v>5215</v>
      </c>
      <c r="O718" t="s">
        <v>5216</v>
      </c>
      <c r="P718" t="s">
        <v>2401</v>
      </c>
      <c r="Q718" t="s">
        <v>2401</v>
      </c>
      <c r="R718" t="s">
        <v>2401</v>
      </c>
      <c r="S718" t="s">
        <v>2401</v>
      </c>
    </row>
    <row r="719" spans="1:19">
      <c r="A719" t="s">
        <v>5217</v>
      </c>
      <c r="B719" t="s">
        <v>5218</v>
      </c>
      <c r="C719" t="s">
        <v>2401</v>
      </c>
      <c r="D719" t="s">
        <v>2401</v>
      </c>
      <c r="E719" t="s">
        <v>2401</v>
      </c>
      <c r="F719" t="s">
        <v>2401</v>
      </c>
      <c r="G719" t="s">
        <v>2401</v>
      </c>
      <c r="H719" t="s">
        <v>2401</v>
      </c>
      <c r="I719" t="s">
        <v>2401</v>
      </c>
      <c r="J719" t="s">
        <v>5219</v>
      </c>
      <c r="K719" t="s">
        <v>2433</v>
      </c>
      <c r="L719" t="s">
        <v>2401</v>
      </c>
      <c r="M719" s="14">
        <v>45565.566666666666</v>
      </c>
      <c r="N719" t="s">
        <v>5220</v>
      </c>
      <c r="O719" t="s">
        <v>5221</v>
      </c>
      <c r="P719" t="s">
        <v>2401</v>
      </c>
      <c r="Q719" t="s">
        <v>2401</v>
      </c>
      <c r="R719" t="s">
        <v>2401</v>
      </c>
      <c r="S719" t="s">
        <v>2401</v>
      </c>
    </row>
    <row r="720" spans="1:19">
      <c r="A720" t="s">
        <v>5222</v>
      </c>
      <c r="B720" t="s">
        <v>5223</v>
      </c>
      <c r="C720" t="s">
        <v>2401</v>
      </c>
      <c r="D720" t="s">
        <v>2401</v>
      </c>
      <c r="E720" t="s">
        <v>2401</v>
      </c>
      <c r="F720" t="s">
        <v>2401</v>
      </c>
      <c r="G720" t="s">
        <v>2401</v>
      </c>
      <c r="H720" t="s">
        <v>2401</v>
      </c>
      <c r="I720" t="s">
        <v>2401</v>
      </c>
      <c r="J720" t="s">
        <v>2401</v>
      </c>
      <c r="K720" t="s">
        <v>3592</v>
      </c>
      <c r="L720" t="s">
        <v>2401</v>
      </c>
      <c r="M720" s="14">
        <v>45390.607638888891</v>
      </c>
      <c r="N720" t="s">
        <v>2401</v>
      </c>
      <c r="O720" t="s">
        <v>5224</v>
      </c>
      <c r="P720" t="s">
        <v>2401</v>
      </c>
      <c r="Q720" t="s">
        <v>2401</v>
      </c>
      <c r="R720" t="s">
        <v>2401</v>
      </c>
      <c r="S720" t="s">
        <v>2401</v>
      </c>
    </row>
    <row r="721" spans="1:19">
      <c r="A721" t="s">
        <v>5225</v>
      </c>
      <c r="B721" t="s">
        <v>5226</v>
      </c>
      <c r="C721" t="s">
        <v>2401</v>
      </c>
      <c r="D721" t="s">
        <v>2401</v>
      </c>
      <c r="E721" t="s">
        <v>2401</v>
      </c>
      <c r="F721" t="s">
        <v>2401</v>
      </c>
      <c r="G721" t="s">
        <v>2401</v>
      </c>
      <c r="H721" t="s">
        <v>2401</v>
      </c>
      <c r="I721" t="s">
        <v>2401</v>
      </c>
      <c r="J721" t="s">
        <v>5227</v>
      </c>
      <c r="K721" t="s">
        <v>4025</v>
      </c>
      <c r="L721" t="s">
        <v>2401</v>
      </c>
      <c r="M721" s="14">
        <v>45399.554861111108</v>
      </c>
      <c r="N721" t="s">
        <v>5228</v>
      </c>
      <c r="O721" t="s">
        <v>2401</v>
      </c>
      <c r="P721" t="s">
        <v>2401</v>
      </c>
      <c r="Q721" t="s">
        <v>2401</v>
      </c>
      <c r="R721" t="s">
        <v>2401</v>
      </c>
      <c r="S721" t="s">
        <v>2401</v>
      </c>
    </row>
    <row r="722" spans="1:19">
      <c r="A722" t="s">
        <v>5229</v>
      </c>
      <c r="B722" t="s">
        <v>5230</v>
      </c>
      <c r="C722" t="s">
        <v>2401</v>
      </c>
      <c r="D722" t="s">
        <v>2401</v>
      </c>
      <c r="E722" t="s">
        <v>2401</v>
      </c>
      <c r="F722" t="s">
        <v>2401</v>
      </c>
      <c r="G722" t="s">
        <v>2401</v>
      </c>
      <c r="H722" t="s">
        <v>2401</v>
      </c>
      <c r="I722" t="s">
        <v>2401</v>
      </c>
      <c r="J722" t="s">
        <v>5231</v>
      </c>
      <c r="K722" t="s">
        <v>2615</v>
      </c>
      <c r="L722" t="s">
        <v>2401</v>
      </c>
      <c r="M722" s="14">
        <v>45399.554861111108</v>
      </c>
      <c r="N722" t="s">
        <v>5232</v>
      </c>
      <c r="O722" t="s">
        <v>5233</v>
      </c>
      <c r="P722" t="s">
        <v>2401</v>
      </c>
      <c r="Q722" t="s">
        <v>2401</v>
      </c>
      <c r="R722" t="s">
        <v>2401</v>
      </c>
      <c r="S722" t="s">
        <v>2401</v>
      </c>
    </row>
    <row r="723" spans="1:19">
      <c r="A723" t="s">
        <v>5234</v>
      </c>
      <c r="B723" t="s">
        <v>5235</v>
      </c>
      <c r="C723" t="s">
        <v>2401</v>
      </c>
      <c r="D723" t="s">
        <v>2401</v>
      </c>
      <c r="E723" t="s">
        <v>2401</v>
      </c>
      <c r="F723" t="s">
        <v>2401</v>
      </c>
      <c r="G723" t="s">
        <v>2401</v>
      </c>
      <c r="H723" t="s">
        <v>2401</v>
      </c>
      <c r="I723" t="s">
        <v>2401</v>
      </c>
      <c r="J723" t="s">
        <v>5236</v>
      </c>
      <c r="K723" t="s">
        <v>2492</v>
      </c>
      <c r="L723" t="s">
        <v>2401</v>
      </c>
      <c r="M723" s="14">
        <v>45565.689583333333</v>
      </c>
      <c r="N723" t="s">
        <v>5237</v>
      </c>
      <c r="O723" t="s">
        <v>2401</v>
      </c>
      <c r="P723" t="s">
        <v>2401</v>
      </c>
      <c r="Q723" t="s">
        <v>2401</v>
      </c>
      <c r="R723" t="s">
        <v>2401</v>
      </c>
      <c r="S723" t="s">
        <v>2401</v>
      </c>
    </row>
    <row r="724" spans="1:19">
      <c r="A724" t="s">
        <v>5238</v>
      </c>
      <c r="B724" t="s">
        <v>5239</v>
      </c>
      <c r="C724" t="s">
        <v>2401</v>
      </c>
      <c r="D724" t="s">
        <v>2401</v>
      </c>
      <c r="E724" t="s">
        <v>2401</v>
      </c>
      <c r="F724" t="s">
        <v>2401</v>
      </c>
      <c r="G724" t="s">
        <v>2401</v>
      </c>
      <c r="H724" t="s">
        <v>2401</v>
      </c>
      <c r="I724" t="s">
        <v>2401</v>
      </c>
      <c r="J724" t="s">
        <v>5240</v>
      </c>
      <c r="K724" t="s">
        <v>2615</v>
      </c>
      <c r="L724" t="s">
        <v>2401</v>
      </c>
      <c r="M724" s="14">
        <v>45565.656944444447</v>
      </c>
      <c r="N724" t="s">
        <v>5241</v>
      </c>
      <c r="O724" t="s">
        <v>2401</v>
      </c>
      <c r="P724" t="s">
        <v>2401</v>
      </c>
      <c r="Q724" t="s">
        <v>2401</v>
      </c>
      <c r="R724" t="s">
        <v>2401</v>
      </c>
      <c r="S724" t="s">
        <v>2401</v>
      </c>
    </row>
    <row r="725" spans="1:19">
      <c r="A725" t="s">
        <v>5242</v>
      </c>
      <c r="B725" t="s">
        <v>5243</v>
      </c>
      <c r="C725" t="s">
        <v>2401</v>
      </c>
      <c r="D725" t="s">
        <v>2401</v>
      </c>
      <c r="E725" t="s">
        <v>2401</v>
      </c>
      <c r="F725" t="s">
        <v>2401</v>
      </c>
      <c r="G725" t="s">
        <v>2401</v>
      </c>
      <c r="H725" t="s">
        <v>2401</v>
      </c>
      <c r="I725" t="s">
        <v>2401</v>
      </c>
      <c r="J725" t="s">
        <v>5244</v>
      </c>
      <c r="K725" t="s">
        <v>2567</v>
      </c>
      <c r="L725" t="s">
        <v>2401</v>
      </c>
      <c r="M725" s="14">
        <v>45534.874305555553</v>
      </c>
      <c r="N725" t="s">
        <v>5245</v>
      </c>
      <c r="O725" t="s">
        <v>2401</v>
      </c>
      <c r="P725" t="s">
        <v>2401</v>
      </c>
      <c r="Q725" t="s">
        <v>2401</v>
      </c>
      <c r="R725" t="s">
        <v>2401</v>
      </c>
      <c r="S725" t="s">
        <v>2401</v>
      </c>
    </row>
    <row r="726" spans="1:19">
      <c r="A726" t="s">
        <v>5246</v>
      </c>
      <c r="B726" t="s">
        <v>5247</v>
      </c>
      <c r="C726" t="s">
        <v>2401</v>
      </c>
      <c r="D726" t="s">
        <v>2401</v>
      </c>
      <c r="E726" t="s">
        <v>2401</v>
      </c>
      <c r="F726" t="s">
        <v>2401</v>
      </c>
      <c r="G726" t="s">
        <v>2401</v>
      </c>
      <c r="H726" t="s">
        <v>2401</v>
      </c>
      <c r="I726" t="s">
        <v>2401</v>
      </c>
      <c r="J726" t="s">
        <v>5248</v>
      </c>
      <c r="K726" t="s">
        <v>2779</v>
      </c>
      <c r="L726" t="s">
        <v>2401</v>
      </c>
      <c r="M726" s="14">
        <v>45561.472916666666</v>
      </c>
      <c r="N726" t="s">
        <v>5249</v>
      </c>
      <c r="O726" t="s">
        <v>5250</v>
      </c>
      <c r="P726" t="s">
        <v>2401</v>
      </c>
      <c r="Q726" t="s">
        <v>2401</v>
      </c>
      <c r="R726" t="s">
        <v>2401</v>
      </c>
      <c r="S726" t="s">
        <v>2401</v>
      </c>
    </row>
    <row r="727" spans="1:19">
      <c r="A727" t="s">
        <v>5251</v>
      </c>
      <c r="B727" t="s">
        <v>530</v>
      </c>
      <c r="C727" t="s">
        <v>2401</v>
      </c>
      <c r="D727" t="s">
        <v>2401</v>
      </c>
      <c r="E727" t="s">
        <v>2401</v>
      </c>
      <c r="F727" t="s">
        <v>2401</v>
      </c>
      <c r="G727" t="s">
        <v>2401</v>
      </c>
      <c r="H727" t="s">
        <v>2401</v>
      </c>
      <c r="I727" t="s">
        <v>2401</v>
      </c>
      <c r="J727" t="s">
        <v>5252</v>
      </c>
      <c r="K727" t="s">
        <v>2448</v>
      </c>
      <c r="L727" t="s">
        <v>2401</v>
      </c>
      <c r="M727" s="14">
        <v>45391.352083333331</v>
      </c>
      <c r="N727" t="s">
        <v>5253</v>
      </c>
      <c r="O727" t="s">
        <v>5254</v>
      </c>
      <c r="P727" t="s">
        <v>5255</v>
      </c>
      <c r="Q727">
        <v>1</v>
      </c>
      <c r="R727" t="s">
        <v>2401</v>
      </c>
      <c r="S727" t="s">
        <v>5256</v>
      </c>
    </row>
    <row r="728" spans="1:19">
      <c r="A728" t="s">
        <v>5257</v>
      </c>
      <c r="B728" t="s">
        <v>5258</v>
      </c>
      <c r="C728" t="s">
        <v>2401</v>
      </c>
      <c r="D728" t="s">
        <v>2401</v>
      </c>
      <c r="E728" t="s">
        <v>2401</v>
      </c>
      <c r="F728" t="s">
        <v>2401</v>
      </c>
      <c r="G728" t="s">
        <v>2401</v>
      </c>
      <c r="H728" t="s">
        <v>2401</v>
      </c>
      <c r="I728" t="s">
        <v>2401</v>
      </c>
      <c r="J728" t="s">
        <v>5259</v>
      </c>
      <c r="K728" t="s">
        <v>2615</v>
      </c>
      <c r="L728" t="s">
        <v>2401</v>
      </c>
      <c r="M728" s="14">
        <v>45399.554861111108</v>
      </c>
      <c r="N728" t="s">
        <v>5260</v>
      </c>
      <c r="O728" t="s">
        <v>5261</v>
      </c>
      <c r="P728" t="s">
        <v>2401</v>
      </c>
      <c r="Q728" t="s">
        <v>2401</v>
      </c>
      <c r="R728" t="s">
        <v>2401</v>
      </c>
      <c r="S728" t="s">
        <v>2401</v>
      </c>
    </row>
    <row r="729" spans="1:19">
      <c r="A729" t="s">
        <v>5262</v>
      </c>
      <c r="B729" t="s">
        <v>5263</v>
      </c>
      <c r="C729" t="s">
        <v>2401</v>
      </c>
      <c r="D729" t="s">
        <v>2401</v>
      </c>
      <c r="E729" t="s">
        <v>2401</v>
      </c>
      <c r="F729" t="s">
        <v>2401</v>
      </c>
      <c r="G729" t="s">
        <v>2401</v>
      </c>
      <c r="H729" t="s">
        <v>2401</v>
      </c>
      <c r="I729" t="s">
        <v>2401</v>
      </c>
      <c r="J729" t="s">
        <v>5264</v>
      </c>
      <c r="K729" t="s">
        <v>2615</v>
      </c>
      <c r="L729" t="s">
        <v>2401</v>
      </c>
      <c r="M729" s="14">
        <v>45565.570833333331</v>
      </c>
      <c r="N729" t="s">
        <v>5265</v>
      </c>
      <c r="O729" t="s">
        <v>2401</v>
      </c>
      <c r="P729" t="s">
        <v>2401</v>
      </c>
      <c r="Q729" t="s">
        <v>2401</v>
      </c>
      <c r="R729" t="s">
        <v>2401</v>
      </c>
      <c r="S729" t="s">
        <v>2401</v>
      </c>
    </row>
    <row r="730" spans="1:19">
      <c r="A730" t="s">
        <v>5266</v>
      </c>
      <c r="B730" t="s">
        <v>5267</v>
      </c>
      <c r="C730" t="s">
        <v>2401</v>
      </c>
      <c r="D730" t="s">
        <v>2401</v>
      </c>
      <c r="E730" t="s">
        <v>2401</v>
      </c>
      <c r="F730" t="s">
        <v>2401</v>
      </c>
      <c r="G730" t="s">
        <v>2401</v>
      </c>
      <c r="H730" t="s">
        <v>2401</v>
      </c>
      <c r="I730" t="s">
        <v>2401</v>
      </c>
      <c r="J730" t="s">
        <v>2401</v>
      </c>
      <c r="K730" t="s">
        <v>2401</v>
      </c>
      <c r="L730" t="s">
        <v>2401</v>
      </c>
      <c r="M730" s="14">
        <v>45399.554861111108</v>
      </c>
      <c r="N730" t="s">
        <v>2401</v>
      </c>
      <c r="O730" t="s">
        <v>2401</v>
      </c>
      <c r="P730" t="s">
        <v>2401</v>
      </c>
      <c r="Q730" t="s">
        <v>2401</v>
      </c>
      <c r="R730" t="s">
        <v>2401</v>
      </c>
      <c r="S730" t="s">
        <v>2401</v>
      </c>
    </row>
    <row r="731" spans="1:19">
      <c r="A731" t="s">
        <v>5268</v>
      </c>
      <c r="B731" t="s">
        <v>5269</v>
      </c>
      <c r="C731" t="s">
        <v>2401</v>
      </c>
      <c r="D731" t="s">
        <v>2401</v>
      </c>
      <c r="E731" t="s">
        <v>2401</v>
      </c>
      <c r="F731" t="s">
        <v>2401</v>
      </c>
      <c r="G731" t="s">
        <v>2401</v>
      </c>
      <c r="H731" t="s">
        <v>2401</v>
      </c>
      <c r="I731" t="s">
        <v>2401</v>
      </c>
      <c r="J731" t="s">
        <v>2401</v>
      </c>
      <c r="K731" t="s">
        <v>2401</v>
      </c>
      <c r="L731" t="s">
        <v>2401</v>
      </c>
      <c r="M731" s="14">
        <v>45399.554861111108</v>
      </c>
      <c r="N731" t="s">
        <v>2401</v>
      </c>
      <c r="O731" t="s">
        <v>2401</v>
      </c>
      <c r="P731" t="s">
        <v>2401</v>
      </c>
      <c r="Q731" t="s">
        <v>2401</v>
      </c>
      <c r="R731" t="s">
        <v>2401</v>
      </c>
      <c r="S731" t="s">
        <v>2401</v>
      </c>
    </row>
    <row r="732" spans="1:19">
      <c r="A732" t="s">
        <v>5270</v>
      </c>
      <c r="B732" t="s">
        <v>542</v>
      </c>
      <c r="C732" t="s">
        <v>2401</v>
      </c>
      <c r="D732" t="s">
        <v>2401</v>
      </c>
      <c r="E732" t="s">
        <v>2401</v>
      </c>
      <c r="F732" t="s">
        <v>2401</v>
      </c>
      <c r="G732" t="s">
        <v>2401</v>
      </c>
      <c r="H732" t="s">
        <v>2401</v>
      </c>
      <c r="I732" t="s">
        <v>2401</v>
      </c>
      <c r="J732" t="s">
        <v>5271</v>
      </c>
      <c r="K732" t="s">
        <v>3308</v>
      </c>
      <c r="L732" t="s">
        <v>2401</v>
      </c>
      <c r="M732" s="14">
        <v>45565.593055555553</v>
      </c>
      <c r="N732" t="s">
        <v>5272</v>
      </c>
      <c r="O732" t="s">
        <v>5273</v>
      </c>
      <c r="P732" t="s">
        <v>2401</v>
      </c>
      <c r="Q732" t="s">
        <v>2401</v>
      </c>
      <c r="R732" t="s">
        <v>2401</v>
      </c>
      <c r="S732" t="s">
        <v>2401</v>
      </c>
    </row>
    <row r="733" spans="1:19">
      <c r="A733" t="s">
        <v>5274</v>
      </c>
      <c r="B733" t="s">
        <v>5275</v>
      </c>
      <c r="C733" t="s">
        <v>2401</v>
      </c>
      <c r="D733" t="s">
        <v>2401</v>
      </c>
      <c r="E733" t="s">
        <v>2401</v>
      </c>
      <c r="F733" t="s">
        <v>2401</v>
      </c>
      <c r="G733" t="s">
        <v>2401</v>
      </c>
      <c r="H733" t="s">
        <v>2401</v>
      </c>
      <c r="I733" t="s">
        <v>2401</v>
      </c>
      <c r="J733" t="s">
        <v>5276</v>
      </c>
      <c r="K733" t="s">
        <v>2438</v>
      </c>
      <c r="L733" t="s">
        <v>2401</v>
      </c>
      <c r="M733" s="14">
        <v>45559.37777777778</v>
      </c>
      <c r="N733" t="s">
        <v>5277</v>
      </c>
      <c r="O733" t="s">
        <v>5278</v>
      </c>
      <c r="P733" t="s">
        <v>2401</v>
      </c>
      <c r="Q733" t="s">
        <v>2401</v>
      </c>
      <c r="R733" t="s">
        <v>2401</v>
      </c>
      <c r="S733" t="s">
        <v>2401</v>
      </c>
    </row>
    <row r="734" spans="1:19">
      <c r="A734" t="s">
        <v>5279</v>
      </c>
      <c r="B734" t="s">
        <v>5280</v>
      </c>
      <c r="C734" t="s">
        <v>2401</v>
      </c>
      <c r="D734" t="s">
        <v>2401</v>
      </c>
      <c r="E734" t="s">
        <v>2401</v>
      </c>
      <c r="F734" t="s">
        <v>2401</v>
      </c>
      <c r="G734" t="s">
        <v>2401</v>
      </c>
      <c r="H734" t="s">
        <v>2401</v>
      </c>
      <c r="I734" t="s">
        <v>2401</v>
      </c>
      <c r="J734" t="s">
        <v>5281</v>
      </c>
      <c r="K734" t="s">
        <v>2985</v>
      </c>
      <c r="L734" t="s">
        <v>2549</v>
      </c>
      <c r="M734" s="14">
        <v>45524.813888888886</v>
      </c>
      <c r="N734" t="s">
        <v>5282</v>
      </c>
      <c r="O734" t="s">
        <v>2401</v>
      </c>
      <c r="P734" t="s">
        <v>2401</v>
      </c>
      <c r="Q734" t="s">
        <v>2401</v>
      </c>
      <c r="R734" t="s">
        <v>2401</v>
      </c>
      <c r="S734" t="s">
        <v>2401</v>
      </c>
    </row>
    <row r="735" spans="1:19">
      <c r="A735" t="s">
        <v>5283</v>
      </c>
      <c r="B735" t="s">
        <v>5284</v>
      </c>
      <c r="C735" t="s">
        <v>2401</v>
      </c>
      <c r="D735" t="s">
        <v>2401</v>
      </c>
      <c r="E735" t="s">
        <v>2401</v>
      </c>
      <c r="F735" t="s">
        <v>2401</v>
      </c>
      <c r="G735" t="s">
        <v>2401</v>
      </c>
      <c r="H735" t="s">
        <v>2401</v>
      </c>
      <c r="I735" t="s">
        <v>2401</v>
      </c>
      <c r="J735" t="s">
        <v>5285</v>
      </c>
      <c r="K735" t="s">
        <v>3308</v>
      </c>
      <c r="L735" t="s">
        <v>2401</v>
      </c>
      <c r="M735" s="14">
        <v>45559.418055555558</v>
      </c>
      <c r="N735" t="s">
        <v>5286</v>
      </c>
      <c r="O735" t="s">
        <v>5287</v>
      </c>
      <c r="P735" t="s">
        <v>2401</v>
      </c>
      <c r="Q735" t="s">
        <v>2401</v>
      </c>
      <c r="R735" t="s">
        <v>2401</v>
      </c>
      <c r="S735" t="s">
        <v>2401</v>
      </c>
    </row>
    <row r="736" spans="1:19">
      <c r="A736" t="s">
        <v>5288</v>
      </c>
      <c r="B736" t="s">
        <v>5289</v>
      </c>
      <c r="C736" t="s">
        <v>2401</v>
      </c>
      <c r="D736" t="s">
        <v>2401</v>
      </c>
      <c r="E736" t="s">
        <v>2401</v>
      </c>
      <c r="F736" t="s">
        <v>2401</v>
      </c>
      <c r="G736" t="s">
        <v>2401</v>
      </c>
      <c r="H736" t="s">
        <v>2401</v>
      </c>
      <c r="I736" t="s">
        <v>2401</v>
      </c>
      <c r="J736" t="s">
        <v>2401</v>
      </c>
      <c r="K736" t="s">
        <v>3218</v>
      </c>
      <c r="L736" t="s">
        <v>2401</v>
      </c>
      <c r="M736" s="14">
        <v>45390.607638888891</v>
      </c>
      <c r="N736" t="s">
        <v>2401</v>
      </c>
      <c r="O736" t="s">
        <v>2786</v>
      </c>
      <c r="P736" t="s">
        <v>2401</v>
      </c>
      <c r="Q736" t="s">
        <v>2401</v>
      </c>
      <c r="R736" t="s">
        <v>2401</v>
      </c>
      <c r="S736" t="s">
        <v>2401</v>
      </c>
    </row>
    <row r="737" spans="1:19">
      <c r="A737" t="s">
        <v>5290</v>
      </c>
      <c r="B737" t="s">
        <v>5289</v>
      </c>
      <c r="C737" t="s">
        <v>2401</v>
      </c>
      <c r="D737" t="s">
        <v>2401</v>
      </c>
      <c r="E737" t="s">
        <v>2401</v>
      </c>
      <c r="F737" t="s">
        <v>2401</v>
      </c>
      <c r="G737" t="s">
        <v>2401</v>
      </c>
      <c r="H737" t="s">
        <v>2401</v>
      </c>
      <c r="I737" t="s">
        <v>2401</v>
      </c>
      <c r="J737" t="s">
        <v>2783</v>
      </c>
      <c r="K737" t="s">
        <v>3218</v>
      </c>
      <c r="L737" t="s">
        <v>2401</v>
      </c>
      <c r="M737" s="14">
        <v>45167.593055555553</v>
      </c>
      <c r="N737" t="s">
        <v>5291</v>
      </c>
      <c r="O737" t="s">
        <v>2786</v>
      </c>
      <c r="P737" t="s">
        <v>2401</v>
      </c>
      <c r="Q737" t="s">
        <v>2401</v>
      </c>
      <c r="R737" t="s">
        <v>2401</v>
      </c>
      <c r="S737" t="s">
        <v>2401</v>
      </c>
    </row>
    <row r="738" spans="1:19">
      <c r="A738" t="s">
        <v>5292</v>
      </c>
      <c r="B738" t="s">
        <v>5293</v>
      </c>
      <c r="C738" t="s">
        <v>2401</v>
      </c>
      <c r="D738" t="s">
        <v>2401</v>
      </c>
      <c r="E738" t="s">
        <v>2401</v>
      </c>
      <c r="F738" t="s">
        <v>2401</v>
      </c>
      <c r="G738" t="s">
        <v>2401</v>
      </c>
      <c r="H738" t="s">
        <v>2401</v>
      </c>
      <c r="I738" t="s">
        <v>2401</v>
      </c>
      <c r="J738" t="s">
        <v>5294</v>
      </c>
      <c r="K738" t="s">
        <v>2499</v>
      </c>
      <c r="L738" t="s">
        <v>2401</v>
      </c>
      <c r="M738" s="14">
        <v>45565.686805555553</v>
      </c>
      <c r="N738" t="s">
        <v>5295</v>
      </c>
      <c r="O738" t="s">
        <v>5296</v>
      </c>
      <c r="P738" t="s">
        <v>2401</v>
      </c>
      <c r="Q738" t="s">
        <v>2401</v>
      </c>
      <c r="R738" t="s">
        <v>2401</v>
      </c>
      <c r="S738" t="s">
        <v>2401</v>
      </c>
    </row>
    <row r="739" spans="1:19">
      <c r="A739" t="s">
        <v>5297</v>
      </c>
      <c r="B739" t="s">
        <v>5298</v>
      </c>
      <c r="C739" t="s">
        <v>2401</v>
      </c>
      <c r="D739" t="s">
        <v>2401</v>
      </c>
      <c r="E739" t="s">
        <v>2401</v>
      </c>
      <c r="F739" t="s">
        <v>2401</v>
      </c>
      <c r="G739" t="s">
        <v>2401</v>
      </c>
      <c r="H739" t="s">
        <v>2401</v>
      </c>
      <c r="I739" t="s">
        <v>2401</v>
      </c>
      <c r="J739" t="s">
        <v>5299</v>
      </c>
      <c r="K739" t="s">
        <v>2499</v>
      </c>
      <c r="L739" t="s">
        <v>2401</v>
      </c>
      <c r="M739" s="14">
        <v>45565.686805555553</v>
      </c>
      <c r="N739" t="s">
        <v>5300</v>
      </c>
      <c r="O739" t="s">
        <v>5301</v>
      </c>
      <c r="P739" t="s">
        <v>2401</v>
      </c>
      <c r="Q739" t="s">
        <v>2401</v>
      </c>
      <c r="R739" t="s">
        <v>2401</v>
      </c>
      <c r="S739" t="s">
        <v>2401</v>
      </c>
    </row>
    <row r="740" spans="1:19">
      <c r="A740" t="s">
        <v>5302</v>
      </c>
      <c r="B740" t="s">
        <v>5303</v>
      </c>
      <c r="C740" t="s">
        <v>2401</v>
      </c>
      <c r="D740" t="s">
        <v>2401</v>
      </c>
      <c r="E740" t="s">
        <v>2401</v>
      </c>
      <c r="F740" t="s">
        <v>2401</v>
      </c>
      <c r="G740" t="s">
        <v>2401</v>
      </c>
      <c r="H740" t="s">
        <v>2401</v>
      </c>
      <c r="I740" t="s">
        <v>2401</v>
      </c>
      <c r="J740" t="s">
        <v>2401</v>
      </c>
      <c r="K740" t="s">
        <v>2499</v>
      </c>
      <c r="L740" t="s">
        <v>2401</v>
      </c>
      <c r="M740" s="14">
        <v>45390.607638888891</v>
      </c>
      <c r="N740" t="s">
        <v>2401</v>
      </c>
      <c r="O740" t="s">
        <v>5304</v>
      </c>
      <c r="P740" t="s">
        <v>2401</v>
      </c>
      <c r="Q740" t="s">
        <v>2401</v>
      </c>
      <c r="R740" t="s">
        <v>2401</v>
      </c>
      <c r="S740" t="s">
        <v>2401</v>
      </c>
    </row>
    <row r="741" spans="1:19">
      <c r="A741" t="s">
        <v>5305</v>
      </c>
      <c r="B741" t="s">
        <v>5306</v>
      </c>
      <c r="C741" t="s">
        <v>2401</v>
      </c>
      <c r="D741" t="s">
        <v>2401</v>
      </c>
      <c r="E741" t="s">
        <v>2401</v>
      </c>
      <c r="F741" t="s">
        <v>2401</v>
      </c>
      <c r="G741" t="s">
        <v>2401</v>
      </c>
      <c r="H741" t="s">
        <v>2401</v>
      </c>
      <c r="I741" t="s">
        <v>2401</v>
      </c>
      <c r="J741" t="s">
        <v>2401</v>
      </c>
      <c r="K741" t="s">
        <v>2499</v>
      </c>
      <c r="L741" t="s">
        <v>2401</v>
      </c>
      <c r="M741" s="14">
        <v>45390.607638888891</v>
      </c>
      <c r="N741" t="s">
        <v>2401</v>
      </c>
      <c r="O741" t="s">
        <v>5304</v>
      </c>
      <c r="P741" t="s">
        <v>2401</v>
      </c>
      <c r="Q741" t="s">
        <v>2401</v>
      </c>
      <c r="R741" t="s">
        <v>2401</v>
      </c>
      <c r="S741" t="s">
        <v>2401</v>
      </c>
    </row>
    <row r="742" spans="1:19">
      <c r="A742" t="s">
        <v>5307</v>
      </c>
      <c r="B742" t="s">
        <v>5308</v>
      </c>
      <c r="C742" t="s">
        <v>2401</v>
      </c>
      <c r="D742" t="s">
        <v>2401</v>
      </c>
      <c r="E742" t="s">
        <v>2401</v>
      </c>
      <c r="F742" t="s">
        <v>2401</v>
      </c>
      <c r="G742" t="s">
        <v>2401</v>
      </c>
      <c r="H742" t="s">
        <v>2401</v>
      </c>
      <c r="I742" t="s">
        <v>2401</v>
      </c>
      <c r="J742" t="s">
        <v>5309</v>
      </c>
      <c r="K742" t="s">
        <v>2433</v>
      </c>
      <c r="L742" t="s">
        <v>2401</v>
      </c>
      <c r="M742" s="14">
        <v>45565.65</v>
      </c>
      <c r="N742" t="s">
        <v>5310</v>
      </c>
      <c r="O742" t="s">
        <v>4396</v>
      </c>
      <c r="P742" t="s">
        <v>2401</v>
      </c>
      <c r="Q742" t="s">
        <v>2401</v>
      </c>
      <c r="R742" t="s">
        <v>2401</v>
      </c>
      <c r="S742" t="s">
        <v>2401</v>
      </c>
    </row>
    <row r="743" spans="1:19">
      <c r="A743" t="s">
        <v>5311</v>
      </c>
      <c r="B743" t="s">
        <v>5312</v>
      </c>
      <c r="C743" t="s">
        <v>2401</v>
      </c>
      <c r="D743" t="s">
        <v>2401</v>
      </c>
      <c r="E743" t="s">
        <v>2401</v>
      </c>
      <c r="F743" t="s">
        <v>2401</v>
      </c>
      <c r="G743" t="s">
        <v>2401</v>
      </c>
      <c r="H743" t="s">
        <v>2401</v>
      </c>
      <c r="I743" t="s">
        <v>2401</v>
      </c>
      <c r="J743" t="s">
        <v>5313</v>
      </c>
      <c r="K743" t="s">
        <v>2548</v>
      </c>
      <c r="L743" t="s">
        <v>2401</v>
      </c>
      <c r="M743" s="14">
        <v>45383.626388888886</v>
      </c>
      <c r="N743" t="s">
        <v>5314</v>
      </c>
      <c r="O743" t="s">
        <v>5315</v>
      </c>
      <c r="P743" t="s">
        <v>5316</v>
      </c>
      <c r="Q743">
        <v>2</v>
      </c>
      <c r="R743" t="s">
        <v>2401</v>
      </c>
      <c r="S743" t="s">
        <v>5317</v>
      </c>
    </row>
    <row r="744" spans="1:19">
      <c r="A744" t="s">
        <v>5318</v>
      </c>
      <c r="B744" t="s">
        <v>5319</v>
      </c>
      <c r="C744" t="s">
        <v>2401</v>
      </c>
      <c r="D744" t="s">
        <v>2401</v>
      </c>
      <c r="E744" t="s">
        <v>2401</v>
      </c>
      <c r="F744" t="s">
        <v>2401</v>
      </c>
      <c r="G744" t="s">
        <v>2401</v>
      </c>
      <c r="H744" t="s">
        <v>2401</v>
      </c>
      <c r="I744" t="s">
        <v>2401</v>
      </c>
      <c r="J744" t="s">
        <v>5320</v>
      </c>
      <c r="K744" t="s">
        <v>2548</v>
      </c>
      <c r="L744" t="s">
        <v>2401</v>
      </c>
      <c r="M744" s="14">
        <v>45426.582638888889</v>
      </c>
      <c r="N744" t="s">
        <v>5321</v>
      </c>
      <c r="O744" t="s">
        <v>5315</v>
      </c>
      <c r="P744" t="s">
        <v>5322</v>
      </c>
      <c r="Q744">
        <v>1</v>
      </c>
      <c r="R744" t="s">
        <v>2401</v>
      </c>
      <c r="S744" t="s">
        <v>5323</v>
      </c>
    </row>
    <row r="745" spans="1:19">
      <c r="A745" t="s">
        <v>5324</v>
      </c>
      <c r="B745" t="s">
        <v>5325</v>
      </c>
      <c r="C745" t="s">
        <v>2401</v>
      </c>
      <c r="D745" t="s">
        <v>2401</v>
      </c>
      <c r="E745" t="s">
        <v>2401</v>
      </c>
      <c r="F745" t="s">
        <v>2401</v>
      </c>
      <c r="G745" t="s">
        <v>2401</v>
      </c>
      <c r="H745" t="s">
        <v>2401</v>
      </c>
      <c r="I745" t="s">
        <v>2401</v>
      </c>
      <c r="J745" t="s">
        <v>2401</v>
      </c>
      <c r="K745" t="s">
        <v>2548</v>
      </c>
      <c r="L745" t="s">
        <v>2538</v>
      </c>
      <c r="M745" s="14">
        <v>45390.607638888891</v>
      </c>
      <c r="N745" t="s">
        <v>2401</v>
      </c>
      <c r="O745" t="s">
        <v>5315</v>
      </c>
      <c r="P745" t="s">
        <v>2401</v>
      </c>
      <c r="Q745" t="s">
        <v>2401</v>
      </c>
      <c r="R745" t="s">
        <v>2401</v>
      </c>
      <c r="S745" t="s">
        <v>2401</v>
      </c>
    </row>
    <row r="746" spans="1:19">
      <c r="A746" t="s">
        <v>5326</v>
      </c>
      <c r="B746" t="s">
        <v>5325</v>
      </c>
      <c r="C746" t="s">
        <v>2401</v>
      </c>
      <c r="D746" t="s">
        <v>2401</v>
      </c>
      <c r="E746" t="s">
        <v>2401</v>
      </c>
      <c r="F746" t="s">
        <v>2401</v>
      </c>
      <c r="G746" t="s">
        <v>2401</v>
      </c>
      <c r="H746" t="s">
        <v>2401</v>
      </c>
      <c r="I746" t="s">
        <v>2401</v>
      </c>
      <c r="J746" t="s">
        <v>5320</v>
      </c>
      <c r="K746" t="s">
        <v>2548</v>
      </c>
      <c r="L746" t="s">
        <v>2538</v>
      </c>
      <c r="M746" s="14">
        <v>45383.576388888891</v>
      </c>
      <c r="N746" t="s">
        <v>5314</v>
      </c>
      <c r="O746" t="s">
        <v>5315</v>
      </c>
      <c r="P746" t="s">
        <v>5327</v>
      </c>
      <c r="Q746">
        <v>1</v>
      </c>
      <c r="R746" t="s">
        <v>2401</v>
      </c>
      <c r="S746" t="s">
        <v>5328</v>
      </c>
    </row>
    <row r="747" spans="1:19">
      <c r="A747" t="s">
        <v>5329</v>
      </c>
      <c r="B747" t="s">
        <v>5330</v>
      </c>
      <c r="C747" t="s">
        <v>2401</v>
      </c>
      <c r="D747" t="s">
        <v>2401</v>
      </c>
      <c r="E747" t="s">
        <v>2401</v>
      </c>
      <c r="F747" t="s">
        <v>2401</v>
      </c>
      <c r="G747" t="s">
        <v>2401</v>
      </c>
      <c r="H747" t="s">
        <v>2401</v>
      </c>
      <c r="I747" t="s">
        <v>2401</v>
      </c>
      <c r="J747" t="s">
        <v>2401</v>
      </c>
      <c r="K747" t="s">
        <v>2548</v>
      </c>
      <c r="L747" t="s">
        <v>2401</v>
      </c>
      <c r="M747" s="14">
        <v>45390.607638888891</v>
      </c>
      <c r="N747" t="s">
        <v>2401</v>
      </c>
      <c r="O747" t="s">
        <v>5315</v>
      </c>
      <c r="P747" t="s">
        <v>2401</v>
      </c>
      <c r="Q747" t="s">
        <v>2401</v>
      </c>
      <c r="R747" t="s">
        <v>2401</v>
      </c>
      <c r="S747" t="s">
        <v>2401</v>
      </c>
    </row>
    <row r="748" spans="1:19">
      <c r="A748" t="s">
        <v>5331</v>
      </c>
      <c r="B748" t="s">
        <v>5330</v>
      </c>
      <c r="C748" t="s">
        <v>2401</v>
      </c>
      <c r="D748" t="s">
        <v>2401</v>
      </c>
      <c r="E748" t="s">
        <v>2401</v>
      </c>
      <c r="F748" t="s">
        <v>2401</v>
      </c>
      <c r="G748" t="s">
        <v>2401</v>
      </c>
      <c r="H748" t="s">
        <v>2401</v>
      </c>
      <c r="I748" t="s">
        <v>2401</v>
      </c>
      <c r="J748" t="s">
        <v>5320</v>
      </c>
      <c r="K748" t="s">
        <v>2548</v>
      </c>
      <c r="L748" t="s">
        <v>2401</v>
      </c>
      <c r="M748" s="14">
        <v>45384.56527777778</v>
      </c>
      <c r="N748" t="s">
        <v>5314</v>
      </c>
      <c r="O748" t="s">
        <v>5315</v>
      </c>
      <c r="P748" t="s">
        <v>2401</v>
      </c>
      <c r="Q748" t="s">
        <v>2401</v>
      </c>
      <c r="R748" t="s">
        <v>2401</v>
      </c>
      <c r="S748" t="s">
        <v>2401</v>
      </c>
    </row>
    <row r="749" spans="1:19">
      <c r="A749" t="s">
        <v>5332</v>
      </c>
      <c r="B749" t="s">
        <v>5333</v>
      </c>
      <c r="C749" t="s">
        <v>2401</v>
      </c>
      <c r="D749" t="s">
        <v>2401</v>
      </c>
      <c r="E749" t="s">
        <v>2401</v>
      </c>
      <c r="F749" t="s">
        <v>2401</v>
      </c>
      <c r="G749" t="s">
        <v>2401</v>
      </c>
      <c r="H749" t="s">
        <v>2401</v>
      </c>
      <c r="I749" t="s">
        <v>2401</v>
      </c>
      <c r="J749" t="s">
        <v>2401</v>
      </c>
      <c r="K749" t="s">
        <v>2548</v>
      </c>
      <c r="L749" t="s">
        <v>2401</v>
      </c>
      <c r="M749" s="14">
        <v>45390.607638888891</v>
      </c>
      <c r="N749" t="s">
        <v>2401</v>
      </c>
      <c r="O749" t="s">
        <v>5315</v>
      </c>
      <c r="P749" t="s">
        <v>2401</v>
      </c>
      <c r="Q749" t="s">
        <v>2401</v>
      </c>
      <c r="R749" t="s">
        <v>2401</v>
      </c>
      <c r="S749" t="s">
        <v>2401</v>
      </c>
    </row>
    <row r="750" spans="1:19">
      <c r="A750" t="s">
        <v>5334</v>
      </c>
      <c r="B750" t="s">
        <v>5333</v>
      </c>
      <c r="C750" t="s">
        <v>2401</v>
      </c>
      <c r="D750" t="s">
        <v>2401</v>
      </c>
      <c r="E750" t="s">
        <v>2401</v>
      </c>
      <c r="F750" t="s">
        <v>2401</v>
      </c>
      <c r="G750" t="s">
        <v>2401</v>
      </c>
      <c r="H750" t="s">
        <v>2401</v>
      </c>
      <c r="I750" t="s">
        <v>2401</v>
      </c>
      <c r="J750" t="s">
        <v>5335</v>
      </c>
      <c r="K750" t="s">
        <v>2548</v>
      </c>
      <c r="L750" t="s">
        <v>2401</v>
      </c>
      <c r="M750" s="14">
        <v>45384.558333333334</v>
      </c>
      <c r="N750" t="s">
        <v>5314</v>
      </c>
      <c r="O750" t="s">
        <v>5315</v>
      </c>
      <c r="P750" t="s">
        <v>2401</v>
      </c>
      <c r="Q750" t="s">
        <v>2401</v>
      </c>
      <c r="R750" t="s">
        <v>2401</v>
      </c>
      <c r="S750" t="s">
        <v>2401</v>
      </c>
    </row>
    <row r="751" spans="1:19">
      <c r="A751" t="s">
        <v>5336</v>
      </c>
      <c r="B751" t="s">
        <v>5337</v>
      </c>
      <c r="C751" t="s">
        <v>2401</v>
      </c>
      <c r="D751" t="s">
        <v>2401</v>
      </c>
      <c r="E751" t="s">
        <v>2401</v>
      </c>
      <c r="F751" t="s">
        <v>2401</v>
      </c>
      <c r="G751" t="s">
        <v>2401</v>
      </c>
      <c r="H751" t="s">
        <v>2401</v>
      </c>
      <c r="I751" t="s">
        <v>2401</v>
      </c>
      <c r="J751" t="s">
        <v>2401</v>
      </c>
      <c r="K751" t="s">
        <v>2401</v>
      </c>
      <c r="L751" t="s">
        <v>2401</v>
      </c>
      <c r="M751" s="14">
        <v>45422.895833333336</v>
      </c>
      <c r="N751" t="s">
        <v>2401</v>
      </c>
      <c r="O751" t="s">
        <v>2401</v>
      </c>
      <c r="P751" t="s">
        <v>2401</v>
      </c>
      <c r="Q751" t="s">
        <v>2401</v>
      </c>
      <c r="R751" t="s">
        <v>2401</v>
      </c>
      <c r="S751" t="s">
        <v>2401</v>
      </c>
    </row>
    <row r="752" spans="1:19">
      <c r="A752" t="s">
        <v>5338</v>
      </c>
      <c r="B752" t="s">
        <v>5339</v>
      </c>
      <c r="C752" t="s">
        <v>2401</v>
      </c>
      <c r="D752" t="s">
        <v>2401</v>
      </c>
      <c r="E752" t="s">
        <v>2401</v>
      </c>
      <c r="F752" t="s">
        <v>2401</v>
      </c>
      <c r="G752" t="s">
        <v>2401</v>
      </c>
      <c r="H752" t="s">
        <v>2401</v>
      </c>
      <c r="I752" t="s">
        <v>2401</v>
      </c>
      <c r="J752" t="s">
        <v>5340</v>
      </c>
      <c r="K752" t="s">
        <v>5341</v>
      </c>
      <c r="L752" t="s">
        <v>2401</v>
      </c>
      <c r="M752" s="14">
        <v>45399.554861111108</v>
      </c>
      <c r="N752" t="s">
        <v>5342</v>
      </c>
      <c r="O752" t="s">
        <v>2401</v>
      </c>
      <c r="P752" t="s">
        <v>2401</v>
      </c>
      <c r="Q752" t="s">
        <v>2401</v>
      </c>
      <c r="R752" t="s">
        <v>2401</v>
      </c>
      <c r="S752" t="s">
        <v>2401</v>
      </c>
    </row>
    <row r="753" spans="1:19">
      <c r="A753" t="s">
        <v>5343</v>
      </c>
      <c r="B753" t="s">
        <v>5344</v>
      </c>
      <c r="C753" t="s">
        <v>2401</v>
      </c>
      <c r="D753" t="s">
        <v>2401</v>
      </c>
      <c r="E753" t="s">
        <v>2401</v>
      </c>
      <c r="F753" t="s">
        <v>2401</v>
      </c>
      <c r="G753" t="s">
        <v>2401</v>
      </c>
      <c r="H753" t="s">
        <v>2401</v>
      </c>
      <c r="I753" t="s">
        <v>2401</v>
      </c>
      <c r="J753" t="s">
        <v>5345</v>
      </c>
      <c r="K753" t="s">
        <v>3271</v>
      </c>
      <c r="L753" t="s">
        <v>2401</v>
      </c>
      <c r="M753" s="14">
        <v>45399.554861111108</v>
      </c>
      <c r="N753" t="s">
        <v>5346</v>
      </c>
      <c r="O753" t="s">
        <v>5347</v>
      </c>
      <c r="P753" t="s">
        <v>2401</v>
      </c>
      <c r="Q753" t="s">
        <v>2401</v>
      </c>
      <c r="R753" t="s">
        <v>2401</v>
      </c>
      <c r="S753" t="s">
        <v>2401</v>
      </c>
    </row>
    <row r="754" spans="1:19">
      <c r="A754" t="s">
        <v>5348</v>
      </c>
      <c r="B754" t="s">
        <v>5349</v>
      </c>
      <c r="C754" t="s">
        <v>2401</v>
      </c>
      <c r="D754" t="s">
        <v>2401</v>
      </c>
      <c r="E754" t="s">
        <v>2401</v>
      </c>
      <c r="F754" t="s">
        <v>2401</v>
      </c>
      <c r="G754" t="s">
        <v>2401</v>
      </c>
      <c r="H754" t="s">
        <v>2401</v>
      </c>
      <c r="I754" t="s">
        <v>2401</v>
      </c>
      <c r="J754" t="s">
        <v>2401</v>
      </c>
      <c r="K754" t="s">
        <v>2548</v>
      </c>
      <c r="L754" t="s">
        <v>2401</v>
      </c>
      <c r="M754" s="14">
        <v>45390.607638888891</v>
      </c>
      <c r="N754" t="s">
        <v>2401</v>
      </c>
      <c r="O754" t="s">
        <v>2821</v>
      </c>
      <c r="P754" t="s">
        <v>2401</v>
      </c>
      <c r="Q754" t="s">
        <v>2401</v>
      </c>
      <c r="R754" t="s">
        <v>2401</v>
      </c>
      <c r="S754" t="s">
        <v>2401</v>
      </c>
    </row>
    <row r="755" spans="1:19">
      <c r="A755" t="s">
        <v>5350</v>
      </c>
      <c r="B755" t="s">
        <v>5349</v>
      </c>
      <c r="C755" t="s">
        <v>2401</v>
      </c>
      <c r="D755" t="s">
        <v>2401</v>
      </c>
      <c r="E755" t="s">
        <v>2401</v>
      </c>
      <c r="F755" t="s">
        <v>2401</v>
      </c>
      <c r="G755" t="s">
        <v>2401</v>
      </c>
      <c r="H755" t="s">
        <v>2401</v>
      </c>
      <c r="I755" t="s">
        <v>2401</v>
      </c>
      <c r="J755" t="s">
        <v>3994</v>
      </c>
      <c r="K755" t="s">
        <v>2548</v>
      </c>
      <c r="L755" t="s">
        <v>2401</v>
      </c>
      <c r="M755" s="14">
        <v>45383.616666666669</v>
      </c>
      <c r="N755" t="s">
        <v>2839</v>
      </c>
      <c r="O755" t="s">
        <v>2821</v>
      </c>
      <c r="P755" t="s">
        <v>2401</v>
      </c>
      <c r="Q755" t="s">
        <v>2401</v>
      </c>
      <c r="R755" t="s">
        <v>2401</v>
      </c>
      <c r="S755" t="s">
        <v>2401</v>
      </c>
    </row>
    <row r="756" spans="1:19">
      <c r="A756" t="s">
        <v>5351</v>
      </c>
      <c r="B756" t="s">
        <v>5352</v>
      </c>
      <c r="C756" t="s">
        <v>2401</v>
      </c>
      <c r="D756" t="s">
        <v>2401</v>
      </c>
      <c r="E756" t="s">
        <v>2401</v>
      </c>
      <c r="F756" t="s">
        <v>2401</v>
      </c>
      <c r="G756" t="s">
        <v>2401</v>
      </c>
      <c r="H756" t="s">
        <v>2401</v>
      </c>
      <c r="I756" t="s">
        <v>2401</v>
      </c>
      <c r="J756" t="s">
        <v>5353</v>
      </c>
      <c r="K756" t="s">
        <v>5341</v>
      </c>
      <c r="L756" t="s">
        <v>2401</v>
      </c>
      <c r="M756" s="14">
        <v>45399.554861111108</v>
      </c>
      <c r="N756" t="s">
        <v>5354</v>
      </c>
      <c r="O756" t="s">
        <v>5355</v>
      </c>
      <c r="P756" t="s">
        <v>2401</v>
      </c>
      <c r="Q756" t="s">
        <v>2401</v>
      </c>
      <c r="R756" t="s">
        <v>2401</v>
      </c>
      <c r="S756" t="s">
        <v>2401</v>
      </c>
    </row>
    <row r="757" spans="1:19">
      <c r="A757" t="s">
        <v>5356</v>
      </c>
      <c r="B757" t="s">
        <v>5357</v>
      </c>
      <c r="C757" t="s">
        <v>2564</v>
      </c>
      <c r="D757" t="s">
        <v>5358</v>
      </c>
      <c r="E757" t="s">
        <v>5359</v>
      </c>
      <c r="F757" t="s">
        <v>5360</v>
      </c>
      <c r="G757" t="s">
        <v>4336</v>
      </c>
      <c r="H757" t="s">
        <v>5361</v>
      </c>
      <c r="I757" t="s">
        <v>2401</v>
      </c>
      <c r="J757" t="s">
        <v>5362</v>
      </c>
      <c r="K757" t="s">
        <v>2438</v>
      </c>
      <c r="L757" t="s">
        <v>2401</v>
      </c>
      <c r="M757" s="14">
        <v>45534.874305555553</v>
      </c>
      <c r="N757" t="s">
        <v>5363</v>
      </c>
      <c r="O757" t="s">
        <v>5364</v>
      </c>
      <c r="P757" t="s">
        <v>2401</v>
      </c>
      <c r="Q757" t="s">
        <v>2401</v>
      </c>
      <c r="R757" t="s">
        <v>2401</v>
      </c>
      <c r="S757" t="s">
        <v>2401</v>
      </c>
    </row>
    <row r="758" spans="1:19">
      <c r="A758" t="s">
        <v>5365</v>
      </c>
      <c r="B758" t="s">
        <v>5366</v>
      </c>
      <c r="C758" t="s">
        <v>2564</v>
      </c>
      <c r="D758" t="s">
        <v>2830</v>
      </c>
      <c r="E758" t="s">
        <v>5367</v>
      </c>
      <c r="F758" t="s">
        <v>5368</v>
      </c>
      <c r="G758" t="s">
        <v>5369</v>
      </c>
      <c r="H758" t="s">
        <v>5370</v>
      </c>
      <c r="I758" t="s">
        <v>2401</v>
      </c>
      <c r="J758" t="s">
        <v>5371</v>
      </c>
      <c r="K758" t="s">
        <v>4025</v>
      </c>
      <c r="L758" t="s">
        <v>2401</v>
      </c>
      <c r="M758" s="14">
        <v>45534.874305555553</v>
      </c>
      <c r="N758" t="s">
        <v>5372</v>
      </c>
      <c r="O758" t="s">
        <v>2401</v>
      </c>
      <c r="P758" t="s">
        <v>2401</v>
      </c>
      <c r="Q758" t="s">
        <v>2401</v>
      </c>
      <c r="R758" t="s">
        <v>2401</v>
      </c>
      <c r="S758" t="s">
        <v>2401</v>
      </c>
    </row>
    <row r="759" spans="1:19">
      <c r="A759" t="s">
        <v>5373</v>
      </c>
      <c r="B759" t="s">
        <v>5374</v>
      </c>
      <c r="C759" t="s">
        <v>2401</v>
      </c>
      <c r="D759" t="s">
        <v>2401</v>
      </c>
      <c r="E759" t="s">
        <v>2401</v>
      </c>
      <c r="F759" t="s">
        <v>2401</v>
      </c>
      <c r="G759" t="s">
        <v>2401</v>
      </c>
      <c r="H759" t="s">
        <v>2401</v>
      </c>
      <c r="I759" t="s">
        <v>2401</v>
      </c>
      <c r="J759" t="s">
        <v>2401</v>
      </c>
      <c r="K759" t="s">
        <v>2499</v>
      </c>
      <c r="L759" t="s">
        <v>2401</v>
      </c>
      <c r="M759" s="14">
        <v>45390.607638888891</v>
      </c>
      <c r="N759" t="s">
        <v>2401</v>
      </c>
      <c r="O759" t="s">
        <v>5375</v>
      </c>
      <c r="P759" t="s">
        <v>2401</v>
      </c>
      <c r="Q759" t="s">
        <v>2401</v>
      </c>
      <c r="R759" t="s">
        <v>2401</v>
      </c>
      <c r="S759" t="s">
        <v>2401</v>
      </c>
    </row>
    <row r="760" spans="1:19">
      <c r="A760" t="s">
        <v>5376</v>
      </c>
      <c r="B760" t="s">
        <v>5377</v>
      </c>
      <c r="C760" t="s">
        <v>2401</v>
      </c>
      <c r="D760" t="s">
        <v>2401</v>
      </c>
      <c r="E760" t="s">
        <v>2401</v>
      </c>
      <c r="F760" t="s">
        <v>2401</v>
      </c>
      <c r="G760" t="s">
        <v>2401</v>
      </c>
      <c r="H760" t="s">
        <v>2401</v>
      </c>
      <c r="I760" t="s">
        <v>61</v>
      </c>
      <c r="J760" t="s">
        <v>5378</v>
      </c>
      <c r="K760" t="s">
        <v>2499</v>
      </c>
      <c r="L760" t="s">
        <v>2401</v>
      </c>
      <c r="M760" s="14">
        <v>45399.554861111108</v>
      </c>
      <c r="N760" t="s">
        <v>5379</v>
      </c>
      <c r="O760" t="s">
        <v>5380</v>
      </c>
      <c r="P760" t="s">
        <v>2401</v>
      </c>
      <c r="Q760" t="s">
        <v>2401</v>
      </c>
      <c r="R760" t="s">
        <v>2401</v>
      </c>
      <c r="S760" t="s">
        <v>2401</v>
      </c>
    </row>
    <row r="761" spans="1:19">
      <c r="A761" t="s">
        <v>5381</v>
      </c>
      <c r="B761" t="s">
        <v>5382</v>
      </c>
      <c r="C761" t="s">
        <v>2401</v>
      </c>
      <c r="D761" t="s">
        <v>2401</v>
      </c>
      <c r="E761" t="s">
        <v>2401</v>
      </c>
      <c r="F761" t="s">
        <v>2401</v>
      </c>
      <c r="G761" t="s">
        <v>2401</v>
      </c>
      <c r="H761" t="s">
        <v>2401</v>
      </c>
      <c r="I761" t="s">
        <v>2401</v>
      </c>
      <c r="J761" t="s">
        <v>5383</v>
      </c>
      <c r="K761" t="s">
        <v>3308</v>
      </c>
      <c r="L761" t="s">
        <v>2401</v>
      </c>
      <c r="M761" s="14">
        <v>45534.874305555553</v>
      </c>
      <c r="N761" t="s">
        <v>5384</v>
      </c>
      <c r="O761" t="s">
        <v>5385</v>
      </c>
      <c r="P761" t="s">
        <v>2401</v>
      </c>
      <c r="Q761" t="s">
        <v>2401</v>
      </c>
      <c r="R761" t="s">
        <v>2401</v>
      </c>
      <c r="S761" t="s">
        <v>2401</v>
      </c>
    </row>
    <row r="762" spans="1:19">
      <c r="A762" t="s">
        <v>5386</v>
      </c>
      <c r="B762" t="s">
        <v>5387</v>
      </c>
      <c r="C762" t="s">
        <v>2401</v>
      </c>
      <c r="D762" t="s">
        <v>2401</v>
      </c>
      <c r="E762" t="s">
        <v>2401</v>
      </c>
      <c r="F762" t="s">
        <v>2401</v>
      </c>
      <c r="G762" t="s">
        <v>2401</v>
      </c>
      <c r="H762" t="s">
        <v>2401</v>
      </c>
      <c r="I762" t="s">
        <v>2401</v>
      </c>
      <c r="J762" t="s">
        <v>5388</v>
      </c>
      <c r="K762" t="s">
        <v>3663</v>
      </c>
      <c r="L762" t="s">
        <v>2401</v>
      </c>
      <c r="M762" s="14">
        <v>45399.554861111108</v>
      </c>
      <c r="N762" t="s">
        <v>5389</v>
      </c>
      <c r="O762" t="s">
        <v>5390</v>
      </c>
      <c r="P762" t="s">
        <v>2401</v>
      </c>
      <c r="Q762" t="s">
        <v>2401</v>
      </c>
      <c r="R762" t="s">
        <v>2401</v>
      </c>
      <c r="S762" t="s">
        <v>2401</v>
      </c>
    </row>
    <row r="763" spans="1:19">
      <c r="A763" t="s">
        <v>5391</v>
      </c>
      <c r="B763" t="s">
        <v>5392</v>
      </c>
      <c r="C763" t="s">
        <v>2401</v>
      </c>
      <c r="D763" t="s">
        <v>2401</v>
      </c>
      <c r="E763" t="s">
        <v>2401</v>
      </c>
      <c r="F763" t="s">
        <v>2401</v>
      </c>
      <c r="G763" t="s">
        <v>2401</v>
      </c>
      <c r="H763" t="s">
        <v>2401</v>
      </c>
      <c r="I763" t="s">
        <v>2401</v>
      </c>
      <c r="J763" t="s">
        <v>5393</v>
      </c>
      <c r="K763" t="s">
        <v>2433</v>
      </c>
      <c r="L763" t="s">
        <v>2401</v>
      </c>
      <c r="M763" s="14">
        <v>45565.679861111108</v>
      </c>
      <c r="N763" t="s">
        <v>5394</v>
      </c>
      <c r="O763" t="s">
        <v>5395</v>
      </c>
      <c r="P763" t="s">
        <v>2401</v>
      </c>
      <c r="Q763" t="s">
        <v>2401</v>
      </c>
      <c r="R763" t="s">
        <v>2401</v>
      </c>
      <c r="S763" t="s">
        <v>2401</v>
      </c>
    </row>
    <row r="764" spans="1:19">
      <c r="A764" t="s">
        <v>5396</v>
      </c>
      <c r="B764" t="s">
        <v>5397</v>
      </c>
      <c r="C764" t="s">
        <v>2401</v>
      </c>
      <c r="D764" t="s">
        <v>2401</v>
      </c>
      <c r="E764" t="s">
        <v>2401</v>
      </c>
      <c r="F764" t="s">
        <v>2401</v>
      </c>
      <c r="G764" t="s">
        <v>2401</v>
      </c>
      <c r="H764" t="s">
        <v>2401</v>
      </c>
      <c r="I764" t="s">
        <v>2401</v>
      </c>
      <c r="J764" t="s">
        <v>2401</v>
      </c>
      <c r="K764" t="s">
        <v>2401</v>
      </c>
      <c r="L764" t="s">
        <v>2401</v>
      </c>
      <c r="M764" s="14">
        <v>45399.554861111108</v>
      </c>
      <c r="N764" t="s">
        <v>2401</v>
      </c>
      <c r="O764" t="s">
        <v>2401</v>
      </c>
      <c r="P764" t="s">
        <v>2401</v>
      </c>
      <c r="Q764" t="s">
        <v>2401</v>
      </c>
      <c r="R764" t="s">
        <v>2401</v>
      </c>
      <c r="S764" t="s">
        <v>2401</v>
      </c>
    </row>
    <row r="765" spans="1:19">
      <c r="A765" t="s">
        <v>5398</v>
      </c>
      <c r="B765" t="s">
        <v>5399</v>
      </c>
      <c r="C765" t="s">
        <v>2401</v>
      </c>
      <c r="D765" t="s">
        <v>2401</v>
      </c>
      <c r="E765" t="s">
        <v>2401</v>
      </c>
      <c r="F765" t="s">
        <v>2401</v>
      </c>
      <c r="G765" t="s">
        <v>2401</v>
      </c>
      <c r="H765" t="s">
        <v>2401</v>
      </c>
      <c r="I765" t="s">
        <v>2401</v>
      </c>
      <c r="J765" t="s">
        <v>5400</v>
      </c>
      <c r="K765" t="s">
        <v>2720</v>
      </c>
      <c r="L765" t="s">
        <v>2401</v>
      </c>
      <c r="M765" s="14">
        <v>45565.645138888889</v>
      </c>
      <c r="N765" t="s">
        <v>5401</v>
      </c>
      <c r="O765" t="s">
        <v>5402</v>
      </c>
      <c r="P765" t="s">
        <v>2401</v>
      </c>
      <c r="Q765" t="s">
        <v>2401</v>
      </c>
      <c r="R765" t="s">
        <v>2401</v>
      </c>
      <c r="S765" t="s">
        <v>2401</v>
      </c>
    </row>
    <row r="766" spans="1:19">
      <c r="A766" t="s">
        <v>5403</v>
      </c>
      <c r="B766" t="s">
        <v>1040</v>
      </c>
      <c r="C766" t="s">
        <v>2401</v>
      </c>
      <c r="D766" t="s">
        <v>2401</v>
      </c>
      <c r="E766" t="s">
        <v>2401</v>
      </c>
      <c r="F766" t="s">
        <v>2401</v>
      </c>
      <c r="G766" t="s">
        <v>2401</v>
      </c>
      <c r="H766" t="s">
        <v>2401</v>
      </c>
      <c r="I766" t="s">
        <v>61</v>
      </c>
      <c r="J766" t="s">
        <v>5404</v>
      </c>
      <c r="K766" t="s">
        <v>2571</v>
      </c>
      <c r="L766" t="s">
        <v>2401</v>
      </c>
      <c r="M766" s="14">
        <v>45399.554861111108</v>
      </c>
      <c r="N766" t="s">
        <v>5405</v>
      </c>
      <c r="O766" t="s">
        <v>2401</v>
      </c>
      <c r="P766" t="s">
        <v>2401</v>
      </c>
      <c r="Q766" t="s">
        <v>2401</v>
      </c>
      <c r="R766" t="s">
        <v>2401</v>
      </c>
      <c r="S766" t="s">
        <v>2401</v>
      </c>
    </row>
    <row r="767" spans="1:19">
      <c r="A767" t="s">
        <v>5406</v>
      </c>
      <c r="B767" t="s">
        <v>5407</v>
      </c>
      <c r="C767" t="s">
        <v>2401</v>
      </c>
      <c r="D767" t="s">
        <v>2401</v>
      </c>
      <c r="E767" t="s">
        <v>2401</v>
      </c>
      <c r="F767" t="s">
        <v>2401</v>
      </c>
      <c r="G767" t="s">
        <v>2401</v>
      </c>
      <c r="H767" t="s">
        <v>2401</v>
      </c>
      <c r="I767" t="s">
        <v>2401</v>
      </c>
      <c r="J767" t="s">
        <v>5408</v>
      </c>
      <c r="K767" t="s">
        <v>3308</v>
      </c>
      <c r="L767" t="s">
        <v>2401</v>
      </c>
      <c r="M767" s="14">
        <v>45565.59375</v>
      </c>
      <c r="N767" t="s">
        <v>5409</v>
      </c>
      <c r="O767" t="s">
        <v>5273</v>
      </c>
      <c r="P767" t="s">
        <v>2401</v>
      </c>
      <c r="Q767" t="s">
        <v>2401</v>
      </c>
      <c r="R767" t="s">
        <v>2401</v>
      </c>
      <c r="S767" t="s">
        <v>2401</v>
      </c>
    </row>
    <row r="768" spans="1:19">
      <c r="A768" t="s">
        <v>5410</v>
      </c>
      <c r="B768" t="s">
        <v>5411</v>
      </c>
      <c r="C768" t="s">
        <v>2401</v>
      </c>
      <c r="D768" t="s">
        <v>2401</v>
      </c>
      <c r="E768" t="s">
        <v>2401</v>
      </c>
      <c r="F768" t="s">
        <v>2401</v>
      </c>
      <c r="G768" t="s">
        <v>2401</v>
      </c>
      <c r="H768" t="s">
        <v>2401</v>
      </c>
      <c r="I768" t="s">
        <v>2401</v>
      </c>
      <c r="J768" t="s">
        <v>2401</v>
      </c>
      <c r="K768" t="s">
        <v>2401</v>
      </c>
      <c r="L768" t="s">
        <v>2401</v>
      </c>
      <c r="M768" s="14">
        <v>45399.554861111108</v>
      </c>
      <c r="N768" t="s">
        <v>2401</v>
      </c>
      <c r="O768" t="s">
        <v>2401</v>
      </c>
      <c r="P768" t="s">
        <v>2401</v>
      </c>
      <c r="Q768" t="s">
        <v>2401</v>
      </c>
      <c r="R768" t="s">
        <v>2401</v>
      </c>
      <c r="S768" t="s">
        <v>2401</v>
      </c>
    </row>
    <row r="769" spans="1:19">
      <c r="A769" t="s">
        <v>5412</v>
      </c>
      <c r="B769" t="s">
        <v>5413</v>
      </c>
      <c r="C769" t="s">
        <v>2401</v>
      </c>
      <c r="D769" t="s">
        <v>2401</v>
      </c>
      <c r="E769" t="s">
        <v>2401</v>
      </c>
      <c r="F769" t="s">
        <v>2401</v>
      </c>
      <c r="G769" t="s">
        <v>2401</v>
      </c>
      <c r="H769" t="s">
        <v>2401</v>
      </c>
      <c r="I769" t="s">
        <v>2401</v>
      </c>
      <c r="J769" t="s">
        <v>5414</v>
      </c>
      <c r="K769" t="s">
        <v>2401</v>
      </c>
      <c r="L769" t="s">
        <v>2401</v>
      </c>
      <c r="M769" s="14">
        <v>45524.809027777781</v>
      </c>
      <c r="N769" t="s">
        <v>5415</v>
      </c>
      <c r="O769" t="s">
        <v>2401</v>
      </c>
      <c r="P769" t="s">
        <v>2401</v>
      </c>
      <c r="Q769" t="s">
        <v>2401</v>
      </c>
      <c r="R769" t="s">
        <v>2401</v>
      </c>
      <c r="S769" t="s">
        <v>2401</v>
      </c>
    </row>
    <row r="770" spans="1:19">
      <c r="A770" t="s">
        <v>5416</v>
      </c>
      <c r="B770" t="s">
        <v>5417</v>
      </c>
      <c r="C770" t="s">
        <v>2401</v>
      </c>
      <c r="D770" t="s">
        <v>2401</v>
      </c>
      <c r="E770" t="s">
        <v>2401</v>
      </c>
      <c r="F770" t="s">
        <v>2401</v>
      </c>
      <c r="G770" t="s">
        <v>2401</v>
      </c>
      <c r="H770" t="s">
        <v>2401</v>
      </c>
      <c r="I770" t="s">
        <v>2401</v>
      </c>
      <c r="J770" t="s">
        <v>5418</v>
      </c>
      <c r="K770" t="s">
        <v>3308</v>
      </c>
      <c r="L770" t="s">
        <v>2401</v>
      </c>
      <c r="M770" s="14">
        <v>45534.874305555553</v>
      </c>
      <c r="N770" t="s">
        <v>5419</v>
      </c>
      <c r="O770" t="s">
        <v>5420</v>
      </c>
      <c r="P770" t="s">
        <v>2401</v>
      </c>
      <c r="Q770" t="s">
        <v>2401</v>
      </c>
      <c r="R770" t="s">
        <v>2401</v>
      </c>
      <c r="S770" t="s">
        <v>2401</v>
      </c>
    </row>
    <row r="771" spans="1:19">
      <c r="A771" t="s">
        <v>5421</v>
      </c>
      <c r="B771" t="s">
        <v>5417</v>
      </c>
      <c r="C771" t="s">
        <v>2401</v>
      </c>
      <c r="D771" t="s">
        <v>2401</v>
      </c>
      <c r="E771" t="s">
        <v>2401</v>
      </c>
      <c r="F771" t="s">
        <v>2401</v>
      </c>
      <c r="G771" t="s">
        <v>2401</v>
      </c>
      <c r="H771" t="s">
        <v>2401</v>
      </c>
      <c r="I771" t="s">
        <v>2401</v>
      </c>
      <c r="J771" t="s">
        <v>2401</v>
      </c>
      <c r="K771" t="s">
        <v>2401</v>
      </c>
      <c r="L771" t="s">
        <v>2401</v>
      </c>
      <c r="M771" s="14">
        <v>45399.554861111108</v>
      </c>
      <c r="N771" t="s">
        <v>2401</v>
      </c>
      <c r="O771" t="s">
        <v>2401</v>
      </c>
      <c r="P771" t="s">
        <v>2401</v>
      </c>
      <c r="Q771" t="s">
        <v>2401</v>
      </c>
      <c r="R771" t="s">
        <v>2401</v>
      </c>
      <c r="S771" t="s">
        <v>2401</v>
      </c>
    </row>
    <row r="772" spans="1:19">
      <c r="A772" t="s">
        <v>5422</v>
      </c>
      <c r="B772" t="s">
        <v>5423</v>
      </c>
      <c r="C772" t="s">
        <v>2401</v>
      </c>
      <c r="D772" t="s">
        <v>2401</v>
      </c>
      <c r="E772" t="s">
        <v>2401</v>
      </c>
      <c r="F772" t="s">
        <v>2401</v>
      </c>
      <c r="G772" t="s">
        <v>2401</v>
      </c>
      <c r="H772" t="s">
        <v>2401</v>
      </c>
      <c r="I772" t="s">
        <v>2401</v>
      </c>
      <c r="J772" t="s">
        <v>5424</v>
      </c>
      <c r="K772" t="s">
        <v>2406</v>
      </c>
      <c r="L772" t="s">
        <v>2401</v>
      </c>
      <c r="M772" s="14">
        <v>45565.566666666666</v>
      </c>
      <c r="N772" t="s">
        <v>5425</v>
      </c>
      <c r="O772" t="s">
        <v>2401</v>
      </c>
      <c r="P772" t="s">
        <v>2401</v>
      </c>
      <c r="Q772" t="s">
        <v>2401</v>
      </c>
      <c r="R772" t="s">
        <v>2401</v>
      </c>
      <c r="S772" t="s">
        <v>2401</v>
      </c>
    </row>
    <row r="773" spans="1:19">
      <c r="A773" t="s">
        <v>5426</v>
      </c>
      <c r="B773" t="s">
        <v>5427</v>
      </c>
      <c r="C773" t="s">
        <v>2401</v>
      </c>
      <c r="D773" t="s">
        <v>2401</v>
      </c>
      <c r="E773" t="s">
        <v>2401</v>
      </c>
      <c r="F773" t="s">
        <v>2401</v>
      </c>
      <c r="G773" t="s">
        <v>2401</v>
      </c>
      <c r="H773" t="s">
        <v>2401</v>
      </c>
      <c r="I773" t="s">
        <v>2401</v>
      </c>
      <c r="J773" t="s">
        <v>5428</v>
      </c>
      <c r="K773" t="s">
        <v>2448</v>
      </c>
      <c r="L773" t="s">
        <v>2401</v>
      </c>
      <c r="M773" s="14">
        <v>45391.347222222219</v>
      </c>
      <c r="N773" t="s">
        <v>5429</v>
      </c>
      <c r="O773" t="s">
        <v>2401</v>
      </c>
      <c r="P773" t="s">
        <v>5430</v>
      </c>
      <c r="Q773">
        <v>1</v>
      </c>
      <c r="R773" t="s">
        <v>2401</v>
      </c>
      <c r="S773" t="s">
        <v>5431</v>
      </c>
    </row>
    <row r="774" spans="1:19">
      <c r="A774" t="s">
        <v>5432</v>
      </c>
      <c r="B774" t="s">
        <v>5433</v>
      </c>
      <c r="C774" t="s">
        <v>2401</v>
      </c>
      <c r="D774" t="s">
        <v>2401</v>
      </c>
      <c r="E774" t="s">
        <v>2401</v>
      </c>
      <c r="F774" t="s">
        <v>2401</v>
      </c>
      <c r="G774" t="s">
        <v>2401</v>
      </c>
      <c r="H774" t="s">
        <v>2401</v>
      </c>
      <c r="I774" t="s">
        <v>2401</v>
      </c>
      <c r="J774" t="s">
        <v>5434</v>
      </c>
      <c r="K774" t="s">
        <v>2448</v>
      </c>
      <c r="L774" t="s">
        <v>2401</v>
      </c>
      <c r="M774" s="14">
        <v>45561.621527777781</v>
      </c>
      <c r="N774" t="s">
        <v>5435</v>
      </c>
      <c r="O774" t="s">
        <v>5436</v>
      </c>
      <c r="P774" t="s">
        <v>2401</v>
      </c>
      <c r="Q774" t="s">
        <v>2401</v>
      </c>
      <c r="R774" t="s">
        <v>2401</v>
      </c>
      <c r="S774" t="s">
        <v>2401</v>
      </c>
    </row>
    <row r="775" spans="1:19">
      <c r="A775" t="s">
        <v>5437</v>
      </c>
      <c r="B775" t="s">
        <v>600</v>
      </c>
      <c r="C775" t="s">
        <v>2401</v>
      </c>
      <c r="D775" t="s">
        <v>2401</v>
      </c>
      <c r="E775" t="s">
        <v>2401</v>
      </c>
      <c r="F775" t="s">
        <v>2401</v>
      </c>
      <c r="G775" t="s">
        <v>2401</v>
      </c>
      <c r="H775" t="s">
        <v>2401</v>
      </c>
      <c r="I775" t="s">
        <v>2401</v>
      </c>
      <c r="J775" t="s">
        <v>5438</v>
      </c>
      <c r="K775" t="s">
        <v>2460</v>
      </c>
      <c r="L775" t="s">
        <v>2401</v>
      </c>
      <c r="M775" s="14">
        <v>45534.874305555553</v>
      </c>
      <c r="N775" t="s">
        <v>5439</v>
      </c>
      <c r="O775" t="s">
        <v>5440</v>
      </c>
      <c r="P775" t="s">
        <v>2401</v>
      </c>
      <c r="Q775" t="s">
        <v>2401</v>
      </c>
      <c r="R775" t="s">
        <v>2401</v>
      </c>
      <c r="S775" t="s">
        <v>2401</v>
      </c>
    </row>
    <row r="776" spans="1:19">
      <c r="A776" t="s">
        <v>5441</v>
      </c>
      <c r="B776" t="s">
        <v>5442</v>
      </c>
      <c r="C776" t="s">
        <v>2401</v>
      </c>
      <c r="D776" t="s">
        <v>2401</v>
      </c>
      <c r="E776" t="s">
        <v>2401</v>
      </c>
      <c r="F776" t="s">
        <v>2401</v>
      </c>
      <c r="G776" t="s">
        <v>2401</v>
      </c>
      <c r="H776" t="s">
        <v>2401</v>
      </c>
      <c r="I776" t="s">
        <v>2401</v>
      </c>
      <c r="J776" t="s">
        <v>5443</v>
      </c>
      <c r="K776" t="s">
        <v>2548</v>
      </c>
      <c r="L776" t="s">
        <v>2401</v>
      </c>
      <c r="M776" s="14">
        <v>45426.552083333336</v>
      </c>
      <c r="N776" t="s">
        <v>5439</v>
      </c>
      <c r="O776" t="s">
        <v>5440</v>
      </c>
      <c r="P776" t="s">
        <v>5444</v>
      </c>
      <c r="Q776">
        <v>1</v>
      </c>
      <c r="R776" t="s">
        <v>2401</v>
      </c>
      <c r="S776" t="s">
        <v>5445</v>
      </c>
    </row>
    <row r="777" spans="1:19">
      <c r="A777" t="s">
        <v>5446</v>
      </c>
      <c r="B777" t="s">
        <v>604</v>
      </c>
      <c r="C777" t="s">
        <v>2401</v>
      </c>
      <c r="D777" t="s">
        <v>2401</v>
      </c>
      <c r="E777" t="s">
        <v>2401</v>
      </c>
      <c r="F777" t="s">
        <v>2401</v>
      </c>
      <c r="G777" t="s">
        <v>2401</v>
      </c>
      <c r="H777" t="s">
        <v>2401</v>
      </c>
      <c r="I777" t="s">
        <v>2401</v>
      </c>
      <c r="J777" t="s">
        <v>5447</v>
      </c>
      <c r="K777" t="s">
        <v>2448</v>
      </c>
      <c r="L777" t="s">
        <v>2401</v>
      </c>
      <c r="M777" s="14">
        <v>45554.419444444444</v>
      </c>
      <c r="N777" t="s">
        <v>5448</v>
      </c>
      <c r="O777" t="s">
        <v>5449</v>
      </c>
      <c r="P777" t="s">
        <v>2401</v>
      </c>
      <c r="Q777" t="s">
        <v>2401</v>
      </c>
      <c r="R777" t="s">
        <v>2401</v>
      </c>
      <c r="S777" t="s">
        <v>2401</v>
      </c>
    </row>
    <row r="778" spans="1:19">
      <c r="A778" t="s">
        <v>5450</v>
      </c>
      <c r="B778" t="s">
        <v>604</v>
      </c>
      <c r="C778" t="s">
        <v>2401</v>
      </c>
      <c r="D778" t="s">
        <v>2401</v>
      </c>
      <c r="E778" t="s">
        <v>2401</v>
      </c>
      <c r="F778" t="s">
        <v>2401</v>
      </c>
      <c r="G778" t="s">
        <v>2401</v>
      </c>
      <c r="H778" t="s">
        <v>2401</v>
      </c>
      <c r="I778" t="s">
        <v>61</v>
      </c>
      <c r="J778" t="s">
        <v>5451</v>
      </c>
      <c r="K778" t="s">
        <v>2448</v>
      </c>
      <c r="L778" t="s">
        <v>2401</v>
      </c>
      <c r="M778" s="14">
        <v>45399.554861111108</v>
      </c>
      <c r="N778" t="s">
        <v>5452</v>
      </c>
      <c r="O778" t="s">
        <v>5449</v>
      </c>
      <c r="P778" t="s">
        <v>2401</v>
      </c>
      <c r="Q778" t="s">
        <v>2401</v>
      </c>
      <c r="R778" t="s">
        <v>2401</v>
      </c>
      <c r="S778" t="s">
        <v>2401</v>
      </c>
    </row>
    <row r="779" spans="1:19">
      <c r="A779" t="s">
        <v>5453</v>
      </c>
      <c r="B779" t="s">
        <v>5454</v>
      </c>
      <c r="C779" t="s">
        <v>2401</v>
      </c>
      <c r="D779" t="s">
        <v>2401</v>
      </c>
      <c r="E779" t="s">
        <v>2401</v>
      </c>
      <c r="F779" t="s">
        <v>2401</v>
      </c>
      <c r="G779" t="s">
        <v>2401</v>
      </c>
      <c r="H779" t="s">
        <v>2401</v>
      </c>
      <c r="I779" t="s">
        <v>61</v>
      </c>
      <c r="J779" t="s">
        <v>5455</v>
      </c>
      <c r="K779" t="s">
        <v>2499</v>
      </c>
      <c r="L779" t="s">
        <v>2401</v>
      </c>
      <c r="M779" s="14">
        <v>45399.554861111108</v>
      </c>
      <c r="N779" t="s">
        <v>5456</v>
      </c>
      <c r="O779" t="s">
        <v>5457</v>
      </c>
      <c r="P779" t="s">
        <v>2401</v>
      </c>
      <c r="Q779" t="s">
        <v>2401</v>
      </c>
      <c r="R779" t="s">
        <v>2401</v>
      </c>
      <c r="S779" t="s">
        <v>2401</v>
      </c>
    </row>
    <row r="780" spans="1:19">
      <c r="A780" t="s">
        <v>5458</v>
      </c>
      <c r="B780" t="s">
        <v>5454</v>
      </c>
      <c r="C780" t="s">
        <v>2401</v>
      </c>
      <c r="D780" t="s">
        <v>2401</v>
      </c>
      <c r="E780" t="s">
        <v>2401</v>
      </c>
      <c r="F780" t="s">
        <v>2401</v>
      </c>
      <c r="G780" t="s">
        <v>2401</v>
      </c>
      <c r="H780" t="s">
        <v>2401</v>
      </c>
      <c r="I780" t="s">
        <v>2401</v>
      </c>
      <c r="J780" t="s">
        <v>2401</v>
      </c>
      <c r="K780" t="s">
        <v>2401</v>
      </c>
      <c r="L780" t="s">
        <v>2401</v>
      </c>
      <c r="M780" s="14">
        <v>45390.607638888891</v>
      </c>
      <c r="N780" t="s">
        <v>2401</v>
      </c>
      <c r="O780" t="s">
        <v>5459</v>
      </c>
      <c r="P780" t="s">
        <v>2401</v>
      </c>
      <c r="Q780" t="s">
        <v>2401</v>
      </c>
      <c r="R780" t="s">
        <v>2401</v>
      </c>
      <c r="S780" t="s">
        <v>2401</v>
      </c>
    </row>
    <row r="781" spans="1:19">
      <c r="A781" t="s">
        <v>5460</v>
      </c>
      <c r="B781" t="s">
        <v>5461</v>
      </c>
      <c r="C781" t="s">
        <v>2401</v>
      </c>
      <c r="D781" t="s">
        <v>2401</v>
      </c>
      <c r="E781" t="s">
        <v>2401</v>
      </c>
      <c r="F781" t="s">
        <v>2401</v>
      </c>
      <c r="G781" t="s">
        <v>2401</v>
      </c>
      <c r="H781" t="s">
        <v>2401</v>
      </c>
      <c r="I781" t="s">
        <v>2401</v>
      </c>
      <c r="J781" t="s">
        <v>5462</v>
      </c>
      <c r="K781" t="s">
        <v>5463</v>
      </c>
      <c r="L781" t="s">
        <v>2401</v>
      </c>
      <c r="M781" s="14">
        <v>45534.874305555553</v>
      </c>
      <c r="N781" t="s">
        <v>5464</v>
      </c>
      <c r="O781" t="s">
        <v>2401</v>
      </c>
      <c r="P781" t="s">
        <v>2401</v>
      </c>
      <c r="Q781" t="s">
        <v>2401</v>
      </c>
      <c r="R781" t="s">
        <v>2401</v>
      </c>
      <c r="S781" t="s">
        <v>2401</v>
      </c>
    </row>
    <row r="782" spans="1:19">
      <c r="A782" t="s">
        <v>5465</v>
      </c>
      <c r="B782" t="s">
        <v>5466</v>
      </c>
      <c r="C782" t="s">
        <v>2401</v>
      </c>
      <c r="D782" t="s">
        <v>2401</v>
      </c>
      <c r="E782" t="s">
        <v>2401</v>
      </c>
      <c r="F782" t="s">
        <v>2401</v>
      </c>
      <c r="G782" t="s">
        <v>2401</v>
      </c>
      <c r="H782" t="s">
        <v>2401</v>
      </c>
      <c r="I782" t="s">
        <v>2401</v>
      </c>
      <c r="J782" t="s">
        <v>5467</v>
      </c>
      <c r="K782" t="s">
        <v>2433</v>
      </c>
      <c r="L782" t="s">
        <v>2401</v>
      </c>
      <c r="M782" s="14">
        <v>45565.690972222219</v>
      </c>
      <c r="N782" t="s">
        <v>5468</v>
      </c>
      <c r="O782" t="s">
        <v>2401</v>
      </c>
      <c r="P782" t="s">
        <v>2401</v>
      </c>
      <c r="Q782" t="s">
        <v>2401</v>
      </c>
      <c r="R782" t="s">
        <v>2401</v>
      </c>
      <c r="S782" t="s">
        <v>2401</v>
      </c>
    </row>
    <row r="783" spans="1:19">
      <c r="A783" t="s">
        <v>5469</v>
      </c>
      <c r="B783" t="s">
        <v>5470</v>
      </c>
      <c r="C783" t="s">
        <v>2564</v>
      </c>
      <c r="D783" t="s">
        <v>2401</v>
      </c>
      <c r="E783" t="s">
        <v>5471</v>
      </c>
      <c r="F783" t="s">
        <v>5472</v>
      </c>
      <c r="G783" t="s">
        <v>5473</v>
      </c>
      <c r="H783" t="s">
        <v>5474</v>
      </c>
      <c r="I783" t="s">
        <v>2401</v>
      </c>
      <c r="J783" t="s">
        <v>5475</v>
      </c>
      <c r="K783" t="s">
        <v>2406</v>
      </c>
      <c r="L783" t="s">
        <v>2401</v>
      </c>
      <c r="M783" s="14">
        <v>45534.874305555553</v>
      </c>
      <c r="N783" t="s">
        <v>5476</v>
      </c>
      <c r="O783" t="s">
        <v>2401</v>
      </c>
      <c r="P783" t="s">
        <v>2401</v>
      </c>
      <c r="Q783" t="s">
        <v>2401</v>
      </c>
      <c r="R783" t="s">
        <v>2401</v>
      </c>
      <c r="S783" t="s">
        <v>2401</v>
      </c>
    </row>
    <row r="784" spans="1:19">
      <c r="A784" t="s">
        <v>5477</v>
      </c>
      <c r="B784" t="s">
        <v>1606</v>
      </c>
      <c r="C784" t="s">
        <v>2401</v>
      </c>
      <c r="D784" t="s">
        <v>2401</v>
      </c>
      <c r="E784" t="s">
        <v>2401</v>
      </c>
      <c r="F784" t="s">
        <v>2401</v>
      </c>
      <c r="G784" t="s">
        <v>2401</v>
      </c>
      <c r="H784" t="s">
        <v>2401</v>
      </c>
      <c r="I784" t="s">
        <v>2401</v>
      </c>
      <c r="J784" t="s">
        <v>5478</v>
      </c>
      <c r="K784" t="s">
        <v>2406</v>
      </c>
      <c r="L784" t="s">
        <v>2401</v>
      </c>
      <c r="M784" s="14">
        <v>45534.874305555553</v>
      </c>
      <c r="N784" t="s">
        <v>5479</v>
      </c>
      <c r="O784" t="s">
        <v>2401</v>
      </c>
      <c r="P784" t="s">
        <v>2401</v>
      </c>
      <c r="Q784" t="s">
        <v>2401</v>
      </c>
      <c r="R784" t="s">
        <v>2401</v>
      </c>
      <c r="S784" t="s">
        <v>2401</v>
      </c>
    </row>
    <row r="785" spans="1:19">
      <c r="A785" t="s">
        <v>5480</v>
      </c>
      <c r="B785" t="s">
        <v>1609</v>
      </c>
      <c r="C785" t="s">
        <v>2401</v>
      </c>
      <c r="D785" t="s">
        <v>2401</v>
      </c>
      <c r="E785" t="s">
        <v>2401</v>
      </c>
      <c r="F785" t="s">
        <v>2401</v>
      </c>
      <c r="G785" t="s">
        <v>2401</v>
      </c>
      <c r="H785" t="s">
        <v>2401</v>
      </c>
      <c r="I785" t="s">
        <v>2401</v>
      </c>
      <c r="J785" t="s">
        <v>2401</v>
      </c>
      <c r="K785" t="s">
        <v>2406</v>
      </c>
      <c r="L785" t="s">
        <v>2401</v>
      </c>
      <c r="M785" s="14">
        <v>45390.607638888891</v>
      </c>
      <c r="N785" t="s">
        <v>2401</v>
      </c>
      <c r="O785" t="s">
        <v>5481</v>
      </c>
      <c r="P785" t="s">
        <v>5482</v>
      </c>
      <c r="Q785">
        <v>1</v>
      </c>
      <c r="R785" t="s">
        <v>2401</v>
      </c>
      <c r="S785" t="s">
        <v>5483</v>
      </c>
    </row>
    <row r="786" spans="1:19">
      <c r="A786" t="s">
        <v>5484</v>
      </c>
      <c r="B786" t="s">
        <v>1609</v>
      </c>
      <c r="C786" t="s">
        <v>2401</v>
      </c>
      <c r="D786" t="s">
        <v>2401</v>
      </c>
      <c r="E786" t="s">
        <v>2401</v>
      </c>
      <c r="F786" t="s">
        <v>2401</v>
      </c>
      <c r="G786" t="s">
        <v>2401</v>
      </c>
      <c r="H786" t="s">
        <v>2401</v>
      </c>
      <c r="I786" t="s">
        <v>2401</v>
      </c>
      <c r="J786" t="s">
        <v>5485</v>
      </c>
      <c r="K786" t="s">
        <v>2406</v>
      </c>
      <c r="L786" t="s">
        <v>2401</v>
      </c>
      <c r="M786" s="14">
        <v>45167.658333333333</v>
      </c>
      <c r="N786" t="s">
        <v>5486</v>
      </c>
      <c r="O786" t="s">
        <v>5481</v>
      </c>
      <c r="P786" t="s">
        <v>2401</v>
      </c>
      <c r="Q786" t="s">
        <v>2401</v>
      </c>
      <c r="R786" t="s">
        <v>2401</v>
      </c>
      <c r="S786" t="s">
        <v>2401</v>
      </c>
    </row>
    <row r="787" spans="1:19">
      <c r="A787" t="s">
        <v>5487</v>
      </c>
      <c r="B787" t="s">
        <v>5488</v>
      </c>
      <c r="C787" t="s">
        <v>2401</v>
      </c>
      <c r="D787" t="s">
        <v>2401</v>
      </c>
      <c r="E787" t="s">
        <v>2401</v>
      </c>
      <c r="F787" t="s">
        <v>2401</v>
      </c>
      <c r="G787" t="s">
        <v>2401</v>
      </c>
      <c r="H787" t="s">
        <v>2401</v>
      </c>
      <c r="I787" t="s">
        <v>2401</v>
      </c>
      <c r="J787" t="s">
        <v>5488</v>
      </c>
      <c r="K787" t="s">
        <v>2406</v>
      </c>
      <c r="L787" t="s">
        <v>2401</v>
      </c>
      <c r="M787" s="14">
        <v>45534.874305555553</v>
      </c>
      <c r="N787" t="s">
        <v>2401</v>
      </c>
      <c r="O787" t="s">
        <v>2401</v>
      </c>
      <c r="P787" t="s">
        <v>2401</v>
      </c>
      <c r="Q787" t="s">
        <v>2401</v>
      </c>
      <c r="R787" t="s">
        <v>2401</v>
      </c>
      <c r="S787" t="s">
        <v>2401</v>
      </c>
    </row>
    <row r="788" spans="1:19">
      <c r="A788" t="s">
        <v>5489</v>
      </c>
      <c r="B788" t="s">
        <v>5490</v>
      </c>
      <c r="C788" t="s">
        <v>2401</v>
      </c>
      <c r="D788" t="s">
        <v>2401</v>
      </c>
      <c r="E788" t="s">
        <v>2401</v>
      </c>
      <c r="F788" t="s">
        <v>2401</v>
      </c>
      <c r="G788" t="s">
        <v>2401</v>
      </c>
      <c r="H788" t="s">
        <v>2401</v>
      </c>
      <c r="I788" t="s">
        <v>2401</v>
      </c>
      <c r="J788" t="s">
        <v>5491</v>
      </c>
      <c r="K788" t="s">
        <v>2615</v>
      </c>
      <c r="L788" t="s">
        <v>2401</v>
      </c>
      <c r="M788" s="14">
        <v>45565.558333333334</v>
      </c>
      <c r="N788" t="s">
        <v>5492</v>
      </c>
      <c r="O788" t="s">
        <v>2401</v>
      </c>
      <c r="P788" t="s">
        <v>2401</v>
      </c>
      <c r="Q788" t="s">
        <v>2401</v>
      </c>
      <c r="R788" t="s">
        <v>2401</v>
      </c>
      <c r="S788" t="s">
        <v>2401</v>
      </c>
    </row>
    <row r="789" spans="1:19">
      <c r="A789" t="s">
        <v>5493</v>
      </c>
      <c r="B789" t="s">
        <v>5494</v>
      </c>
      <c r="C789" t="s">
        <v>2401</v>
      </c>
      <c r="D789" t="s">
        <v>2401</v>
      </c>
      <c r="E789" t="s">
        <v>2401</v>
      </c>
      <c r="F789" t="s">
        <v>2401</v>
      </c>
      <c r="G789" t="s">
        <v>2401</v>
      </c>
      <c r="H789" t="s">
        <v>2401</v>
      </c>
      <c r="I789" t="s">
        <v>2401</v>
      </c>
      <c r="J789" t="s">
        <v>5495</v>
      </c>
      <c r="K789" t="s">
        <v>2492</v>
      </c>
      <c r="L789" t="s">
        <v>2401</v>
      </c>
      <c r="M789" s="14">
        <v>45565.665972222225</v>
      </c>
      <c r="N789" t="s">
        <v>5496</v>
      </c>
      <c r="O789" t="s">
        <v>5497</v>
      </c>
      <c r="P789" t="s">
        <v>2401</v>
      </c>
      <c r="Q789" t="s">
        <v>2401</v>
      </c>
      <c r="R789" t="s">
        <v>2401</v>
      </c>
      <c r="S789" t="s">
        <v>2401</v>
      </c>
    </row>
    <row r="790" spans="1:19">
      <c r="A790" t="s">
        <v>5498</v>
      </c>
      <c r="B790" t="s">
        <v>5499</v>
      </c>
      <c r="C790" t="s">
        <v>2401</v>
      </c>
      <c r="D790" t="s">
        <v>2401</v>
      </c>
      <c r="E790" t="s">
        <v>2401</v>
      </c>
      <c r="F790" t="s">
        <v>2401</v>
      </c>
      <c r="G790" t="s">
        <v>2401</v>
      </c>
      <c r="H790" t="s">
        <v>2401</v>
      </c>
      <c r="I790" t="s">
        <v>2401</v>
      </c>
      <c r="J790" t="s">
        <v>5500</v>
      </c>
      <c r="K790" t="s">
        <v>2433</v>
      </c>
      <c r="L790" t="s">
        <v>2401</v>
      </c>
      <c r="M790" s="14">
        <v>45565.570833333331</v>
      </c>
      <c r="N790" t="s">
        <v>5501</v>
      </c>
      <c r="O790" t="s">
        <v>5502</v>
      </c>
      <c r="P790" t="s">
        <v>2401</v>
      </c>
      <c r="Q790" t="s">
        <v>2401</v>
      </c>
      <c r="R790" t="s">
        <v>2401</v>
      </c>
      <c r="S790" t="s">
        <v>2401</v>
      </c>
    </row>
    <row r="791" spans="1:19">
      <c r="A791" t="s">
        <v>5503</v>
      </c>
      <c r="B791" t="s">
        <v>5504</v>
      </c>
      <c r="C791" t="s">
        <v>2401</v>
      </c>
      <c r="D791" t="s">
        <v>2401</v>
      </c>
      <c r="E791" t="s">
        <v>2401</v>
      </c>
      <c r="F791" t="s">
        <v>2401</v>
      </c>
      <c r="G791" t="s">
        <v>2401</v>
      </c>
      <c r="H791" t="s">
        <v>2401</v>
      </c>
      <c r="I791" t="s">
        <v>2401</v>
      </c>
      <c r="J791" t="s">
        <v>5505</v>
      </c>
      <c r="K791" t="s">
        <v>3147</v>
      </c>
      <c r="L791" t="s">
        <v>2401</v>
      </c>
      <c r="M791" s="14">
        <v>45399.554861111108</v>
      </c>
      <c r="N791" t="s">
        <v>5506</v>
      </c>
      <c r="O791" t="s">
        <v>5507</v>
      </c>
      <c r="P791" t="s">
        <v>2401</v>
      </c>
      <c r="Q791" t="s">
        <v>2401</v>
      </c>
      <c r="R791" t="s">
        <v>2401</v>
      </c>
      <c r="S791" t="s">
        <v>2401</v>
      </c>
    </row>
    <row r="792" spans="1:19">
      <c r="A792" t="s">
        <v>5508</v>
      </c>
      <c r="B792" t="s">
        <v>5509</v>
      </c>
      <c r="C792" t="s">
        <v>2401</v>
      </c>
      <c r="D792" t="s">
        <v>2401</v>
      </c>
      <c r="E792" t="s">
        <v>2401</v>
      </c>
      <c r="F792" t="s">
        <v>2401</v>
      </c>
      <c r="G792" t="s">
        <v>2401</v>
      </c>
      <c r="H792" t="s">
        <v>2401</v>
      </c>
      <c r="I792" t="s">
        <v>2401</v>
      </c>
      <c r="J792" t="s">
        <v>5510</v>
      </c>
      <c r="K792" t="s">
        <v>2615</v>
      </c>
      <c r="L792" t="s">
        <v>2401</v>
      </c>
      <c r="M792" s="14">
        <v>45565.695138888892</v>
      </c>
      <c r="N792" t="s">
        <v>5511</v>
      </c>
      <c r="O792" t="s">
        <v>2401</v>
      </c>
      <c r="P792" t="s">
        <v>2401</v>
      </c>
      <c r="Q792" t="s">
        <v>2401</v>
      </c>
      <c r="R792" t="s">
        <v>2401</v>
      </c>
      <c r="S792" t="s">
        <v>2401</v>
      </c>
    </row>
    <row r="793" spans="1:19">
      <c r="A793" t="s">
        <v>5512</v>
      </c>
      <c r="B793" t="s">
        <v>5513</v>
      </c>
      <c r="C793" t="s">
        <v>2401</v>
      </c>
      <c r="D793" t="s">
        <v>2401</v>
      </c>
      <c r="E793" t="s">
        <v>2401</v>
      </c>
      <c r="F793" t="s">
        <v>2401</v>
      </c>
      <c r="G793" t="s">
        <v>2401</v>
      </c>
      <c r="H793" t="s">
        <v>2401</v>
      </c>
      <c r="I793" t="s">
        <v>2401</v>
      </c>
      <c r="J793" t="s">
        <v>5514</v>
      </c>
      <c r="K793" t="s">
        <v>2401</v>
      </c>
      <c r="L793" t="s">
        <v>2401</v>
      </c>
      <c r="M793" s="14">
        <v>45565.695138888892</v>
      </c>
      <c r="N793" t="s">
        <v>2401</v>
      </c>
      <c r="O793" t="s">
        <v>2401</v>
      </c>
      <c r="P793" t="s">
        <v>2401</v>
      </c>
      <c r="Q793" t="s">
        <v>2401</v>
      </c>
      <c r="R793" t="s">
        <v>2401</v>
      </c>
      <c r="S793" t="s">
        <v>2401</v>
      </c>
    </row>
    <row r="794" spans="1:19">
      <c r="A794" t="s">
        <v>5515</v>
      </c>
      <c r="B794" t="s">
        <v>5516</v>
      </c>
      <c r="C794" t="s">
        <v>2401</v>
      </c>
      <c r="D794" t="s">
        <v>2401</v>
      </c>
      <c r="E794" t="s">
        <v>2401</v>
      </c>
      <c r="F794" t="s">
        <v>2401</v>
      </c>
      <c r="G794" t="s">
        <v>2401</v>
      </c>
      <c r="H794" t="s">
        <v>2401</v>
      </c>
      <c r="I794" t="s">
        <v>2401</v>
      </c>
      <c r="J794" t="s">
        <v>5517</v>
      </c>
      <c r="K794" t="s">
        <v>2427</v>
      </c>
      <c r="L794" t="s">
        <v>2401</v>
      </c>
      <c r="M794" s="14">
        <v>45565.695138888892</v>
      </c>
      <c r="N794" t="s">
        <v>2401</v>
      </c>
      <c r="O794" t="s">
        <v>2401</v>
      </c>
      <c r="P794" t="s">
        <v>2401</v>
      </c>
      <c r="Q794" t="s">
        <v>2401</v>
      </c>
      <c r="R794" t="s">
        <v>2401</v>
      </c>
      <c r="S794" t="s">
        <v>2401</v>
      </c>
    </row>
    <row r="795" spans="1:19">
      <c r="A795" t="s">
        <v>5518</v>
      </c>
      <c r="B795" t="s">
        <v>5519</v>
      </c>
      <c r="C795" t="s">
        <v>2401</v>
      </c>
      <c r="D795" t="s">
        <v>2401</v>
      </c>
      <c r="E795" t="s">
        <v>2401</v>
      </c>
      <c r="F795" t="s">
        <v>2401</v>
      </c>
      <c r="G795" t="s">
        <v>2401</v>
      </c>
      <c r="H795" t="s">
        <v>2401</v>
      </c>
      <c r="I795" t="s">
        <v>2401</v>
      </c>
      <c r="J795" t="s">
        <v>5520</v>
      </c>
      <c r="K795" t="s">
        <v>2749</v>
      </c>
      <c r="L795" t="s">
        <v>2401</v>
      </c>
      <c r="M795" s="14">
        <v>45554.466666666667</v>
      </c>
      <c r="N795" t="s">
        <v>2401</v>
      </c>
      <c r="O795" t="s">
        <v>2401</v>
      </c>
      <c r="P795" t="s">
        <v>2401</v>
      </c>
      <c r="Q795" t="s">
        <v>2401</v>
      </c>
      <c r="R795" t="s">
        <v>2401</v>
      </c>
      <c r="S795" t="s">
        <v>2401</v>
      </c>
    </row>
    <row r="796" spans="1:19">
      <c r="A796" t="s">
        <v>5521</v>
      </c>
      <c r="B796" t="s">
        <v>5522</v>
      </c>
      <c r="C796" t="s">
        <v>2401</v>
      </c>
      <c r="D796" t="s">
        <v>2401</v>
      </c>
      <c r="E796" t="s">
        <v>2401</v>
      </c>
      <c r="F796" t="s">
        <v>2401</v>
      </c>
      <c r="G796" t="s">
        <v>2401</v>
      </c>
      <c r="H796" t="s">
        <v>2401</v>
      </c>
      <c r="I796" t="s">
        <v>2401</v>
      </c>
      <c r="J796" t="s">
        <v>5523</v>
      </c>
      <c r="K796" t="s">
        <v>3049</v>
      </c>
      <c r="L796" t="s">
        <v>2401</v>
      </c>
      <c r="M796" s="14">
        <v>45399.554861111108</v>
      </c>
      <c r="N796" t="s">
        <v>5524</v>
      </c>
      <c r="O796" t="s">
        <v>5525</v>
      </c>
      <c r="P796" t="s">
        <v>2401</v>
      </c>
      <c r="Q796" t="s">
        <v>2401</v>
      </c>
      <c r="R796" t="s">
        <v>2401</v>
      </c>
      <c r="S796" t="s">
        <v>2401</v>
      </c>
    </row>
    <row r="797" spans="1:19">
      <c r="A797" t="s">
        <v>5526</v>
      </c>
      <c r="B797" t="s">
        <v>5527</v>
      </c>
      <c r="C797" t="s">
        <v>2401</v>
      </c>
      <c r="D797" t="s">
        <v>2401</v>
      </c>
      <c r="E797" t="s">
        <v>2401</v>
      </c>
      <c r="F797" t="s">
        <v>2401</v>
      </c>
      <c r="G797" t="s">
        <v>2401</v>
      </c>
      <c r="H797" t="s">
        <v>2401</v>
      </c>
      <c r="I797" t="s">
        <v>2401</v>
      </c>
      <c r="J797" t="s">
        <v>2401</v>
      </c>
      <c r="K797" t="s">
        <v>2401</v>
      </c>
      <c r="L797" t="s">
        <v>2401</v>
      </c>
      <c r="M797" s="14">
        <v>45517.415972222225</v>
      </c>
      <c r="N797" t="s">
        <v>2401</v>
      </c>
      <c r="O797" t="s">
        <v>2401</v>
      </c>
      <c r="P797" t="s">
        <v>2401</v>
      </c>
      <c r="Q797" t="s">
        <v>2401</v>
      </c>
      <c r="R797" t="s">
        <v>2401</v>
      </c>
      <c r="S797" t="s">
        <v>2401</v>
      </c>
    </row>
    <row r="798" spans="1:19">
      <c r="A798" t="s">
        <v>5528</v>
      </c>
      <c r="B798" t="s">
        <v>5529</v>
      </c>
      <c r="C798" t="s">
        <v>2401</v>
      </c>
      <c r="D798" t="s">
        <v>2401</v>
      </c>
      <c r="E798" t="s">
        <v>2401</v>
      </c>
      <c r="F798" t="s">
        <v>2401</v>
      </c>
      <c r="G798" t="s">
        <v>2401</v>
      </c>
      <c r="H798" t="s">
        <v>2401</v>
      </c>
      <c r="I798" t="s">
        <v>2401</v>
      </c>
      <c r="J798" t="s">
        <v>5530</v>
      </c>
      <c r="K798" t="s">
        <v>2438</v>
      </c>
      <c r="L798" t="s">
        <v>2401</v>
      </c>
      <c r="M798" s="14">
        <v>45534.874305555553</v>
      </c>
      <c r="N798" t="s">
        <v>5531</v>
      </c>
      <c r="O798" t="s">
        <v>2401</v>
      </c>
      <c r="P798" t="s">
        <v>2401</v>
      </c>
      <c r="Q798" t="s">
        <v>2401</v>
      </c>
      <c r="R798" t="s">
        <v>2401</v>
      </c>
      <c r="S798" t="s">
        <v>2401</v>
      </c>
    </row>
    <row r="799" spans="1:19">
      <c r="A799" t="s">
        <v>5532</v>
      </c>
      <c r="B799" t="s">
        <v>5533</v>
      </c>
      <c r="C799" t="s">
        <v>2401</v>
      </c>
      <c r="D799" t="s">
        <v>2401</v>
      </c>
      <c r="E799" t="s">
        <v>2401</v>
      </c>
      <c r="F799" t="s">
        <v>2401</v>
      </c>
      <c r="G799" t="s">
        <v>2401</v>
      </c>
      <c r="H799" t="s">
        <v>2401</v>
      </c>
      <c r="I799" t="s">
        <v>2401</v>
      </c>
      <c r="J799" t="s">
        <v>5534</v>
      </c>
      <c r="K799" t="s">
        <v>3663</v>
      </c>
      <c r="L799" t="s">
        <v>2401</v>
      </c>
      <c r="M799" s="14">
        <v>45534.874305555553</v>
      </c>
      <c r="N799" t="s">
        <v>5535</v>
      </c>
      <c r="O799" t="s">
        <v>5536</v>
      </c>
      <c r="P799" t="s">
        <v>2401</v>
      </c>
      <c r="Q799" t="s">
        <v>2401</v>
      </c>
      <c r="R799" t="s">
        <v>2401</v>
      </c>
      <c r="S799" t="s">
        <v>2401</v>
      </c>
    </row>
    <row r="800" spans="1:19">
      <c r="A800" t="s">
        <v>5537</v>
      </c>
      <c r="B800" t="s">
        <v>5538</v>
      </c>
      <c r="C800" t="s">
        <v>2564</v>
      </c>
      <c r="D800" t="s">
        <v>2401</v>
      </c>
      <c r="E800" t="s">
        <v>5539</v>
      </c>
      <c r="F800" t="s">
        <v>5540</v>
      </c>
      <c r="G800" t="s">
        <v>5541</v>
      </c>
      <c r="H800" t="s">
        <v>5542</v>
      </c>
      <c r="I800" t="s">
        <v>2401</v>
      </c>
      <c r="J800" t="s">
        <v>5543</v>
      </c>
      <c r="K800" t="s">
        <v>2406</v>
      </c>
      <c r="L800" t="s">
        <v>1031</v>
      </c>
      <c r="M800" s="14">
        <v>45390.607638888891</v>
      </c>
      <c r="N800" t="s">
        <v>5544</v>
      </c>
      <c r="O800" t="s">
        <v>2401</v>
      </c>
      <c r="P800" t="s">
        <v>2401</v>
      </c>
      <c r="Q800" t="s">
        <v>2401</v>
      </c>
      <c r="R800" t="s">
        <v>2401</v>
      </c>
      <c r="S800" t="s">
        <v>2401</v>
      </c>
    </row>
    <row r="801" spans="1:19">
      <c r="A801" t="s">
        <v>5545</v>
      </c>
      <c r="B801" t="s">
        <v>5546</v>
      </c>
      <c r="C801" t="s">
        <v>2401</v>
      </c>
      <c r="D801" t="s">
        <v>2401</v>
      </c>
      <c r="E801" t="s">
        <v>2401</v>
      </c>
      <c r="F801" t="s">
        <v>2401</v>
      </c>
      <c r="G801" t="s">
        <v>2401</v>
      </c>
      <c r="H801" t="s">
        <v>2401</v>
      </c>
      <c r="I801" t="s">
        <v>2401</v>
      </c>
      <c r="J801" t="s">
        <v>5547</v>
      </c>
      <c r="K801" t="s">
        <v>2421</v>
      </c>
      <c r="L801" t="s">
        <v>2401</v>
      </c>
      <c r="M801" s="14">
        <v>45456.813194444447</v>
      </c>
      <c r="N801" t="s">
        <v>5548</v>
      </c>
      <c r="O801" t="s">
        <v>5549</v>
      </c>
      <c r="P801" t="s">
        <v>2401</v>
      </c>
      <c r="Q801" t="s">
        <v>2401</v>
      </c>
      <c r="R801" t="s">
        <v>2401</v>
      </c>
      <c r="S801" t="s">
        <v>2401</v>
      </c>
    </row>
    <row r="802" spans="1:19">
      <c r="A802" t="s">
        <v>5550</v>
      </c>
      <c r="B802" t="s">
        <v>1619</v>
      </c>
      <c r="C802" t="s">
        <v>2401</v>
      </c>
      <c r="D802" t="s">
        <v>2401</v>
      </c>
      <c r="E802" t="s">
        <v>2401</v>
      </c>
      <c r="F802" t="s">
        <v>2401</v>
      </c>
      <c r="G802" t="s">
        <v>2401</v>
      </c>
      <c r="H802" t="s">
        <v>2401</v>
      </c>
      <c r="I802" t="s">
        <v>2401</v>
      </c>
      <c r="J802" t="s">
        <v>2401</v>
      </c>
      <c r="K802" t="s">
        <v>2401</v>
      </c>
      <c r="L802" t="s">
        <v>2401</v>
      </c>
      <c r="M802" s="14">
        <v>45390.607638888891</v>
      </c>
      <c r="N802" t="s">
        <v>2401</v>
      </c>
      <c r="O802" t="s">
        <v>2401</v>
      </c>
      <c r="P802" t="s">
        <v>2401</v>
      </c>
      <c r="Q802" t="s">
        <v>2401</v>
      </c>
      <c r="R802" t="s">
        <v>2401</v>
      </c>
      <c r="S802" t="s">
        <v>2401</v>
      </c>
    </row>
    <row r="803" spans="1:19">
      <c r="A803" t="s">
        <v>5551</v>
      </c>
      <c r="B803" t="s">
        <v>1623</v>
      </c>
      <c r="C803" t="s">
        <v>2401</v>
      </c>
      <c r="D803" t="s">
        <v>2401</v>
      </c>
      <c r="E803" t="s">
        <v>2401</v>
      </c>
      <c r="F803" t="s">
        <v>2401</v>
      </c>
      <c r="G803" t="s">
        <v>2401</v>
      </c>
      <c r="H803" t="s">
        <v>2401</v>
      </c>
      <c r="I803" t="s">
        <v>2401</v>
      </c>
      <c r="J803" t="s">
        <v>2401</v>
      </c>
      <c r="K803" t="s">
        <v>2401</v>
      </c>
      <c r="L803" t="s">
        <v>2401</v>
      </c>
      <c r="M803" s="14">
        <v>45399.554861111108</v>
      </c>
      <c r="N803" t="s">
        <v>5552</v>
      </c>
      <c r="O803" t="s">
        <v>2401</v>
      </c>
      <c r="P803" t="s">
        <v>2401</v>
      </c>
      <c r="Q803" t="s">
        <v>2401</v>
      </c>
      <c r="R803" t="s">
        <v>2401</v>
      </c>
      <c r="S803" t="s">
        <v>2401</v>
      </c>
    </row>
    <row r="804" spans="1:19">
      <c r="A804" t="s">
        <v>5553</v>
      </c>
      <c r="B804" t="s">
        <v>1623</v>
      </c>
      <c r="C804" t="s">
        <v>2401</v>
      </c>
      <c r="D804" t="s">
        <v>2401</v>
      </c>
      <c r="E804" t="s">
        <v>2401</v>
      </c>
      <c r="F804" t="s">
        <v>2401</v>
      </c>
      <c r="G804" t="s">
        <v>2401</v>
      </c>
      <c r="H804" t="s">
        <v>2401</v>
      </c>
      <c r="I804" t="s">
        <v>2401</v>
      </c>
      <c r="J804" t="s">
        <v>2401</v>
      </c>
      <c r="K804" t="s">
        <v>2779</v>
      </c>
      <c r="L804" t="s">
        <v>2401</v>
      </c>
      <c r="M804" s="14">
        <v>45390.607638888891</v>
      </c>
      <c r="N804" t="s">
        <v>2401</v>
      </c>
      <c r="O804" t="s">
        <v>5554</v>
      </c>
      <c r="P804" t="s">
        <v>2401</v>
      </c>
      <c r="Q804" t="s">
        <v>2401</v>
      </c>
      <c r="R804" t="s">
        <v>2401</v>
      </c>
      <c r="S804" t="s">
        <v>2401</v>
      </c>
    </row>
    <row r="805" spans="1:19">
      <c r="A805" t="s">
        <v>5555</v>
      </c>
      <c r="B805" t="s">
        <v>1623</v>
      </c>
      <c r="C805" t="s">
        <v>2401</v>
      </c>
      <c r="D805" t="s">
        <v>2401</v>
      </c>
      <c r="E805" t="s">
        <v>2401</v>
      </c>
      <c r="F805" t="s">
        <v>2401</v>
      </c>
      <c r="G805" t="s">
        <v>2401</v>
      </c>
      <c r="H805" t="s">
        <v>2401</v>
      </c>
      <c r="I805" t="s">
        <v>2401</v>
      </c>
      <c r="J805" t="s">
        <v>5556</v>
      </c>
      <c r="K805" t="s">
        <v>2779</v>
      </c>
      <c r="L805" t="s">
        <v>2401</v>
      </c>
      <c r="M805" s="14">
        <v>45167.593055555553</v>
      </c>
      <c r="N805" t="s">
        <v>5557</v>
      </c>
      <c r="O805" t="s">
        <v>5554</v>
      </c>
      <c r="P805" t="s">
        <v>2401</v>
      </c>
      <c r="Q805" t="s">
        <v>2401</v>
      </c>
      <c r="R805" t="s">
        <v>2401</v>
      </c>
      <c r="S805" t="s">
        <v>2401</v>
      </c>
    </row>
    <row r="806" spans="1:19">
      <c r="A806" t="s">
        <v>5558</v>
      </c>
      <c r="B806" t="s">
        <v>5559</v>
      </c>
      <c r="C806" t="s">
        <v>2401</v>
      </c>
      <c r="D806" t="s">
        <v>2401</v>
      </c>
      <c r="E806" t="s">
        <v>2401</v>
      </c>
      <c r="F806" t="s">
        <v>2401</v>
      </c>
      <c r="G806" t="s">
        <v>2401</v>
      </c>
      <c r="H806" t="s">
        <v>2401</v>
      </c>
      <c r="I806" t="s">
        <v>2401</v>
      </c>
      <c r="J806" t="s">
        <v>5560</v>
      </c>
      <c r="K806" t="s">
        <v>2406</v>
      </c>
      <c r="L806" t="s">
        <v>2401</v>
      </c>
      <c r="M806" s="14">
        <v>45565.656944444447</v>
      </c>
      <c r="N806" t="s">
        <v>5561</v>
      </c>
      <c r="O806" t="s">
        <v>2401</v>
      </c>
      <c r="P806" t="s">
        <v>2401</v>
      </c>
      <c r="Q806" t="s">
        <v>2401</v>
      </c>
      <c r="R806" t="s">
        <v>2401</v>
      </c>
      <c r="S806" t="s">
        <v>2401</v>
      </c>
    </row>
    <row r="807" spans="1:19">
      <c r="A807" t="s">
        <v>5562</v>
      </c>
      <c r="B807" t="s">
        <v>5563</v>
      </c>
      <c r="C807" t="s">
        <v>2401</v>
      </c>
      <c r="D807" t="s">
        <v>2401</v>
      </c>
      <c r="E807" t="s">
        <v>2401</v>
      </c>
      <c r="F807" t="s">
        <v>2401</v>
      </c>
      <c r="G807" t="s">
        <v>2401</v>
      </c>
      <c r="H807" t="s">
        <v>2401</v>
      </c>
      <c r="I807" t="s">
        <v>2401</v>
      </c>
      <c r="J807" t="s">
        <v>5564</v>
      </c>
      <c r="K807" t="s">
        <v>2438</v>
      </c>
      <c r="L807" t="s">
        <v>2401</v>
      </c>
      <c r="M807" s="14">
        <v>45565.656944444447</v>
      </c>
      <c r="N807" t="s">
        <v>5565</v>
      </c>
      <c r="O807" t="s">
        <v>5566</v>
      </c>
      <c r="P807" t="s">
        <v>2401</v>
      </c>
      <c r="Q807" t="s">
        <v>2401</v>
      </c>
      <c r="R807" t="s">
        <v>2401</v>
      </c>
      <c r="S807" t="s">
        <v>2401</v>
      </c>
    </row>
    <row r="808" spans="1:19">
      <c r="A808" t="s">
        <v>5567</v>
      </c>
      <c r="B808" t="s">
        <v>5568</v>
      </c>
      <c r="C808" t="s">
        <v>2401</v>
      </c>
      <c r="D808" t="s">
        <v>2401</v>
      </c>
      <c r="E808" t="s">
        <v>2401</v>
      </c>
      <c r="F808" t="s">
        <v>2401</v>
      </c>
      <c r="G808" t="s">
        <v>2401</v>
      </c>
      <c r="H808" t="s">
        <v>2401</v>
      </c>
      <c r="I808" t="s">
        <v>2401</v>
      </c>
      <c r="J808" t="s">
        <v>5569</v>
      </c>
      <c r="K808" t="s">
        <v>3308</v>
      </c>
      <c r="L808" t="s">
        <v>2401</v>
      </c>
      <c r="M808" s="14">
        <v>45534.874305555553</v>
      </c>
      <c r="N808" t="s">
        <v>5570</v>
      </c>
      <c r="O808" t="s">
        <v>5571</v>
      </c>
      <c r="P808" t="s">
        <v>2401</v>
      </c>
      <c r="Q808" t="s">
        <v>2401</v>
      </c>
      <c r="R808" t="s">
        <v>2401</v>
      </c>
      <c r="S808" t="s">
        <v>2401</v>
      </c>
    </row>
    <row r="809" spans="1:19">
      <c r="A809" t="s">
        <v>5572</v>
      </c>
      <c r="B809" t="s">
        <v>5573</v>
      </c>
      <c r="C809" t="s">
        <v>2401</v>
      </c>
      <c r="D809" t="s">
        <v>2401</v>
      </c>
      <c r="E809" t="s">
        <v>2401</v>
      </c>
      <c r="F809" t="s">
        <v>2401</v>
      </c>
      <c r="G809" t="s">
        <v>2401</v>
      </c>
      <c r="H809" t="s">
        <v>2401</v>
      </c>
      <c r="I809" t="s">
        <v>2401</v>
      </c>
      <c r="J809" t="s">
        <v>2401</v>
      </c>
      <c r="K809" t="s">
        <v>3308</v>
      </c>
      <c r="L809" t="s">
        <v>2401</v>
      </c>
      <c r="M809" s="14">
        <v>45390.607638888891</v>
      </c>
      <c r="N809" t="s">
        <v>2401</v>
      </c>
      <c r="O809" t="s">
        <v>5571</v>
      </c>
      <c r="P809" t="s">
        <v>2401</v>
      </c>
      <c r="Q809" t="s">
        <v>2401</v>
      </c>
      <c r="R809" t="s">
        <v>2401</v>
      </c>
      <c r="S809" t="s">
        <v>2401</v>
      </c>
    </row>
    <row r="810" spans="1:19">
      <c r="A810" t="s">
        <v>5574</v>
      </c>
      <c r="B810" t="s">
        <v>5575</v>
      </c>
      <c r="C810" t="s">
        <v>2401</v>
      </c>
      <c r="D810" t="s">
        <v>2401</v>
      </c>
      <c r="E810" t="s">
        <v>2401</v>
      </c>
      <c r="F810" t="s">
        <v>2401</v>
      </c>
      <c r="G810" t="s">
        <v>2401</v>
      </c>
      <c r="H810" t="s">
        <v>2401</v>
      </c>
      <c r="I810" t="s">
        <v>2401</v>
      </c>
      <c r="J810" t="s">
        <v>5576</v>
      </c>
      <c r="K810" t="s">
        <v>3518</v>
      </c>
      <c r="L810" t="s">
        <v>2401</v>
      </c>
      <c r="M810" s="14">
        <v>45399.554861111108</v>
      </c>
      <c r="N810" t="s">
        <v>5577</v>
      </c>
      <c r="O810" t="s">
        <v>5578</v>
      </c>
      <c r="P810" t="s">
        <v>2401</v>
      </c>
      <c r="Q810" t="s">
        <v>2401</v>
      </c>
      <c r="R810" t="s">
        <v>2401</v>
      </c>
      <c r="S810" t="s">
        <v>2401</v>
      </c>
    </row>
    <row r="811" spans="1:19">
      <c r="A811" t="s">
        <v>5579</v>
      </c>
      <c r="B811" t="s">
        <v>5580</v>
      </c>
      <c r="C811" t="s">
        <v>2401</v>
      </c>
      <c r="D811" t="s">
        <v>2401</v>
      </c>
      <c r="E811" t="s">
        <v>2401</v>
      </c>
      <c r="F811" t="s">
        <v>2401</v>
      </c>
      <c r="G811" t="s">
        <v>2401</v>
      </c>
      <c r="H811" t="s">
        <v>2401</v>
      </c>
      <c r="I811" t="s">
        <v>61</v>
      </c>
      <c r="J811" t="s">
        <v>2401</v>
      </c>
      <c r="K811" t="s">
        <v>2401</v>
      </c>
      <c r="L811" t="s">
        <v>2401</v>
      </c>
      <c r="M811" s="14">
        <v>45399.554861111108</v>
      </c>
      <c r="N811" t="s">
        <v>2401</v>
      </c>
      <c r="O811" t="s">
        <v>2401</v>
      </c>
      <c r="P811" t="s">
        <v>2401</v>
      </c>
      <c r="Q811" t="s">
        <v>2401</v>
      </c>
      <c r="R811" t="s">
        <v>2401</v>
      </c>
      <c r="S811" t="s">
        <v>2401</v>
      </c>
    </row>
    <row r="812" spans="1:19">
      <c r="A812" t="s">
        <v>5581</v>
      </c>
      <c r="B812" t="s">
        <v>5582</v>
      </c>
      <c r="C812" t="s">
        <v>2401</v>
      </c>
      <c r="D812" t="s">
        <v>2401</v>
      </c>
      <c r="E812" t="s">
        <v>2401</v>
      </c>
      <c r="F812" t="s">
        <v>2401</v>
      </c>
      <c r="G812" t="s">
        <v>2401</v>
      </c>
      <c r="H812" t="s">
        <v>2401</v>
      </c>
      <c r="I812" t="s">
        <v>2401</v>
      </c>
      <c r="J812" t="s">
        <v>2401</v>
      </c>
      <c r="K812" t="s">
        <v>2401</v>
      </c>
      <c r="L812" t="s">
        <v>2401</v>
      </c>
      <c r="M812" s="14">
        <v>45390.607638888891</v>
      </c>
      <c r="N812" t="s">
        <v>2401</v>
      </c>
      <c r="O812" t="s">
        <v>2401</v>
      </c>
      <c r="P812" t="s">
        <v>2401</v>
      </c>
      <c r="Q812" t="s">
        <v>2401</v>
      </c>
      <c r="R812" t="s">
        <v>2401</v>
      </c>
      <c r="S812" t="s">
        <v>2401</v>
      </c>
    </row>
    <row r="813" spans="1:19">
      <c r="A813" t="s">
        <v>5583</v>
      </c>
      <c r="B813" t="s">
        <v>5584</v>
      </c>
      <c r="C813" t="s">
        <v>2474</v>
      </c>
      <c r="D813" t="s">
        <v>2401</v>
      </c>
      <c r="E813" t="s">
        <v>2401</v>
      </c>
      <c r="F813" t="s">
        <v>2401</v>
      </c>
      <c r="G813" t="s">
        <v>2401</v>
      </c>
      <c r="H813" t="s">
        <v>2401</v>
      </c>
      <c r="I813" t="s">
        <v>2401</v>
      </c>
      <c r="J813" t="s">
        <v>5585</v>
      </c>
      <c r="K813" t="s">
        <v>2406</v>
      </c>
      <c r="L813" t="s">
        <v>2401</v>
      </c>
      <c r="M813" s="14">
        <v>45535.026388888888</v>
      </c>
      <c r="N813" t="s">
        <v>5586</v>
      </c>
      <c r="O813" t="s">
        <v>5587</v>
      </c>
      <c r="P813" t="s">
        <v>2401</v>
      </c>
      <c r="Q813" t="s">
        <v>2401</v>
      </c>
      <c r="R813" t="s">
        <v>2401</v>
      </c>
      <c r="S813" t="s">
        <v>2401</v>
      </c>
    </row>
    <row r="814" spans="1:19">
      <c r="A814" t="s">
        <v>5588</v>
      </c>
      <c r="B814" t="s">
        <v>5589</v>
      </c>
      <c r="C814" t="s">
        <v>2401</v>
      </c>
      <c r="D814" t="s">
        <v>2401</v>
      </c>
      <c r="E814" t="s">
        <v>2401</v>
      </c>
      <c r="F814" t="s">
        <v>2401</v>
      </c>
      <c r="G814" t="s">
        <v>2401</v>
      </c>
      <c r="H814" t="s">
        <v>2401</v>
      </c>
      <c r="I814" t="s">
        <v>2401</v>
      </c>
      <c r="J814" t="s">
        <v>5589</v>
      </c>
      <c r="K814" t="s">
        <v>2406</v>
      </c>
      <c r="L814" t="s">
        <v>2401</v>
      </c>
      <c r="M814" s="14">
        <v>45534.874305555553</v>
      </c>
      <c r="N814" t="s">
        <v>5590</v>
      </c>
      <c r="O814" t="s">
        <v>5591</v>
      </c>
      <c r="P814" t="s">
        <v>2401</v>
      </c>
      <c r="Q814" t="s">
        <v>2401</v>
      </c>
      <c r="R814" t="s">
        <v>2401</v>
      </c>
      <c r="S814" t="s">
        <v>2401</v>
      </c>
    </row>
    <row r="815" spans="1:19">
      <c r="A815" t="s">
        <v>5592</v>
      </c>
      <c r="B815" t="s">
        <v>5593</v>
      </c>
      <c r="C815" t="s">
        <v>2401</v>
      </c>
      <c r="D815" t="s">
        <v>2401</v>
      </c>
      <c r="E815" t="s">
        <v>2401</v>
      </c>
      <c r="F815" t="s">
        <v>2401</v>
      </c>
      <c r="G815" t="s">
        <v>2401</v>
      </c>
      <c r="H815" t="s">
        <v>2401</v>
      </c>
      <c r="I815" t="s">
        <v>2401</v>
      </c>
      <c r="J815" t="s">
        <v>2401</v>
      </c>
      <c r="K815" t="s">
        <v>2460</v>
      </c>
      <c r="L815" t="s">
        <v>2401</v>
      </c>
      <c r="M815" s="14">
        <v>45390.607638888891</v>
      </c>
      <c r="N815" t="s">
        <v>2401</v>
      </c>
      <c r="O815" t="s">
        <v>5594</v>
      </c>
      <c r="P815" t="s">
        <v>2401</v>
      </c>
      <c r="Q815" t="s">
        <v>2401</v>
      </c>
      <c r="R815" t="s">
        <v>2401</v>
      </c>
      <c r="S815" t="s">
        <v>2401</v>
      </c>
    </row>
    <row r="816" spans="1:19">
      <c r="A816" t="s">
        <v>5595</v>
      </c>
      <c r="B816" t="s">
        <v>5596</v>
      </c>
      <c r="C816" t="s">
        <v>2401</v>
      </c>
      <c r="D816" t="s">
        <v>2401</v>
      </c>
      <c r="E816" t="s">
        <v>2401</v>
      </c>
      <c r="F816" t="s">
        <v>2401</v>
      </c>
      <c r="G816" t="s">
        <v>2401</v>
      </c>
      <c r="H816" t="s">
        <v>2401</v>
      </c>
      <c r="I816" t="s">
        <v>2401</v>
      </c>
      <c r="J816" t="s">
        <v>5597</v>
      </c>
      <c r="K816" t="s">
        <v>2720</v>
      </c>
      <c r="L816" t="s">
        <v>2401</v>
      </c>
      <c r="M816" s="14">
        <v>45565.70416666667</v>
      </c>
      <c r="N816" t="s">
        <v>5598</v>
      </c>
      <c r="O816" t="s">
        <v>5599</v>
      </c>
      <c r="P816" t="s">
        <v>2401</v>
      </c>
      <c r="Q816" t="s">
        <v>2401</v>
      </c>
      <c r="R816" t="s">
        <v>2401</v>
      </c>
      <c r="S816" t="s">
        <v>2401</v>
      </c>
    </row>
    <row r="817" spans="1:19">
      <c r="A817" t="s">
        <v>5600</v>
      </c>
      <c r="B817" t="s">
        <v>5601</v>
      </c>
      <c r="C817" t="s">
        <v>2401</v>
      </c>
      <c r="D817" t="s">
        <v>2401</v>
      </c>
      <c r="E817" t="s">
        <v>2401</v>
      </c>
      <c r="F817" t="s">
        <v>2401</v>
      </c>
      <c r="G817" t="s">
        <v>2401</v>
      </c>
      <c r="H817" t="s">
        <v>2401</v>
      </c>
      <c r="I817" t="s">
        <v>2401</v>
      </c>
      <c r="J817" t="s">
        <v>5602</v>
      </c>
      <c r="K817" t="s">
        <v>2406</v>
      </c>
      <c r="L817" t="s">
        <v>2401</v>
      </c>
      <c r="M817" s="14">
        <v>45534.874305555553</v>
      </c>
      <c r="N817" t="s">
        <v>5603</v>
      </c>
      <c r="O817" t="s">
        <v>5604</v>
      </c>
      <c r="P817" t="s">
        <v>2401</v>
      </c>
      <c r="Q817" t="s">
        <v>2401</v>
      </c>
      <c r="R817" t="s">
        <v>2401</v>
      </c>
      <c r="S817" t="s">
        <v>2401</v>
      </c>
    </row>
    <row r="818" spans="1:19">
      <c r="A818" t="s">
        <v>5605</v>
      </c>
      <c r="B818" t="s">
        <v>5606</v>
      </c>
      <c r="C818" t="s">
        <v>2401</v>
      </c>
      <c r="D818" t="s">
        <v>2401</v>
      </c>
      <c r="E818" t="s">
        <v>2401</v>
      </c>
      <c r="F818" t="s">
        <v>2401</v>
      </c>
      <c r="G818" t="s">
        <v>2401</v>
      </c>
      <c r="H818" t="s">
        <v>2401</v>
      </c>
      <c r="I818" t="s">
        <v>2401</v>
      </c>
      <c r="J818" t="s">
        <v>5607</v>
      </c>
      <c r="K818" t="s">
        <v>2433</v>
      </c>
      <c r="L818" t="s">
        <v>2401</v>
      </c>
      <c r="M818" s="14">
        <v>45565.697222222225</v>
      </c>
      <c r="N818" t="s">
        <v>5608</v>
      </c>
      <c r="O818" t="s">
        <v>5609</v>
      </c>
      <c r="P818" t="s">
        <v>2401</v>
      </c>
      <c r="Q818" t="s">
        <v>2401</v>
      </c>
      <c r="R818" t="s">
        <v>2401</v>
      </c>
      <c r="S818" t="s">
        <v>2401</v>
      </c>
    </row>
    <row r="819" spans="1:19">
      <c r="A819" t="s">
        <v>5610</v>
      </c>
      <c r="B819" t="s">
        <v>5611</v>
      </c>
      <c r="C819" t="s">
        <v>2401</v>
      </c>
      <c r="D819" t="s">
        <v>2401</v>
      </c>
      <c r="E819" t="s">
        <v>2401</v>
      </c>
      <c r="F819" t="s">
        <v>2401</v>
      </c>
      <c r="G819" t="s">
        <v>2401</v>
      </c>
      <c r="H819" t="s">
        <v>2401</v>
      </c>
      <c r="I819" t="s">
        <v>2401</v>
      </c>
      <c r="J819" t="s">
        <v>2401</v>
      </c>
      <c r="K819" t="s">
        <v>2401</v>
      </c>
      <c r="L819" t="s">
        <v>2401</v>
      </c>
      <c r="M819" s="14">
        <v>45399.554861111108</v>
      </c>
      <c r="N819" t="s">
        <v>2401</v>
      </c>
      <c r="O819" t="s">
        <v>2401</v>
      </c>
      <c r="P819" t="s">
        <v>2401</v>
      </c>
      <c r="Q819" t="s">
        <v>2401</v>
      </c>
      <c r="R819" t="s">
        <v>2401</v>
      </c>
      <c r="S819" t="s">
        <v>2401</v>
      </c>
    </row>
    <row r="820" spans="1:19">
      <c r="A820" t="s">
        <v>5612</v>
      </c>
      <c r="B820" t="s">
        <v>5613</v>
      </c>
      <c r="C820" t="s">
        <v>2401</v>
      </c>
      <c r="D820" t="s">
        <v>2401</v>
      </c>
      <c r="E820" t="s">
        <v>2401</v>
      </c>
      <c r="F820" t="s">
        <v>2401</v>
      </c>
      <c r="G820" t="s">
        <v>2401</v>
      </c>
      <c r="H820" t="s">
        <v>2401</v>
      </c>
      <c r="I820" t="s">
        <v>2401</v>
      </c>
      <c r="J820" t="s">
        <v>5614</v>
      </c>
      <c r="K820" t="s">
        <v>2433</v>
      </c>
      <c r="L820" t="s">
        <v>2401</v>
      </c>
      <c r="M820" s="14">
        <v>45565.698611111111</v>
      </c>
      <c r="N820" t="s">
        <v>5615</v>
      </c>
      <c r="O820" t="s">
        <v>5616</v>
      </c>
      <c r="P820" t="s">
        <v>2401</v>
      </c>
      <c r="Q820" t="s">
        <v>2401</v>
      </c>
      <c r="R820" t="s">
        <v>2401</v>
      </c>
      <c r="S820" t="s">
        <v>2401</v>
      </c>
    </row>
    <row r="821" spans="1:19">
      <c r="A821" t="s">
        <v>5617</v>
      </c>
      <c r="B821" t="s">
        <v>5618</v>
      </c>
      <c r="C821" t="s">
        <v>2401</v>
      </c>
      <c r="D821" t="s">
        <v>2401</v>
      </c>
      <c r="E821" t="s">
        <v>2401</v>
      </c>
      <c r="F821" t="s">
        <v>2401</v>
      </c>
      <c r="G821" t="s">
        <v>2401</v>
      </c>
      <c r="H821" t="s">
        <v>2401</v>
      </c>
      <c r="I821" t="s">
        <v>61</v>
      </c>
      <c r="J821" t="s">
        <v>2401</v>
      </c>
      <c r="K821" t="s">
        <v>2401</v>
      </c>
      <c r="L821" t="s">
        <v>2401</v>
      </c>
      <c r="M821" s="14">
        <v>45399.554861111108</v>
      </c>
      <c r="N821" t="s">
        <v>2401</v>
      </c>
      <c r="O821" t="s">
        <v>2401</v>
      </c>
      <c r="P821" t="s">
        <v>2401</v>
      </c>
      <c r="Q821" t="s">
        <v>2401</v>
      </c>
      <c r="R821" t="s">
        <v>2401</v>
      </c>
      <c r="S821" t="s">
        <v>2401</v>
      </c>
    </row>
    <row r="822" spans="1:19">
      <c r="A822" t="s">
        <v>5619</v>
      </c>
      <c r="B822" t="s">
        <v>5620</v>
      </c>
      <c r="C822" t="s">
        <v>2401</v>
      </c>
      <c r="D822" t="s">
        <v>2401</v>
      </c>
      <c r="E822" t="s">
        <v>2401</v>
      </c>
      <c r="F822" t="s">
        <v>2401</v>
      </c>
      <c r="G822" t="s">
        <v>2401</v>
      </c>
      <c r="H822" t="s">
        <v>2401</v>
      </c>
      <c r="I822" t="s">
        <v>2401</v>
      </c>
      <c r="J822" t="s">
        <v>2401</v>
      </c>
      <c r="K822" t="s">
        <v>2401</v>
      </c>
      <c r="L822" t="s">
        <v>2401</v>
      </c>
      <c r="M822" s="14">
        <v>45390.607638888891</v>
      </c>
      <c r="N822" t="s">
        <v>2401</v>
      </c>
      <c r="O822" t="s">
        <v>2586</v>
      </c>
      <c r="P822" t="s">
        <v>2401</v>
      </c>
      <c r="Q822" t="s">
        <v>2401</v>
      </c>
      <c r="R822" t="s">
        <v>2401</v>
      </c>
      <c r="S822" t="s">
        <v>2401</v>
      </c>
    </row>
    <row r="823" spans="1:19">
      <c r="A823" t="s">
        <v>5621</v>
      </c>
      <c r="B823" t="s">
        <v>5622</v>
      </c>
      <c r="C823" t="s">
        <v>2401</v>
      </c>
      <c r="D823" t="s">
        <v>2401</v>
      </c>
      <c r="E823" t="s">
        <v>2401</v>
      </c>
      <c r="F823" t="s">
        <v>2401</v>
      </c>
      <c r="G823" t="s">
        <v>2401</v>
      </c>
      <c r="H823" t="s">
        <v>2401</v>
      </c>
      <c r="I823" t="s">
        <v>2401</v>
      </c>
      <c r="J823" t="s">
        <v>5623</v>
      </c>
      <c r="K823" t="s">
        <v>2571</v>
      </c>
      <c r="L823" t="s">
        <v>5624</v>
      </c>
      <c r="M823" s="14">
        <v>45403.48333333333</v>
      </c>
      <c r="N823" t="s">
        <v>5625</v>
      </c>
      <c r="O823" t="s">
        <v>2401</v>
      </c>
      <c r="P823" t="s">
        <v>5626</v>
      </c>
      <c r="Q823">
        <v>1</v>
      </c>
      <c r="R823" t="s">
        <v>2401</v>
      </c>
      <c r="S823" t="s">
        <v>5627</v>
      </c>
    </row>
    <row r="824" spans="1:19">
      <c r="A824" t="s">
        <v>5628</v>
      </c>
      <c r="B824" t="s">
        <v>5629</v>
      </c>
      <c r="C824" t="s">
        <v>2401</v>
      </c>
      <c r="D824" t="s">
        <v>2401</v>
      </c>
      <c r="E824" t="s">
        <v>2401</v>
      </c>
      <c r="F824" t="s">
        <v>2401</v>
      </c>
      <c r="G824" t="s">
        <v>2401</v>
      </c>
      <c r="H824" t="s">
        <v>2401</v>
      </c>
      <c r="I824" t="s">
        <v>2401</v>
      </c>
      <c r="J824" t="s">
        <v>5630</v>
      </c>
      <c r="K824" t="s">
        <v>2427</v>
      </c>
      <c r="L824" t="s">
        <v>2401</v>
      </c>
      <c r="M824" s="14">
        <v>45399.554861111108</v>
      </c>
      <c r="N824" t="s">
        <v>5631</v>
      </c>
      <c r="O824" t="s">
        <v>5632</v>
      </c>
      <c r="P824" t="s">
        <v>2401</v>
      </c>
      <c r="Q824" t="s">
        <v>2401</v>
      </c>
      <c r="R824" t="s">
        <v>2401</v>
      </c>
      <c r="S824" t="s">
        <v>2401</v>
      </c>
    </row>
    <row r="825" spans="1:19">
      <c r="A825" t="s">
        <v>5633</v>
      </c>
      <c r="B825" t="s">
        <v>5634</v>
      </c>
      <c r="C825" t="s">
        <v>2401</v>
      </c>
      <c r="D825" t="s">
        <v>2401</v>
      </c>
      <c r="E825" t="s">
        <v>2401</v>
      </c>
      <c r="F825" t="s">
        <v>2401</v>
      </c>
      <c r="G825" t="s">
        <v>2401</v>
      </c>
      <c r="H825" t="s">
        <v>2401</v>
      </c>
      <c r="I825" t="s">
        <v>2401</v>
      </c>
      <c r="J825" t="s">
        <v>5635</v>
      </c>
      <c r="K825" t="s">
        <v>3071</v>
      </c>
      <c r="L825" t="s">
        <v>2401</v>
      </c>
      <c r="M825" s="14">
        <v>45565.65347222222</v>
      </c>
      <c r="N825" t="s">
        <v>5636</v>
      </c>
      <c r="O825" t="s">
        <v>3113</v>
      </c>
      <c r="P825" t="s">
        <v>2401</v>
      </c>
      <c r="Q825" t="s">
        <v>2401</v>
      </c>
      <c r="R825" t="s">
        <v>2401</v>
      </c>
      <c r="S825" t="s">
        <v>2401</v>
      </c>
    </row>
    <row r="826" spans="1:19">
      <c r="A826" t="s">
        <v>5637</v>
      </c>
      <c r="B826" t="s">
        <v>5638</v>
      </c>
      <c r="C826" t="s">
        <v>2401</v>
      </c>
      <c r="D826" t="s">
        <v>2401</v>
      </c>
      <c r="E826" t="s">
        <v>2401</v>
      </c>
      <c r="F826" t="s">
        <v>2401</v>
      </c>
      <c r="G826" t="s">
        <v>2401</v>
      </c>
      <c r="H826" t="s">
        <v>2401</v>
      </c>
      <c r="I826" t="s">
        <v>2401</v>
      </c>
      <c r="J826" t="s">
        <v>2401</v>
      </c>
      <c r="K826" t="s">
        <v>2401</v>
      </c>
      <c r="L826" t="s">
        <v>2401</v>
      </c>
      <c r="M826" s="14">
        <v>45517.415972222225</v>
      </c>
      <c r="N826" t="s">
        <v>2401</v>
      </c>
      <c r="O826" t="s">
        <v>2401</v>
      </c>
      <c r="P826" t="s">
        <v>2401</v>
      </c>
      <c r="Q826" t="s">
        <v>2401</v>
      </c>
      <c r="R826" t="s">
        <v>2401</v>
      </c>
      <c r="S826" t="s">
        <v>2401</v>
      </c>
    </row>
    <row r="827" spans="1:19">
      <c r="A827" t="s">
        <v>5639</v>
      </c>
      <c r="B827" t="s">
        <v>2251</v>
      </c>
      <c r="C827" t="s">
        <v>2401</v>
      </c>
      <c r="D827" t="s">
        <v>2401</v>
      </c>
      <c r="E827" t="s">
        <v>2401</v>
      </c>
      <c r="F827" t="s">
        <v>2401</v>
      </c>
      <c r="G827" t="s">
        <v>2401</v>
      </c>
      <c r="H827" t="s">
        <v>2401</v>
      </c>
      <c r="I827" t="s">
        <v>2401</v>
      </c>
      <c r="J827" t="s">
        <v>5640</v>
      </c>
      <c r="K827" t="s">
        <v>3147</v>
      </c>
      <c r="L827" t="s">
        <v>2401</v>
      </c>
      <c r="M827" s="14">
        <v>45490.523611111108</v>
      </c>
      <c r="N827" t="s">
        <v>5641</v>
      </c>
      <c r="O827" t="s">
        <v>5642</v>
      </c>
      <c r="P827" t="s">
        <v>2401</v>
      </c>
      <c r="Q827" t="s">
        <v>2401</v>
      </c>
      <c r="R827" t="s">
        <v>2401</v>
      </c>
      <c r="S827" t="s">
        <v>2401</v>
      </c>
    </row>
    <row r="828" spans="1:19">
      <c r="A828" t="s">
        <v>5643</v>
      </c>
      <c r="B828" t="s">
        <v>2251</v>
      </c>
      <c r="C828" t="s">
        <v>2401</v>
      </c>
      <c r="D828" t="s">
        <v>2401</v>
      </c>
      <c r="E828" t="s">
        <v>2401</v>
      </c>
      <c r="F828" t="s">
        <v>2401</v>
      </c>
      <c r="G828" t="s">
        <v>2401</v>
      </c>
      <c r="H828" t="s">
        <v>2401</v>
      </c>
      <c r="I828" t="s">
        <v>2401</v>
      </c>
      <c r="J828" t="s">
        <v>2401</v>
      </c>
      <c r="K828" t="s">
        <v>3147</v>
      </c>
      <c r="L828" t="s">
        <v>2401</v>
      </c>
      <c r="M828" s="14">
        <v>45390.607638888891</v>
      </c>
      <c r="N828" t="s">
        <v>2401</v>
      </c>
      <c r="O828" t="s">
        <v>2401</v>
      </c>
      <c r="P828" t="s">
        <v>2401</v>
      </c>
      <c r="Q828" t="s">
        <v>2401</v>
      </c>
      <c r="R828" t="s">
        <v>2401</v>
      </c>
      <c r="S828" t="s">
        <v>2401</v>
      </c>
    </row>
    <row r="829" spans="1:19">
      <c r="A829" t="s">
        <v>5644</v>
      </c>
      <c r="B829" t="s">
        <v>2251</v>
      </c>
      <c r="C829" t="s">
        <v>2401</v>
      </c>
      <c r="D829" t="s">
        <v>2401</v>
      </c>
      <c r="E829" t="s">
        <v>2401</v>
      </c>
      <c r="F829" t="s">
        <v>2401</v>
      </c>
      <c r="G829" t="s">
        <v>2401</v>
      </c>
      <c r="H829" t="s">
        <v>2401</v>
      </c>
      <c r="I829" t="s">
        <v>2401</v>
      </c>
      <c r="J829" t="s">
        <v>5645</v>
      </c>
      <c r="K829" t="s">
        <v>3147</v>
      </c>
      <c r="L829" t="s">
        <v>2401</v>
      </c>
      <c r="M829" s="14">
        <v>45167.672222222223</v>
      </c>
      <c r="N829" t="s">
        <v>5646</v>
      </c>
      <c r="O829" t="s">
        <v>2401</v>
      </c>
      <c r="P829" t="s">
        <v>2401</v>
      </c>
      <c r="Q829" t="s">
        <v>2401</v>
      </c>
      <c r="R829" t="s">
        <v>2401</v>
      </c>
      <c r="S829" t="s">
        <v>2401</v>
      </c>
    </row>
    <row r="830" spans="1:19">
      <c r="A830" t="s">
        <v>5647</v>
      </c>
      <c r="B830" t="s">
        <v>5648</v>
      </c>
      <c r="C830" t="s">
        <v>2401</v>
      </c>
      <c r="D830" t="s">
        <v>2401</v>
      </c>
      <c r="E830" t="s">
        <v>2401</v>
      </c>
      <c r="F830" t="s">
        <v>2401</v>
      </c>
      <c r="G830" t="s">
        <v>2401</v>
      </c>
      <c r="H830" t="s">
        <v>2401</v>
      </c>
      <c r="I830" t="s">
        <v>61</v>
      </c>
      <c r="J830" t="s">
        <v>5649</v>
      </c>
      <c r="K830" t="s">
        <v>2779</v>
      </c>
      <c r="L830" t="s">
        <v>2401</v>
      </c>
      <c r="M830" s="14">
        <v>45399.554861111108</v>
      </c>
      <c r="N830" t="s">
        <v>5650</v>
      </c>
      <c r="O830" t="s">
        <v>5651</v>
      </c>
      <c r="P830" t="s">
        <v>2401</v>
      </c>
      <c r="Q830" t="s">
        <v>2401</v>
      </c>
      <c r="R830" t="s">
        <v>2401</v>
      </c>
      <c r="S830" t="s">
        <v>2401</v>
      </c>
    </row>
    <row r="831" spans="1:19">
      <c r="A831" t="s">
        <v>5652</v>
      </c>
      <c r="B831" t="s">
        <v>5648</v>
      </c>
      <c r="C831" t="s">
        <v>2401</v>
      </c>
      <c r="D831" t="s">
        <v>2401</v>
      </c>
      <c r="E831" t="s">
        <v>2401</v>
      </c>
      <c r="F831" t="s">
        <v>2401</v>
      </c>
      <c r="G831" t="s">
        <v>2401</v>
      </c>
      <c r="H831" t="s">
        <v>2401</v>
      </c>
      <c r="I831" t="s">
        <v>2401</v>
      </c>
      <c r="J831" t="s">
        <v>2401</v>
      </c>
      <c r="K831" t="s">
        <v>2779</v>
      </c>
      <c r="L831" t="s">
        <v>2401</v>
      </c>
      <c r="M831" s="14">
        <v>45390.607638888891</v>
      </c>
      <c r="N831" t="s">
        <v>2401</v>
      </c>
      <c r="O831" t="s">
        <v>5653</v>
      </c>
      <c r="P831" t="s">
        <v>2401</v>
      </c>
      <c r="Q831" t="s">
        <v>2401</v>
      </c>
      <c r="R831" t="s">
        <v>2401</v>
      </c>
      <c r="S831" t="s">
        <v>2401</v>
      </c>
    </row>
    <row r="832" spans="1:19">
      <c r="A832" t="s">
        <v>5654</v>
      </c>
      <c r="B832" t="s">
        <v>5655</v>
      </c>
      <c r="C832" t="s">
        <v>2401</v>
      </c>
      <c r="D832" t="s">
        <v>2401</v>
      </c>
      <c r="E832" t="s">
        <v>2401</v>
      </c>
      <c r="F832" t="s">
        <v>2401</v>
      </c>
      <c r="G832" t="s">
        <v>2401</v>
      </c>
      <c r="H832" t="s">
        <v>2401</v>
      </c>
      <c r="I832" t="s">
        <v>2401</v>
      </c>
      <c r="J832" t="s">
        <v>2401</v>
      </c>
      <c r="K832" t="s">
        <v>2401</v>
      </c>
      <c r="L832" t="s">
        <v>2401</v>
      </c>
      <c r="M832" s="14">
        <v>45390.607638888891</v>
      </c>
      <c r="N832" t="s">
        <v>2401</v>
      </c>
      <c r="O832" t="s">
        <v>2401</v>
      </c>
      <c r="P832" t="s">
        <v>2401</v>
      </c>
      <c r="Q832" t="s">
        <v>2401</v>
      </c>
      <c r="R832" t="s">
        <v>2401</v>
      </c>
      <c r="S832" t="s">
        <v>2401</v>
      </c>
    </row>
    <row r="833" spans="1:19">
      <c r="A833" t="s">
        <v>5656</v>
      </c>
      <c r="B833" t="s">
        <v>5657</v>
      </c>
      <c r="C833" t="s">
        <v>2401</v>
      </c>
      <c r="D833" t="s">
        <v>2401</v>
      </c>
      <c r="E833" t="s">
        <v>2401</v>
      </c>
      <c r="F833" t="s">
        <v>2401</v>
      </c>
      <c r="G833" t="s">
        <v>2401</v>
      </c>
      <c r="H833" t="s">
        <v>2401</v>
      </c>
      <c r="I833" t="s">
        <v>61</v>
      </c>
      <c r="J833" t="s">
        <v>5658</v>
      </c>
      <c r="K833" t="s">
        <v>2406</v>
      </c>
      <c r="L833" t="s">
        <v>2401</v>
      </c>
      <c r="M833" s="14">
        <v>45399.554861111108</v>
      </c>
      <c r="N833" t="s">
        <v>5659</v>
      </c>
      <c r="O833" t="s">
        <v>2401</v>
      </c>
      <c r="P833" t="s">
        <v>2401</v>
      </c>
      <c r="Q833" t="s">
        <v>2401</v>
      </c>
      <c r="R833" t="s">
        <v>2401</v>
      </c>
      <c r="S833" t="s">
        <v>2401</v>
      </c>
    </row>
    <row r="834" spans="1:19">
      <c r="A834" t="s">
        <v>5660</v>
      </c>
      <c r="B834" t="s">
        <v>5661</v>
      </c>
      <c r="C834" t="s">
        <v>2401</v>
      </c>
      <c r="D834" t="s">
        <v>2401</v>
      </c>
      <c r="E834" t="s">
        <v>2401</v>
      </c>
      <c r="F834" t="s">
        <v>2401</v>
      </c>
      <c r="G834" t="s">
        <v>2401</v>
      </c>
      <c r="H834" t="s">
        <v>2401</v>
      </c>
      <c r="I834" t="s">
        <v>2401</v>
      </c>
      <c r="J834" t="s">
        <v>5662</v>
      </c>
      <c r="K834" t="s">
        <v>2567</v>
      </c>
      <c r="L834" t="s">
        <v>2401</v>
      </c>
      <c r="M834" s="14">
        <v>45399.554861111108</v>
      </c>
      <c r="N834" t="s">
        <v>5663</v>
      </c>
      <c r="O834" t="s">
        <v>5664</v>
      </c>
      <c r="P834" t="s">
        <v>2401</v>
      </c>
      <c r="Q834" t="s">
        <v>2401</v>
      </c>
      <c r="R834" t="s">
        <v>2401</v>
      </c>
      <c r="S834" t="s">
        <v>2401</v>
      </c>
    </row>
    <row r="835" spans="1:19">
      <c r="A835" t="s">
        <v>5665</v>
      </c>
      <c r="B835" t="s">
        <v>5666</v>
      </c>
      <c r="C835" t="s">
        <v>2401</v>
      </c>
      <c r="D835" t="s">
        <v>2401</v>
      </c>
      <c r="E835" t="s">
        <v>2401</v>
      </c>
      <c r="F835" t="s">
        <v>2401</v>
      </c>
      <c r="G835" t="s">
        <v>2401</v>
      </c>
      <c r="H835" t="s">
        <v>2401</v>
      </c>
      <c r="I835" t="s">
        <v>2401</v>
      </c>
      <c r="J835" t="s">
        <v>5667</v>
      </c>
      <c r="K835" t="s">
        <v>2486</v>
      </c>
      <c r="L835" t="s">
        <v>2401</v>
      </c>
      <c r="M835" s="14">
        <v>45399.554861111108</v>
      </c>
      <c r="N835" t="s">
        <v>5668</v>
      </c>
      <c r="O835" t="s">
        <v>5669</v>
      </c>
      <c r="P835" t="s">
        <v>2401</v>
      </c>
      <c r="Q835" t="s">
        <v>2401</v>
      </c>
      <c r="R835" t="s">
        <v>2401</v>
      </c>
      <c r="S835" t="s">
        <v>2401</v>
      </c>
    </row>
    <row r="836" spans="1:19">
      <c r="A836" t="s">
        <v>5670</v>
      </c>
      <c r="B836" t="s">
        <v>5671</v>
      </c>
      <c r="C836" t="s">
        <v>2401</v>
      </c>
      <c r="D836" t="s">
        <v>2401</v>
      </c>
      <c r="E836" t="s">
        <v>2401</v>
      </c>
      <c r="F836" t="s">
        <v>2401</v>
      </c>
      <c r="G836" t="s">
        <v>2401</v>
      </c>
      <c r="H836" t="s">
        <v>2401</v>
      </c>
      <c r="I836" t="s">
        <v>2401</v>
      </c>
      <c r="J836" t="s">
        <v>5672</v>
      </c>
      <c r="K836" t="s">
        <v>2499</v>
      </c>
      <c r="L836" t="s">
        <v>2401</v>
      </c>
      <c r="M836" s="14">
        <v>45565.570833333331</v>
      </c>
      <c r="N836" t="s">
        <v>5673</v>
      </c>
      <c r="O836" t="s">
        <v>5674</v>
      </c>
      <c r="P836" t="s">
        <v>2401</v>
      </c>
      <c r="Q836" t="s">
        <v>2401</v>
      </c>
      <c r="R836" t="s">
        <v>2401</v>
      </c>
      <c r="S836" t="s">
        <v>2401</v>
      </c>
    </row>
    <row r="837" spans="1:19">
      <c r="A837" t="s">
        <v>5675</v>
      </c>
      <c r="B837" t="s">
        <v>5676</v>
      </c>
      <c r="C837" t="s">
        <v>2401</v>
      </c>
      <c r="D837" t="s">
        <v>2401</v>
      </c>
      <c r="E837" t="s">
        <v>2401</v>
      </c>
      <c r="F837" t="s">
        <v>2401</v>
      </c>
      <c r="G837" t="s">
        <v>2401</v>
      </c>
      <c r="H837" t="s">
        <v>2401</v>
      </c>
      <c r="I837" t="s">
        <v>2401</v>
      </c>
      <c r="J837" t="s">
        <v>5677</v>
      </c>
      <c r="K837" t="s">
        <v>2499</v>
      </c>
      <c r="L837" t="s">
        <v>2401</v>
      </c>
      <c r="M837" s="14">
        <v>45565.656944444447</v>
      </c>
      <c r="N837" t="s">
        <v>5678</v>
      </c>
      <c r="O837" t="s">
        <v>2401</v>
      </c>
      <c r="P837" t="s">
        <v>2401</v>
      </c>
      <c r="Q837" t="s">
        <v>2401</v>
      </c>
      <c r="R837" t="s">
        <v>2401</v>
      </c>
      <c r="S837" t="s">
        <v>2401</v>
      </c>
    </row>
    <row r="838" spans="1:19">
      <c r="A838" t="s">
        <v>5679</v>
      </c>
      <c r="B838" t="s">
        <v>5676</v>
      </c>
      <c r="C838" t="s">
        <v>2401</v>
      </c>
      <c r="D838" t="s">
        <v>2401</v>
      </c>
      <c r="E838" t="s">
        <v>2401</v>
      </c>
      <c r="F838" t="s">
        <v>2401</v>
      </c>
      <c r="G838" t="s">
        <v>2401</v>
      </c>
      <c r="H838" t="s">
        <v>2401</v>
      </c>
      <c r="I838" t="s">
        <v>2401</v>
      </c>
      <c r="J838" t="s">
        <v>5677</v>
      </c>
      <c r="K838" t="s">
        <v>2499</v>
      </c>
      <c r="L838" t="s">
        <v>2401</v>
      </c>
      <c r="M838" s="14">
        <v>45565.656944444447</v>
      </c>
      <c r="N838" t="s">
        <v>5678</v>
      </c>
      <c r="O838" t="s">
        <v>2401</v>
      </c>
      <c r="P838" t="s">
        <v>2401</v>
      </c>
      <c r="Q838" t="s">
        <v>2401</v>
      </c>
      <c r="R838" t="s">
        <v>2401</v>
      </c>
      <c r="S838" t="s">
        <v>2401</v>
      </c>
    </row>
    <row r="839" spans="1:19">
      <c r="A839" t="s">
        <v>5680</v>
      </c>
      <c r="B839" t="s">
        <v>5681</v>
      </c>
      <c r="C839" t="s">
        <v>2401</v>
      </c>
      <c r="D839" t="s">
        <v>2401</v>
      </c>
      <c r="E839" t="s">
        <v>2401</v>
      </c>
      <c r="F839" t="s">
        <v>2401</v>
      </c>
      <c r="G839" t="s">
        <v>2401</v>
      </c>
      <c r="H839" t="s">
        <v>2401</v>
      </c>
      <c r="I839" t="s">
        <v>2401</v>
      </c>
      <c r="J839" t="s">
        <v>5682</v>
      </c>
      <c r="K839" t="s">
        <v>2492</v>
      </c>
      <c r="L839" t="s">
        <v>2401</v>
      </c>
      <c r="M839" s="14">
        <v>45565.55972222222</v>
      </c>
      <c r="N839" t="s">
        <v>5683</v>
      </c>
      <c r="O839" t="s">
        <v>5684</v>
      </c>
      <c r="P839" t="s">
        <v>2401</v>
      </c>
      <c r="Q839" t="s">
        <v>2401</v>
      </c>
      <c r="R839" t="s">
        <v>2401</v>
      </c>
      <c r="S839" t="s">
        <v>2401</v>
      </c>
    </row>
    <row r="840" spans="1:19">
      <c r="A840" t="s">
        <v>5685</v>
      </c>
      <c r="B840" t="s">
        <v>5686</v>
      </c>
      <c r="C840" t="s">
        <v>2401</v>
      </c>
      <c r="D840" t="s">
        <v>2401</v>
      </c>
      <c r="E840" t="s">
        <v>2401</v>
      </c>
      <c r="F840" t="s">
        <v>2401</v>
      </c>
      <c r="G840" t="s">
        <v>2401</v>
      </c>
      <c r="H840" t="s">
        <v>2401</v>
      </c>
      <c r="I840" t="s">
        <v>2401</v>
      </c>
      <c r="J840" t="s">
        <v>5687</v>
      </c>
      <c r="K840" t="s">
        <v>2492</v>
      </c>
      <c r="L840" t="s">
        <v>2401</v>
      </c>
      <c r="M840" s="14">
        <v>45565.570833333331</v>
      </c>
      <c r="N840" t="s">
        <v>5688</v>
      </c>
      <c r="O840" t="s">
        <v>5689</v>
      </c>
      <c r="P840" t="s">
        <v>2401</v>
      </c>
      <c r="Q840" t="s">
        <v>2401</v>
      </c>
      <c r="R840" t="s">
        <v>2401</v>
      </c>
      <c r="S840" t="s">
        <v>2401</v>
      </c>
    </row>
    <row r="841" spans="1:19">
      <c r="A841" t="s">
        <v>5690</v>
      </c>
      <c r="B841" t="s">
        <v>5691</v>
      </c>
      <c r="C841" t="s">
        <v>2401</v>
      </c>
      <c r="D841" t="s">
        <v>2401</v>
      </c>
      <c r="E841" t="s">
        <v>2401</v>
      </c>
      <c r="F841" t="s">
        <v>2401</v>
      </c>
      <c r="G841" t="s">
        <v>2401</v>
      </c>
      <c r="H841" t="s">
        <v>2401</v>
      </c>
      <c r="I841" t="s">
        <v>2401</v>
      </c>
      <c r="J841" t="s">
        <v>5692</v>
      </c>
      <c r="K841" t="s">
        <v>4989</v>
      </c>
      <c r="L841" t="s">
        <v>2401</v>
      </c>
      <c r="M841" s="14">
        <v>45399.554861111108</v>
      </c>
      <c r="N841" t="s">
        <v>5693</v>
      </c>
      <c r="O841" t="s">
        <v>5694</v>
      </c>
      <c r="P841" t="s">
        <v>2401</v>
      </c>
      <c r="Q841" t="s">
        <v>2401</v>
      </c>
      <c r="R841" t="s">
        <v>2401</v>
      </c>
      <c r="S841" t="s">
        <v>2401</v>
      </c>
    </row>
    <row r="842" spans="1:19">
      <c r="A842" t="s">
        <v>5695</v>
      </c>
      <c r="B842" t="s">
        <v>5696</v>
      </c>
      <c r="C842" t="s">
        <v>2401</v>
      </c>
      <c r="D842" t="s">
        <v>2401</v>
      </c>
      <c r="E842" t="s">
        <v>2401</v>
      </c>
      <c r="F842" t="s">
        <v>2401</v>
      </c>
      <c r="G842" t="s">
        <v>2401</v>
      </c>
      <c r="H842" t="s">
        <v>2401</v>
      </c>
      <c r="I842" t="s">
        <v>2401</v>
      </c>
      <c r="J842" t="s">
        <v>5697</v>
      </c>
      <c r="K842" t="s">
        <v>3466</v>
      </c>
      <c r="L842" t="s">
        <v>2401</v>
      </c>
      <c r="M842" s="14">
        <v>45399.554861111108</v>
      </c>
      <c r="N842" t="s">
        <v>5698</v>
      </c>
      <c r="O842" t="s">
        <v>2401</v>
      </c>
      <c r="P842" t="s">
        <v>2401</v>
      </c>
      <c r="Q842" t="s">
        <v>2401</v>
      </c>
      <c r="R842" t="s">
        <v>2401</v>
      </c>
      <c r="S842" t="s">
        <v>2401</v>
      </c>
    </row>
    <row r="843" spans="1:19">
      <c r="A843" t="s">
        <v>5699</v>
      </c>
      <c r="B843" t="s">
        <v>5700</v>
      </c>
      <c r="C843" t="s">
        <v>2401</v>
      </c>
      <c r="D843" t="s">
        <v>2401</v>
      </c>
      <c r="E843" t="s">
        <v>2401</v>
      </c>
      <c r="F843" t="s">
        <v>2401</v>
      </c>
      <c r="G843" t="s">
        <v>2401</v>
      </c>
      <c r="H843" t="s">
        <v>2401</v>
      </c>
      <c r="I843" t="s">
        <v>2401</v>
      </c>
      <c r="J843" t="s">
        <v>5701</v>
      </c>
      <c r="K843" t="s">
        <v>2438</v>
      </c>
      <c r="L843" t="s">
        <v>2401</v>
      </c>
      <c r="M843" s="14">
        <v>45565.65347222222</v>
      </c>
      <c r="N843" t="s">
        <v>5702</v>
      </c>
      <c r="O843" t="s">
        <v>2401</v>
      </c>
      <c r="P843" t="s">
        <v>2401</v>
      </c>
      <c r="Q843" t="s">
        <v>2401</v>
      </c>
      <c r="R843" t="s">
        <v>2401</v>
      </c>
      <c r="S843" t="s">
        <v>2401</v>
      </c>
    </row>
    <row r="844" spans="1:19">
      <c r="A844" t="s">
        <v>5703</v>
      </c>
      <c r="B844" t="s">
        <v>5704</v>
      </c>
      <c r="C844" t="s">
        <v>2401</v>
      </c>
      <c r="D844" t="s">
        <v>2401</v>
      </c>
      <c r="E844" t="s">
        <v>2401</v>
      </c>
      <c r="F844" t="s">
        <v>2401</v>
      </c>
      <c r="G844" t="s">
        <v>2401</v>
      </c>
      <c r="H844" t="s">
        <v>2401</v>
      </c>
      <c r="I844" t="s">
        <v>2401</v>
      </c>
      <c r="J844" t="s">
        <v>2401</v>
      </c>
      <c r="K844" t="s">
        <v>2401</v>
      </c>
      <c r="L844" t="s">
        <v>2401</v>
      </c>
      <c r="M844" s="14">
        <v>45390.607638888891</v>
      </c>
      <c r="N844" t="s">
        <v>2401</v>
      </c>
      <c r="O844" t="s">
        <v>2586</v>
      </c>
      <c r="P844" t="s">
        <v>2401</v>
      </c>
      <c r="Q844" t="s">
        <v>2401</v>
      </c>
      <c r="R844" t="s">
        <v>2401</v>
      </c>
      <c r="S844" t="s">
        <v>2401</v>
      </c>
    </row>
    <row r="845" spans="1:19">
      <c r="A845" t="s">
        <v>5705</v>
      </c>
      <c r="B845" t="s">
        <v>5706</v>
      </c>
      <c r="C845" t="s">
        <v>2401</v>
      </c>
      <c r="D845" t="s">
        <v>2401</v>
      </c>
      <c r="E845" t="s">
        <v>2401</v>
      </c>
      <c r="F845" t="s">
        <v>2401</v>
      </c>
      <c r="G845" t="s">
        <v>2401</v>
      </c>
      <c r="H845" t="s">
        <v>2401</v>
      </c>
      <c r="I845" t="s">
        <v>61</v>
      </c>
      <c r="J845" t="s">
        <v>5707</v>
      </c>
      <c r="K845" t="s">
        <v>2433</v>
      </c>
      <c r="L845" t="s">
        <v>2538</v>
      </c>
      <c r="M845" s="14">
        <v>45166.526388888888</v>
      </c>
      <c r="N845" t="s">
        <v>5708</v>
      </c>
      <c r="O845" t="s">
        <v>5709</v>
      </c>
      <c r="P845" t="s">
        <v>659</v>
      </c>
      <c r="Q845">
        <v>1</v>
      </c>
      <c r="R845" t="s">
        <v>2401</v>
      </c>
      <c r="S845" t="s">
        <v>5710</v>
      </c>
    </row>
    <row r="846" spans="1:19">
      <c r="A846" t="s">
        <v>5711</v>
      </c>
      <c r="B846" t="s">
        <v>5712</v>
      </c>
      <c r="C846" t="s">
        <v>2401</v>
      </c>
      <c r="D846" t="s">
        <v>2401</v>
      </c>
      <c r="E846" t="s">
        <v>2401</v>
      </c>
      <c r="F846" t="s">
        <v>2401</v>
      </c>
      <c r="G846" t="s">
        <v>2401</v>
      </c>
      <c r="H846" t="s">
        <v>2401</v>
      </c>
      <c r="I846" t="s">
        <v>2401</v>
      </c>
      <c r="J846" t="s">
        <v>2401</v>
      </c>
      <c r="K846" t="s">
        <v>2433</v>
      </c>
      <c r="L846" t="s">
        <v>2538</v>
      </c>
      <c r="M846" s="14">
        <v>45390.607638888891</v>
      </c>
      <c r="N846" t="s">
        <v>2401</v>
      </c>
      <c r="O846" t="s">
        <v>5709</v>
      </c>
      <c r="P846" t="s">
        <v>2401</v>
      </c>
      <c r="Q846" t="s">
        <v>2401</v>
      </c>
      <c r="R846" t="s">
        <v>2401</v>
      </c>
      <c r="S846" t="s">
        <v>2401</v>
      </c>
    </row>
    <row r="847" spans="1:19">
      <c r="A847" t="s">
        <v>5713</v>
      </c>
      <c r="B847" t="s">
        <v>5714</v>
      </c>
      <c r="C847" t="s">
        <v>2401</v>
      </c>
      <c r="D847" t="s">
        <v>2401</v>
      </c>
      <c r="E847" t="s">
        <v>2401</v>
      </c>
      <c r="F847" t="s">
        <v>2401</v>
      </c>
      <c r="G847" t="s">
        <v>2401</v>
      </c>
      <c r="H847" t="s">
        <v>2401</v>
      </c>
      <c r="I847" t="s">
        <v>2401</v>
      </c>
      <c r="J847" t="s">
        <v>5715</v>
      </c>
      <c r="K847" t="s">
        <v>2492</v>
      </c>
      <c r="L847" t="s">
        <v>2401</v>
      </c>
      <c r="M847" s="14">
        <v>45565.570833333331</v>
      </c>
      <c r="N847" t="s">
        <v>5716</v>
      </c>
      <c r="O847" t="s">
        <v>5717</v>
      </c>
      <c r="P847" t="s">
        <v>2401</v>
      </c>
      <c r="Q847" t="s">
        <v>2401</v>
      </c>
      <c r="R847" t="s">
        <v>2401</v>
      </c>
      <c r="S847" t="s">
        <v>2401</v>
      </c>
    </row>
    <row r="848" spans="1:19">
      <c r="A848" t="s">
        <v>5718</v>
      </c>
      <c r="B848" t="s">
        <v>5719</v>
      </c>
      <c r="C848" t="s">
        <v>2401</v>
      </c>
      <c r="D848" t="s">
        <v>2401</v>
      </c>
      <c r="E848" t="s">
        <v>2401</v>
      </c>
      <c r="F848" t="s">
        <v>2401</v>
      </c>
      <c r="G848" t="s">
        <v>2401</v>
      </c>
      <c r="H848" t="s">
        <v>2401</v>
      </c>
      <c r="I848" t="s">
        <v>2401</v>
      </c>
      <c r="J848" t="s">
        <v>5720</v>
      </c>
      <c r="K848" t="s">
        <v>2448</v>
      </c>
      <c r="L848" t="s">
        <v>2401</v>
      </c>
      <c r="M848" s="14">
        <v>45534.874305555553</v>
      </c>
      <c r="N848" t="s">
        <v>5721</v>
      </c>
      <c r="O848" t="s">
        <v>3479</v>
      </c>
      <c r="P848" t="s">
        <v>2401</v>
      </c>
      <c r="Q848" t="s">
        <v>2401</v>
      </c>
      <c r="R848" t="s">
        <v>2401</v>
      </c>
      <c r="S848" t="s">
        <v>2401</v>
      </c>
    </row>
    <row r="849" spans="1:19">
      <c r="A849" t="s">
        <v>5722</v>
      </c>
      <c r="B849" t="s">
        <v>5723</v>
      </c>
      <c r="C849" t="s">
        <v>2401</v>
      </c>
      <c r="D849" t="s">
        <v>2401</v>
      </c>
      <c r="E849" t="s">
        <v>2401</v>
      </c>
      <c r="F849" t="s">
        <v>2401</v>
      </c>
      <c r="G849" t="s">
        <v>2401</v>
      </c>
      <c r="H849" t="s">
        <v>2401</v>
      </c>
      <c r="I849" t="s">
        <v>2401</v>
      </c>
      <c r="J849" t="s">
        <v>5724</v>
      </c>
      <c r="K849" t="s">
        <v>3147</v>
      </c>
      <c r="L849" t="s">
        <v>2401</v>
      </c>
      <c r="M849" s="14">
        <v>45399.554861111108</v>
      </c>
      <c r="N849" t="s">
        <v>5725</v>
      </c>
      <c r="O849" t="s">
        <v>5726</v>
      </c>
      <c r="P849" t="s">
        <v>2401</v>
      </c>
      <c r="Q849" t="s">
        <v>2401</v>
      </c>
      <c r="R849" t="s">
        <v>2401</v>
      </c>
      <c r="S849" t="s">
        <v>2401</v>
      </c>
    </row>
    <row r="850" spans="1:19">
      <c r="A850" t="s">
        <v>5727</v>
      </c>
      <c r="B850" t="s">
        <v>5728</v>
      </c>
      <c r="C850" t="s">
        <v>2401</v>
      </c>
      <c r="D850" t="s">
        <v>2401</v>
      </c>
      <c r="E850" t="s">
        <v>2401</v>
      </c>
      <c r="F850" t="s">
        <v>2401</v>
      </c>
      <c r="G850" t="s">
        <v>2401</v>
      </c>
      <c r="H850" t="s">
        <v>2401</v>
      </c>
      <c r="I850" t="s">
        <v>2401</v>
      </c>
      <c r="J850" t="s">
        <v>2401</v>
      </c>
      <c r="K850" t="s">
        <v>2460</v>
      </c>
      <c r="L850" t="s">
        <v>2401</v>
      </c>
      <c r="M850" s="14">
        <v>45390.607638888891</v>
      </c>
      <c r="N850" t="s">
        <v>2401</v>
      </c>
      <c r="O850" t="s">
        <v>4825</v>
      </c>
      <c r="P850" t="s">
        <v>2401</v>
      </c>
      <c r="Q850" t="s">
        <v>2401</v>
      </c>
      <c r="R850" t="s">
        <v>2401</v>
      </c>
      <c r="S850" t="s">
        <v>2401</v>
      </c>
    </row>
    <row r="851" spans="1:19">
      <c r="A851" t="s">
        <v>5729</v>
      </c>
      <c r="B851" t="s">
        <v>5730</v>
      </c>
      <c r="C851" t="s">
        <v>2401</v>
      </c>
      <c r="D851" t="s">
        <v>2401</v>
      </c>
      <c r="E851" t="s">
        <v>2401</v>
      </c>
      <c r="F851" t="s">
        <v>2401</v>
      </c>
      <c r="G851" t="s">
        <v>2401</v>
      </c>
      <c r="H851" t="s">
        <v>2401</v>
      </c>
      <c r="I851" t="s">
        <v>2401</v>
      </c>
      <c r="J851" t="s">
        <v>5731</v>
      </c>
      <c r="K851" t="s">
        <v>2877</v>
      </c>
      <c r="L851" t="s">
        <v>2401</v>
      </c>
      <c r="M851" s="14">
        <v>45399.554861111108</v>
      </c>
      <c r="N851" t="s">
        <v>5732</v>
      </c>
      <c r="O851" t="s">
        <v>5733</v>
      </c>
      <c r="P851" t="s">
        <v>2401</v>
      </c>
      <c r="Q851" t="s">
        <v>2401</v>
      </c>
      <c r="R851" t="s">
        <v>2401</v>
      </c>
      <c r="S851" t="s">
        <v>2401</v>
      </c>
    </row>
    <row r="852" spans="1:19">
      <c r="A852" t="s">
        <v>5734</v>
      </c>
      <c r="B852" t="s">
        <v>5735</v>
      </c>
      <c r="C852" t="s">
        <v>2401</v>
      </c>
      <c r="D852" t="s">
        <v>2401</v>
      </c>
      <c r="E852" t="s">
        <v>2401</v>
      </c>
      <c r="F852" t="s">
        <v>2401</v>
      </c>
      <c r="G852" t="s">
        <v>2401</v>
      </c>
      <c r="H852" t="s">
        <v>2401</v>
      </c>
      <c r="I852" t="s">
        <v>2401</v>
      </c>
      <c r="J852" t="s">
        <v>5736</v>
      </c>
      <c r="K852" t="s">
        <v>2433</v>
      </c>
      <c r="L852" t="s">
        <v>2401</v>
      </c>
      <c r="M852" s="14">
        <v>45565.661111111112</v>
      </c>
      <c r="N852" t="s">
        <v>5737</v>
      </c>
      <c r="O852" t="s">
        <v>5738</v>
      </c>
      <c r="P852" t="s">
        <v>2401</v>
      </c>
      <c r="Q852" t="s">
        <v>2401</v>
      </c>
      <c r="R852" t="s">
        <v>2401</v>
      </c>
      <c r="S852" t="s">
        <v>2401</v>
      </c>
    </row>
    <row r="853" spans="1:19">
      <c r="A853" t="s">
        <v>5739</v>
      </c>
      <c r="B853" t="s">
        <v>5740</v>
      </c>
      <c r="C853" t="s">
        <v>2401</v>
      </c>
      <c r="D853" t="s">
        <v>2401</v>
      </c>
      <c r="E853" t="s">
        <v>2401</v>
      </c>
      <c r="F853" t="s">
        <v>2401</v>
      </c>
      <c r="G853" t="s">
        <v>2401</v>
      </c>
      <c r="H853" t="s">
        <v>2401</v>
      </c>
      <c r="I853" t="s">
        <v>2401</v>
      </c>
      <c r="J853" t="s">
        <v>5741</v>
      </c>
      <c r="K853" t="s">
        <v>2499</v>
      </c>
      <c r="L853" t="s">
        <v>2401</v>
      </c>
      <c r="M853" s="14">
        <v>45565.55972222222</v>
      </c>
      <c r="N853" t="s">
        <v>5742</v>
      </c>
      <c r="O853" t="s">
        <v>5743</v>
      </c>
      <c r="P853" t="s">
        <v>2401</v>
      </c>
      <c r="Q853" t="s">
        <v>2401</v>
      </c>
      <c r="R853" t="s">
        <v>2401</v>
      </c>
      <c r="S853" t="s">
        <v>2401</v>
      </c>
    </row>
    <row r="854" spans="1:19">
      <c r="A854" t="s">
        <v>5744</v>
      </c>
      <c r="B854" t="s">
        <v>5745</v>
      </c>
      <c r="C854" t="s">
        <v>2401</v>
      </c>
      <c r="D854" t="s">
        <v>2401</v>
      </c>
      <c r="E854" t="s">
        <v>2401</v>
      </c>
      <c r="F854" t="s">
        <v>2401</v>
      </c>
      <c r="G854" t="s">
        <v>2401</v>
      </c>
      <c r="H854" t="s">
        <v>2401</v>
      </c>
      <c r="I854" t="s">
        <v>2401</v>
      </c>
      <c r="J854" t="s">
        <v>5746</v>
      </c>
      <c r="K854" t="s">
        <v>2492</v>
      </c>
      <c r="L854" t="s">
        <v>2401</v>
      </c>
      <c r="M854" s="14">
        <v>45399.554861111108</v>
      </c>
      <c r="N854" t="s">
        <v>5747</v>
      </c>
      <c r="O854" t="s">
        <v>5748</v>
      </c>
      <c r="P854" t="s">
        <v>2401</v>
      </c>
      <c r="Q854" t="s">
        <v>2401</v>
      </c>
      <c r="R854" t="s">
        <v>2401</v>
      </c>
      <c r="S854" t="s">
        <v>2401</v>
      </c>
    </row>
    <row r="855" spans="1:19">
      <c r="A855" t="s">
        <v>5749</v>
      </c>
      <c r="B855" t="s">
        <v>5750</v>
      </c>
      <c r="C855" t="s">
        <v>2401</v>
      </c>
      <c r="D855" t="s">
        <v>2401</v>
      </c>
      <c r="E855" t="s">
        <v>2401</v>
      </c>
      <c r="F855" t="s">
        <v>2401</v>
      </c>
      <c r="G855" t="s">
        <v>2401</v>
      </c>
      <c r="H855" t="s">
        <v>2401</v>
      </c>
      <c r="I855" t="s">
        <v>2401</v>
      </c>
      <c r="J855" t="s">
        <v>5751</v>
      </c>
      <c r="K855" t="s">
        <v>2406</v>
      </c>
      <c r="L855" t="s">
        <v>2401</v>
      </c>
      <c r="M855" s="14">
        <v>45534.874305555553</v>
      </c>
      <c r="N855" t="s">
        <v>5752</v>
      </c>
      <c r="O855" t="s">
        <v>2401</v>
      </c>
      <c r="P855" t="s">
        <v>2401</v>
      </c>
      <c r="Q855" t="s">
        <v>2401</v>
      </c>
      <c r="R855" t="s">
        <v>2401</v>
      </c>
      <c r="S855" t="s">
        <v>2401</v>
      </c>
    </row>
    <row r="856" spans="1:19">
      <c r="A856" t="s">
        <v>5753</v>
      </c>
      <c r="B856" t="s">
        <v>5754</v>
      </c>
      <c r="C856" t="s">
        <v>2401</v>
      </c>
      <c r="D856" t="s">
        <v>2401</v>
      </c>
      <c r="E856" t="s">
        <v>2401</v>
      </c>
      <c r="F856" t="s">
        <v>2401</v>
      </c>
      <c r="G856" t="s">
        <v>2401</v>
      </c>
      <c r="H856" t="s">
        <v>2401</v>
      </c>
      <c r="I856" t="s">
        <v>2401</v>
      </c>
      <c r="J856" t="s">
        <v>5755</v>
      </c>
      <c r="K856" t="s">
        <v>2401</v>
      </c>
      <c r="L856" t="s">
        <v>2401</v>
      </c>
      <c r="M856" s="14">
        <v>45426.504861111112</v>
      </c>
      <c r="N856" t="s">
        <v>2401</v>
      </c>
      <c r="O856" t="s">
        <v>2401</v>
      </c>
      <c r="P856" t="s">
        <v>5754</v>
      </c>
      <c r="Q856">
        <v>1</v>
      </c>
      <c r="R856" t="s">
        <v>2401</v>
      </c>
      <c r="S856" t="s">
        <v>5756</v>
      </c>
    </row>
    <row r="857" spans="1:19">
      <c r="A857" t="s">
        <v>5757</v>
      </c>
      <c r="B857" t="s">
        <v>5758</v>
      </c>
      <c r="C857" t="s">
        <v>2401</v>
      </c>
      <c r="D857" t="s">
        <v>2401</v>
      </c>
      <c r="E857" t="s">
        <v>2401</v>
      </c>
      <c r="F857" t="s">
        <v>2401</v>
      </c>
      <c r="G857" t="s">
        <v>2401</v>
      </c>
      <c r="H857" t="s">
        <v>2401</v>
      </c>
      <c r="I857" t="s">
        <v>2401</v>
      </c>
      <c r="J857" t="s">
        <v>5758</v>
      </c>
      <c r="K857" t="s">
        <v>2401</v>
      </c>
      <c r="L857" t="s">
        <v>2401</v>
      </c>
      <c r="M857" s="14">
        <v>45534.874305555553</v>
      </c>
      <c r="N857" t="s">
        <v>2401</v>
      </c>
      <c r="O857" t="s">
        <v>2401</v>
      </c>
      <c r="P857" t="s">
        <v>2401</v>
      </c>
      <c r="Q857" t="s">
        <v>2401</v>
      </c>
      <c r="R857" t="s">
        <v>2401</v>
      </c>
      <c r="S857" t="s">
        <v>2401</v>
      </c>
    </row>
    <row r="858" spans="1:19">
      <c r="A858" t="s">
        <v>5759</v>
      </c>
      <c r="B858" t="s">
        <v>1666</v>
      </c>
      <c r="C858" t="s">
        <v>2401</v>
      </c>
      <c r="D858" t="s">
        <v>2401</v>
      </c>
      <c r="E858" t="s">
        <v>2401</v>
      </c>
      <c r="F858" t="s">
        <v>2401</v>
      </c>
      <c r="G858" t="s">
        <v>2401</v>
      </c>
      <c r="H858" t="s">
        <v>2401</v>
      </c>
      <c r="I858" t="s">
        <v>61</v>
      </c>
      <c r="J858" t="s">
        <v>5760</v>
      </c>
      <c r="K858" t="s">
        <v>3564</v>
      </c>
      <c r="L858" t="s">
        <v>2401</v>
      </c>
      <c r="M858" s="14">
        <v>45399.554861111108</v>
      </c>
      <c r="N858" t="s">
        <v>5761</v>
      </c>
      <c r="O858" t="s">
        <v>5762</v>
      </c>
      <c r="P858" t="s">
        <v>2401</v>
      </c>
      <c r="Q858" t="s">
        <v>2401</v>
      </c>
      <c r="R858" t="s">
        <v>2401</v>
      </c>
      <c r="S858" t="s">
        <v>2401</v>
      </c>
    </row>
    <row r="859" spans="1:19">
      <c r="A859" t="s">
        <v>5763</v>
      </c>
      <c r="B859" t="s">
        <v>1666</v>
      </c>
      <c r="C859" t="s">
        <v>2401</v>
      </c>
      <c r="D859" t="s">
        <v>2401</v>
      </c>
      <c r="E859" t="s">
        <v>2401</v>
      </c>
      <c r="F859" t="s">
        <v>2401</v>
      </c>
      <c r="G859" t="s">
        <v>2401</v>
      </c>
      <c r="H859" t="s">
        <v>2401</v>
      </c>
      <c r="I859" t="s">
        <v>2401</v>
      </c>
      <c r="J859" t="s">
        <v>2401</v>
      </c>
      <c r="K859" t="s">
        <v>3564</v>
      </c>
      <c r="L859" t="s">
        <v>2401</v>
      </c>
      <c r="M859" s="14">
        <v>45390.607638888891</v>
      </c>
      <c r="N859" t="s">
        <v>2401</v>
      </c>
      <c r="O859" t="s">
        <v>5764</v>
      </c>
      <c r="P859" t="s">
        <v>2401</v>
      </c>
      <c r="Q859" t="s">
        <v>2401</v>
      </c>
      <c r="R859" t="s">
        <v>2401</v>
      </c>
      <c r="S859" t="s">
        <v>2401</v>
      </c>
    </row>
    <row r="860" spans="1:19">
      <c r="A860" t="s">
        <v>5765</v>
      </c>
      <c r="B860" t="s">
        <v>5766</v>
      </c>
      <c r="C860" t="s">
        <v>2401</v>
      </c>
      <c r="D860" t="s">
        <v>2401</v>
      </c>
      <c r="E860" t="s">
        <v>2401</v>
      </c>
      <c r="F860" t="s">
        <v>2401</v>
      </c>
      <c r="G860" t="s">
        <v>2401</v>
      </c>
      <c r="H860" t="s">
        <v>2401</v>
      </c>
      <c r="I860" t="s">
        <v>2401</v>
      </c>
      <c r="J860" t="s">
        <v>5767</v>
      </c>
      <c r="K860" t="s">
        <v>2406</v>
      </c>
      <c r="L860" t="s">
        <v>2401</v>
      </c>
      <c r="M860" s="14">
        <v>45534.874305555553</v>
      </c>
      <c r="N860" t="s">
        <v>5768</v>
      </c>
      <c r="O860" t="s">
        <v>2401</v>
      </c>
      <c r="P860" t="s">
        <v>2401</v>
      </c>
      <c r="Q860" t="s">
        <v>2401</v>
      </c>
      <c r="R860" t="s">
        <v>2401</v>
      </c>
      <c r="S860" t="s">
        <v>2401</v>
      </c>
    </row>
    <row r="861" spans="1:19">
      <c r="A861" t="s">
        <v>5769</v>
      </c>
      <c r="B861" t="s">
        <v>5770</v>
      </c>
      <c r="C861" t="s">
        <v>2401</v>
      </c>
      <c r="D861" t="s">
        <v>2401</v>
      </c>
      <c r="E861" t="s">
        <v>2401</v>
      </c>
      <c r="F861" t="s">
        <v>2401</v>
      </c>
      <c r="G861" t="s">
        <v>2401</v>
      </c>
      <c r="H861" t="s">
        <v>2401</v>
      </c>
      <c r="I861" t="s">
        <v>2401</v>
      </c>
      <c r="J861" t="s">
        <v>5771</v>
      </c>
      <c r="K861" t="s">
        <v>2421</v>
      </c>
      <c r="L861" t="s">
        <v>2401</v>
      </c>
      <c r="M861" s="14">
        <v>45399.554861111108</v>
      </c>
      <c r="N861" t="s">
        <v>5772</v>
      </c>
      <c r="O861" t="s">
        <v>5773</v>
      </c>
      <c r="P861" t="s">
        <v>2401</v>
      </c>
      <c r="Q861" t="s">
        <v>2401</v>
      </c>
      <c r="R861" t="s">
        <v>2401</v>
      </c>
      <c r="S861" t="s">
        <v>2401</v>
      </c>
    </row>
    <row r="862" spans="1:19">
      <c r="A862" t="s">
        <v>5774</v>
      </c>
      <c r="B862" t="s">
        <v>705</v>
      </c>
      <c r="C862" t="s">
        <v>2401</v>
      </c>
      <c r="D862" t="s">
        <v>2401</v>
      </c>
      <c r="E862" t="s">
        <v>2401</v>
      </c>
      <c r="F862" t="s">
        <v>2401</v>
      </c>
      <c r="G862" t="s">
        <v>2401</v>
      </c>
      <c r="H862" t="s">
        <v>2401</v>
      </c>
      <c r="I862" t="s">
        <v>2401</v>
      </c>
      <c r="J862" t="s">
        <v>5775</v>
      </c>
      <c r="K862" t="s">
        <v>2492</v>
      </c>
      <c r="L862" t="s">
        <v>2401</v>
      </c>
      <c r="M862" s="14">
        <v>45399.554861111108</v>
      </c>
      <c r="N862" t="s">
        <v>5776</v>
      </c>
      <c r="O862" t="s">
        <v>5777</v>
      </c>
      <c r="P862" t="s">
        <v>2401</v>
      </c>
      <c r="Q862" t="s">
        <v>2401</v>
      </c>
      <c r="R862" t="s">
        <v>2401</v>
      </c>
      <c r="S862" t="s">
        <v>2401</v>
      </c>
    </row>
    <row r="863" spans="1:19">
      <c r="A863" t="s">
        <v>5778</v>
      </c>
      <c r="B863" t="s">
        <v>5779</v>
      </c>
      <c r="C863" t="s">
        <v>2401</v>
      </c>
      <c r="D863" t="s">
        <v>2401</v>
      </c>
      <c r="E863" t="s">
        <v>2401</v>
      </c>
      <c r="F863" t="s">
        <v>2401</v>
      </c>
      <c r="G863" t="s">
        <v>2401</v>
      </c>
      <c r="H863" t="s">
        <v>2401</v>
      </c>
      <c r="I863" t="s">
        <v>2401</v>
      </c>
      <c r="J863" t="s">
        <v>5780</v>
      </c>
      <c r="K863" t="s">
        <v>2492</v>
      </c>
      <c r="L863" t="s">
        <v>2401</v>
      </c>
      <c r="M863" s="14">
        <v>45565.55972222222</v>
      </c>
      <c r="N863" t="s">
        <v>5781</v>
      </c>
      <c r="O863" t="s">
        <v>2401</v>
      </c>
      <c r="P863" t="s">
        <v>2401</v>
      </c>
      <c r="Q863" t="s">
        <v>2401</v>
      </c>
      <c r="R863" t="s">
        <v>2401</v>
      </c>
      <c r="S863" t="s">
        <v>2401</v>
      </c>
    </row>
    <row r="864" spans="1:19">
      <c r="A864" t="s">
        <v>5782</v>
      </c>
      <c r="B864" t="s">
        <v>5779</v>
      </c>
      <c r="C864" t="s">
        <v>2401</v>
      </c>
      <c r="D864" t="s">
        <v>2401</v>
      </c>
      <c r="E864" t="s">
        <v>2401</v>
      </c>
      <c r="F864" t="s">
        <v>2401</v>
      </c>
      <c r="G864" t="s">
        <v>2401</v>
      </c>
      <c r="H864" t="s">
        <v>2401</v>
      </c>
      <c r="I864" t="s">
        <v>2401</v>
      </c>
      <c r="J864" t="s">
        <v>5783</v>
      </c>
      <c r="K864" t="s">
        <v>2492</v>
      </c>
      <c r="L864" t="s">
        <v>2401</v>
      </c>
      <c r="M864" s="14">
        <v>45565.55972222222</v>
      </c>
      <c r="N864" t="s">
        <v>5781</v>
      </c>
      <c r="O864" t="s">
        <v>2401</v>
      </c>
      <c r="P864" t="s">
        <v>2401</v>
      </c>
      <c r="Q864" t="s">
        <v>2401</v>
      </c>
      <c r="R864" t="s">
        <v>2401</v>
      </c>
      <c r="S864" t="s">
        <v>2401</v>
      </c>
    </row>
    <row r="865" spans="1:19">
      <c r="A865" t="s">
        <v>5784</v>
      </c>
      <c r="B865" t="s">
        <v>5785</v>
      </c>
      <c r="C865" t="s">
        <v>2401</v>
      </c>
      <c r="D865" t="s">
        <v>2401</v>
      </c>
      <c r="E865" t="s">
        <v>2401</v>
      </c>
      <c r="F865" t="s">
        <v>2401</v>
      </c>
      <c r="G865" t="s">
        <v>2401</v>
      </c>
      <c r="H865" t="s">
        <v>2401</v>
      </c>
      <c r="I865" t="s">
        <v>2401</v>
      </c>
      <c r="J865" t="s">
        <v>5786</v>
      </c>
      <c r="K865" t="s">
        <v>2492</v>
      </c>
      <c r="L865" t="s">
        <v>2401</v>
      </c>
      <c r="M865" s="14">
        <v>45565.689583333333</v>
      </c>
      <c r="N865" t="s">
        <v>5237</v>
      </c>
      <c r="O865" t="s">
        <v>2401</v>
      </c>
      <c r="P865" t="s">
        <v>2401</v>
      </c>
      <c r="Q865" t="s">
        <v>2401</v>
      </c>
      <c r="R865" t="s">
        <v>2401</v>
      </c>
      <c r="S865" t="s">
        <v>2401</v>
      </c>
    </row>
    <row r="866" spans="1:19">
      <c r="A866" t="s">
        <v>5787</v>
      </c>
      <c r="B866" t="s">
        <v>5788</v>
      </c>
      <c r="C866" t="s">
        <v>2401</v>
      </c>
      <c r="D866" t="s">
        <v>2401</v>
      </c>
      <c r="E866" t="s">
        <v>2401</v>
      </c>
      <c r="F866" t="s">
        <v>2401</v>
      </c>
      <c r="G866" t="s">
        <v>2401</v>
      </c>
      <c r="H866" t="s">
        <v>2401</v>
      </c>
      <c r="I866" t="s">
        <v>2401</v>
      </c>
      <c r="J866" t="s">
        <v>2401</v>
      </c>
      <c r="K866" t="s">
        <v>2401</v>
      </c>
      <c r="L866" t="s">
        <v>2401</v>
      </c>
      <c r="M866" s="14">
        <v>45399.554861111108</v>
      </c>
      <c r="N866" t="s">
        <v>2401</v>
      </c>
      <c r="O866" t="s">
        <v>2401</v>
      </c>
      <c r="P866" t="s">
        <v>2401</v>
      </c>
      <c r="Q866" t="s">
        <v>2401</v>
      </c>
      <c r="R866" t="s">
        <v>2401</v>
      </c>
      <c r="S866" t="s">
        <v>2401</v>
      </c>
    </row>
    <row r="867" spans="1:19">
      <c r="A867" t="s">
        <v>5789</v>
      </c>
      <c r="B867" t="s">
        <v>5790</v>
      </c>
      <c r="C867" t="s">
        <v>2401</v>
      </c>
      <c r="D867" t="s">
        <v>2401</v>
      </c>
      <c r="E867" t="s">
        <v>2401</v>
      </c>
      <c r="F867" t="s">
        <v>2401</v>
      </c>
      <c r="G867" t="s">
        <v>2401</v>
      </c>
      <c r="H867" t="s">
        <v>2401</v>
      </c>
      <c r="I867" t="s">
        <v>2401</v>
      </c>
      <c r="J867" t="s">
        <v>5791</v>
      </c>
      <c r="K867" t="s">
        <v>2615</v>
      </c>
      <c r="L867" t="s">
        <v>2401</v>
      </c>
      <c r="M867" s="14">
        <v>45565.656944444447</v>
      </c>
      <c r="N867" t="s">
        <v>5792</v>
      </c>
      <c r="O867" t="s">
        <v>5793</v>
      </c>
      <c r="P867" t="s">
        <v>2401</v>
      </c>
      <c r="Q867" t="s">
        <v>2401</v>
      </c>
      <c r="R867" t="s">
        <v>2401</v>
      </c>
      <c r="S867" t="s">
        <v>2401</v>
      </c>
    </row>
    <row r="868" spans="1:19">
      <c r="A868" t="s">
        <v>5794</v>
      </c>
      <c r="B868" t="s">
        <v>5795</v>
      </c>
      <c r="C868" t="s">
        <v>2401</v>
      </c>
      <c r="D868" t="s">
        <v>2401</v>
      </c>
      <c r="E868" t="s">
        <v>2401</v>
      </c>
      <c r="F868" t="s">
        <v>2401</v>
      </c>
      <c r="G868" t="s">
        <v>2401</v>
      </c>
      <c r="H868" t="s">
        <v>2401</v>
      </c>
      <c r="I868" t="s">
        <v>2401</v>
      </c>
      <c r="J868" t="s">
        <v>5796</v>
      </c>
      <c r="K868" t="s">
        <v>2433</v>
      </c>
      <c r="L868" t="s">
        <v>2401</v>
      </c>
      <c r="M868" s="14">
        <v>45565.656944444447</v>
      </c>
      <c r="N868" t="s">
        <v>5797</v>
      </c>
      <c r="O868" t="s">
        <v>5798</v>
      </c>
      <c r="P868" t="s">
        <v>2401</v>
      </c>
      <c r="Q868" t="s">
        <v>2401</v>
      </c>
      <c r="R868" t="s">
        <v>2401</v>
      </c>
      <c r="S868" t="s">
        <v>2401</v>
      </c>
    </row>
    <row r="869" spans="1:19">
      <c r="A869" t="s">
        <v>5799</v>
      </c>
      <c r="B869" t="s">
        <v>5800</v>
      </c>
      <c r="C869" t="s">
        <v>2401</v>
      </c>
      <c r="D869" t="s">
        <v>2401</v>
      </c>
      <c r="E869" t="s">
        <v>2401</v>
      </c>
      <c r="F869" t="s">
        <v>2401</v>
      </c>
      <c r="G869" t="s">
        <v>2401</v>
      </c>
      <c r="H869" t="s">
        <v>2401</v>
      </c>
      <c r="I869" t="s">
        <v>2401</v>
      </c>
      <c r="J869" t="s">
        <v>5801</v>
      </c>
      <c r="K869" t="s">
        <v>2433</v>
      </c>
      <c r="L869" t="s">
        <v>2401</v>
      </c>
      <c r="M869" s="14">
        <v>45565.570833333331</v>
      </c>
      <c r="N869" t="s">
        <v>5802</v>
      </c>
      <c r="O869" t="s">
        <v>2401</v>
      </c>
      <c r="P869" t="s">
        <v>2401</v>
      </c>
      <c r="Q869" t="s">
        <v>2401</v>
      </c>
      <c r="R869" t="s">
        <v>2401</v>
      </c>
      <c r="S869" t="s">
        <v>2401</v>
      </c>
    </row>
    <row r="870" spans="1:19">
      <c r="A870" t="s">
        <v>5803</v>
      </c>
      <c r="B870" t="s">
        <v>5804</v>
      </c>
      <c r="C870" t="s">
        <v>2401</v>
      </c>
      <c r="D870" t="s">
        <v>2401</v>
      </c>
      <c r="E870" t="s">
        <v>2401</v>
      </c>
      <c r="F870" t="s">
        <v>2401</v>
      </c>
      <c r="G870" t="s">
        <v>2401</v>
      </c>
      <c r="H870" t="s">
        <v>2401</v>
      </c>
      <c r="I870" t="s">
        <v>2401</v>
      </c>
      <c r="J870" t="s">
        <v>5805</v>
      </c>
      <c r="K870" t="s">
        <v>2427</v>
      </c>
      <c r="L870" t="s">
        <v>2401</v>
      </c>
      <c r="M870" s="14">
        <v>45399.554861111108</v>
      </c>
      <c r="N870" t="s">
        <v>5806</v>
      </c>
      <c r="O870" t="s">
        <v>5807</v>
      </c>
      <c r="P870" t="s">
        <v>2401</v>
      </c>
      <c r="Q870" t="s">
        <v>2401</v>
      </c>
      <c r="R870" t="s">
        <v>2401</v>
      </c>
      <c r="S870" t="s">
        <v>2401</v>
      </c>
    </row>
    <row r="871" spans="1:19">
      <c r="A871" t="s">
        <v>5808</v>
      </c>
      <c r="B871" t="s">
        <v>5809</v>
      </c>
      <c r="C871" t="s">
        <v>2401</v>
      </c>
      <c r="D871" t="s">
        <v>2401</v>
      </c>
      <c r="E871" t="s">
        <v>2401</v>
      </c>
      <c r="F871" t="s">
        <v>2401</v>
      </c>
      <c r="G871" t="s">
        <v>2401</v>
      </c>
      <c r="H871" t="s">
        <v>2401</v>
      </c>
      <c r="I871" t="s">
        <v>2401</v>
      </c>
      <c r="J871" t="s">
        <v>5810</v>
      </c>
      <c r="K871" t="s">
        <v>2406</v>
      </c>
      <c r="L871" t="s">
        <v>2401</v>
      </c>
      <c r="M871" s="14">
        <v>45524.810416666667</v>
      </c>
      <c r="N871" t="s">
        <v>5811</v>
      </c>
      <c r="O871" t="s">
        <v>2401</v>
      </c>
      <c r="P871" t="s">
        <v>2401</v>
      </c>
      <c r="Q871" t="s">
        <v>2401</v>
      </c>
      <c r="R871" t="s">
        <v>2401</v>
      </c>
      <c r="S871" t="s">
        <v>2401</v>
      </c>
    </row>
    <row r="872" spans="1:19">
      <c r="A872" t="s">
        <v>5812</v>
      </c>
      <c r="B872" t="s">
        <v>5813</v>
      </c>
      <c r="C872" t="s">
        <v>2401</v>
      </c>
      <c r="D872" t="s">
        <v>2401</v>
      </c>
      <c r="E872" t="s">
        <v>2401</v>
      </c>
      <c r="F872" t="s">
        <v>2401</v>
      </c>
      <c r="G872" t="s">
        <v>2401</v>
      </c>
      <c r="H872" t="s">
        <v>2401</v>
      </c>
      <c r="I872" t="s">
        <v>2401</v>
      </c>
      <c r="J872" t="s">
        <v>5814</v>
      </c>
      <c r="K872" t="s">
        <v>2433</v>
      </c>
      <c r="L872" t="s">
        <v>2401</v>
      </c>
      <c r="M872" s="14">
        <v>45565.65</v>
      </c>
      <c r="N872" t="s">
        <v>5815</v>
      </c>
      <c r="O872" t="s">
        <v>5816</v>
      </c>
      <c r="P872" t="s">
        <v>2401</v>
      </c>
      <c r="Q872" t="s">
        <v>2401</v>
      </c>
      <c r="R872" t="s">
        <v>2401</v>
      </c>
      <c r="S872" t="s">
        <v>2401</v>
      </c>
    </row>
    <row r="873" spans="1:19">
      <c r="A873" t="s">
        <v>5817</v>
      </c>
      <c r="B873" t="s">
        <v>5818</v>
      </c>
      <c r="C873" t="s">
        <v>2401</v>
      </c>
      <c r="D873" t="s">
        <v>2401</v>
      </c>
      <c r="E873" t="s">
        <v>2401</v>
      </c>
      <c r="F873" t="s">
        <v>2401</v>
      </c>
      <c r="G873" t="s">
        <v>2401</v>
      </c>
      <c r="H873" t="s">
        <v>2401</v>
      </c>
      <c r="I873" t="s">
        <v>2401</v>
      </c>
      <c r="J873" t="s">
        <v>5819</v>
      </c>
      <c r="K873" t="s">
        <v>2406</v>
      </c>
      <c r="L873" t="s">
        <v>2401</v>
      </c>
      <c r="M873" s="14">
        <v>45399.554861111108</v>
      </c>
      <c r="N873" t="s">
        <v>5820</v>
      </c>
      <c r="O873" t="s">
        <v>5821</v>
      </c>
      <c r="P873" t="s">
        <v>2401</v>
      </c>
      <c r="Q873" t="s">
        <v>2401</v>
      </c>
      <c r="R873" t="s">
        <v>2401</v>
      </c>
      <c r="S873" t="s">
        <v>2401</v>
      </c>
    </row>
    <row r="874" spans="1:19">
      <c r="A874" t="s">
        <v>5822</v>
      </c>
      <c r="B874" t="s">
        <v>5823</v>
      </c>
      <c r="C874" t="s">
        <v>2401</v>
      </c>
      <c r="D874" t="s">
        <v>2401</v>
      </c>
      <c r="E874" t="s">
        <v>2401</v>
      </c>
      <c r="F874" t="s">
        <v>2401</v>
      </c>
      <c r="G874" t="s">
        <v>2401</v>
      </c>
      <c r="H874" t="s">
        <v>2401</v>
      </c>
      <c r="I874" t="s">
        <v>2401</v>
      </c>
      <c r="J874" t="s">
        <v>5823</v>
      </c>
      <c r="K874" t="s">
        <v>2401</v>
      </c>
      <c r="L874" t="s">
        <v>2401</v>
      </c>
      <c r="M874" s="14">
        <v>45534.874305555553</v>
      </c>
      <c r="N874" t="s">
        <v>5824</v>
      </c>
      <c r="O874" t="s">
        <v>2401</v>
      </c>
      <c r="P874" t="s">
        <v>2401</v>
      </c>
      <c r="Q874" t="s">
        <v>2401</v>
      </c>
      <c r="R874" t="s">
        <v>2401</v>
      </c>
      <c r="S874" t="s">
        <v>2401</v>
      </c>
    </row>
    <row r="875" spans="1:19">
      <c r="A875" t="s">
        <v>5825</v>
      </c>
      <c r="B875" t="s">
        <v>5826</v>
      </c>
      <c r="C875" t="s">
        <v>2401</v>
      </c>
      <c r="D875" t="s">
        <v>2401</v>
      </c>
      <c r="E875" t="s">
        <v>2401</v>
      </c>
      <c r="F875" t="s">
        <v>2401</v>
      </c>
      <c r="G875" t="s">
        <v>2401</v>
      </c>
      <c r="H875" t="s">
        <v>2401</v>
      </c>
      <c r="I875" t="s">
        <v>2401</v>
      </c>
      <c r="J875" t="s">
        <v>5827</v>
      </c>
      <c r="K875" t="s">
        <v>2433</v>
      </c>
      <c r="L875" t="s">
        <v>2401</v>
      </c>
      <c r="M875" s="14">
        <v>45565.65347222222</v>
      </c>
      <c r="N875" t="s">
        <v>5828</v>
      </c>
      <c r="O875" t="s">
        <v>2401</v>
      </c>
      <c r="P875" t="s">
        <v>2401</v>
      </c>
      <c r="Q875" t="s">
        <v>2401</v>
      </c>
      <c r="R875" t="s">
        <v>2401</v>
      </c>
      <c r="S875" t="s">
        <v>2401</v>
      </c>
    </row>
    <row r="876" spans="1:19">
      <c r="A876" t="s">
        <v>5829</v>
      </c>
      <c r="B876" t="s">
        <v>5830</v>
      </c>
      <c r="C876" t="s">
        <v>2401</v>
      </c>
      <c r="D876" t="s">
        <v>2401</v>
      </c>
      <c r="E876" t="s">
        <v>2401</v>
      </c>
      <c r="F876" t="s">
        <v>2401</v>
      </c>
      <c r="G876" t="s">
        <v>2401</v>
      </c>
      <c r="H876" t="s">
        <v>2401</v>
      </c>
      <c r="I876" t="s">
        <v>2401</v>
      </c>
      <c r="J876" t="s">
        <v>5831</v>
      </c>
      <c r="K876" t="s">
        <v>2406</v>
      </c>
      <c r="L876" t="s">
        <v>1031</v>
      </c>
      <c r="M876" s="14">
        <v>45518.834027777775</v>
      </c>
      <c r="N876" t="s">
        <v>5832</v>
      </c>
      <c r="O876" t="s">
        <v>5833</v>
      </c>
      <c r="P876" t="s">
        <v>2401</v>
      </c>
      <c r="Q876" t="s">
        <v>2401</v>
      </c>
      <c r="R876" t="s">
        <v>2401</v>
      </c>
      <c r="S876" t="s">
        <v>2401</v>
      </c>
    </row>
    <row r="877" spans="1:19">
      <c r="A877" t="s">
        <v>5834</v>
      </c>
      <c r="B877" t="s">
        <v>5835</v>
      </c>
      <c r="C877" t="s">
        <v>2401</v>
      </c>
      <c r="D877" t="s">
        <v>2401</v>
      </c>
      <c r="E877" t="s">
        <v>2401</v>
      </c>
      <c r="F877" t="s">
        <v>2401</v>
      </c>
      <c r="G877" t="s">
        <v>2401</v>
      </c>
      <c r="H877" t="s">
        <v>2401</v>
      </c>
      <c r="I877" t="s">
        <v>2401</v>
      </c>
      <c r="J877" t="s">
        <v>5836</v>
      </c>
      <c r="K877" t="s">
        <v>2877</v>
      </c>
      <c r="L877" t="s">
        <v>2401</v>
      </c>
      <c r="M877" s="14">
        <v>45422.96597222222</v>
      </c>
      <c r="N877" t="s">
        <v>5837</v>
      </c>
      <c r="O877" t="s">
        <v>5838</v>
      </c>
      <c r="P877" t="s">
        <v>2401</v>
      </c>
      <c r="Q877" t="s">
        <v>2401</v>
      </c>
      <c r="R877" t="s">
        <v>2401</v>
      </c>
      <c r="S877" t="s">
        <v>2401</v>
      </c>
    </row>
    <row r="878" spans="1:19">
      <c r="A878" t="s">
        <v>5839</v>
      </c>
      <c r="B878" t="s">
        <v>5840</v>
      </c>
      <c r="C878" t="s">
        <v>2401</v>
      </c>
      <c r="D878" t="s">
        <v>2401</v>
      </c>
      <c r="E878" t="s">
        <v>2401</v>
      </c>
      <c r="F878" t="s">
        <v>2401</v>
      </c>
      <c r="G878" t="s">
        <v>2401</v>
      </c>
      <c r="H878" t="s">
        <v>2401</v>
      </c>
      <c r="I878" t="s">
        <v>2401</v>
      </c>
      <c r="J878" t="s">
        <v>5841</v>
      </c>
      <c r="K878" t="s">
        <v>2877</v>
      </c>
      <c r="L878" t="s">
        <v>2401</v>
      </c>
      <c r="M878" s="14">
        <v>45399.554861111108</v>
      </c>
      <c r="N878" t="s">
        <v>5842</v>
      </c>
      <c r="O878" t="s">
        <v>2401</v>
      </c>
      <c r="P878" t="s">
        <v>2401</v>
      </c>
      <c r="Q878" t="s">
        <v>2401</v>
      </c>
      <c r="R878" t="s">
        <v>2401</v>
      </c>
      <c r="S878" t="s">
        <v>2401</v>
      </c>
    </row>
    <row r="879" spans="1:19">
      <c r="A879" t="s">
        <v>5843</v>
      </c>
      <c r="B879" t="s">
        <v>5844</v>
      </c>
      <c r="C879" t="s">
        <v>2401</v>
      </c>
      <c r="D879" t="s">
        <v>2401</v>
      </c>
      <c r="E879" t="s">
        <v>2401</v>
      </c>
      <c r="F879" t="s">
        <v>2401</v>
      </c>
      <c r="G879" t="s">
        <v>2401</v>
      </c>
      <c r="H879" t="s">
        <v>2401</v>
      </c>
      <c r="I879" t="s">
        <v>2401</v>
      </c>
      <c r="J879" t="s">
        <v>5845</v>
      </c>
      <c r="K879" t="s">
        <v>2492</v>
      </c>
      <c r="L879" t="s">
        <v>2401</v>
      </c>
      <c r="M879" s="14">
        <v>45565.65347222222</v>
      </c>
      <c r="N879" t="s">
        <v>5846</v>
      </c>
      <c r="O879" t="s">
        <v>5847</v>
      </c>
      <c r="P879" t="s">
        <v>2401</v>
      </c>
      <c r="Q879" t="s">
        <v>2401</v>
      </c>
      <c r="R879" t="s">
        <v>2401</v>
      </c>
      <c r="S879" t="s">
        <v>2401</v>
      </c>
    </row>
    <row r="880" spans="1:19">
      <c r="A880" t="s">
        <v>5848</v>
      </c>
      <c r="B880" t="s">
        <v>5849</v>
      </c>
      <c r="C880" t="s">
        <v>2401</v>
      </c>
      <c r="D880" t="s">
        <v>2401</v>
      </c>
      <c r="E880" t="s">
        <v>2401</v>
      </c>
      <c r="F880" t="s">
        <v>2401</v>
      </c>
      <c r="G880" t="s">
        <v>2401</v>
      </c>
      <c r="H880" t="s">
        <v>2401</v>
      </c>
      <c r="I880" t="s">
        <v>2401</v>
      </c>
      <c r="J880" t="s">
        <v>5850</v>
      </c>
      <c r="K880" t="s">
        <v>3071</v>
      </c>
      <c r="L880" t="s">
        <v>2401</v>
      </c>
      <c r="M880" s="14">
        <v>45565.645138888889</v>
      </c>
      <c r="N880" t="s">
        <v>5851</v>
      </c>
      <c r="O880" t="s">
        <v>5852</v>
      </c>
      <c r="P880" t="s">
        <v>2401</v>
      </c>
      <c r="Q880" t="s">
        <v>2401</v>
      </c>
      <c r="R880" t="s">
        <v>2401</v>
      </c>
      <c r="S880" t="s">
        <v>2401</v>
      </c>
    </row>
    <row r="881" spans="1:19">
      <c r="A881" t="s">
        <v>5853</v>
      </c>
      <c r="B881" t="s">
        <v>5854</v>
      </c>
      <c r="C881" t="s">
        <v>2401</v>
      </c>
      <c r="D881" t="s">
        <v>2401</v>
      </c>
      <c r="E881" t="s">
        <v>2401</v>
      </c>
      <c r="F881" t="s">
        <v>2401</v>
      </c>
      <c r="G881" t="s">
        <v>2401</v>
      </c>
      <c r="H881" t="s">
        <v>2401</v>
      </c>
      <c r="I881" t="s">
        <v>2401</v>
      </c>
      <c r="J881" t="s">
        <v>5855</v>
      </c>
      <c r="K881" t="s">
        <v>3071</v>
      </c>
      <c r="L881" t="s">
        <v>2401</v>
      </c>
      <c r="M881" s="14">
        <v>45565.566666666666</v>
      </c>
      <c r="N881" t="s">
        <v>5856</v>
      </c>
      <c r="O881" t="s">
        <v>5857</v>
      </c>
      <c r="P881" t="s">
        <v>2401</v>
      </c>
      <c r="Q881" t="s">
        <v>2401</v>
      </c>
      <c r="R881" t="s">
        <v>2401</v>
      </c>
      <c r="S881" t="s">
        <v>2401</v>
      </c>
    </row>
    <row r="882" spans="1:19">
      <c r="A882" t="s">
        <v>5858</v>
      </c>
      <c r="B882" t="s">
        <v>5854</v>
      </c>
      <c r="C882" t="s">
        <v>2401</v>
      </c>
      <c r="D882" t="s">
        <v>2401</v>
      </c>
      <c r="E882" t="s">
        <v>2401</v>
      </c>
      <c r="F882" t="s">
        <v>2401</v>
      </c>
      <c r="G882" t="s">
        <v>2401</v>
      </c>
      <c r="H882" t="s">
        <v>2401</v>
      </c>
      <c r="I882" t="s">
        <v>2401</v>
      </c>
      <c r="J882" t="s">
        <v>5855</v>
      </c>
      <c r="K882" t="s">
        <v>3071</v>
      </c>
      <c r="L882" t="s">
        <v>2401</v>
      </c>
      <c r="M882" s="14">
        <v>45565.566666666666</v>
      </c>
      <c r="N882" t="s">
        <v>5856</v>
      </c>
      <c r="O882" t="s">
        <v>5857</v>
      </c>
      <c r="P882" t="s">
        <v>2401</v>
      </c>
      <c r="Q882" t="s">
        <v>2401</v>
      </c>
      <c r="R882" t="s">
        <v>2401</v>
      </c>
      <c r="S882" t="s">
        <v>2401</v>
      </c>
    </row>
    <row r="883" spans="1:19">
      <c r="A883" t="s">
        <v>5859</v>
      </c>
      <c r="B883" t="s">
        <v>1681</v>
      </c>
      <c r="C883" t="s">
        <v>2401</v>
      </c>
      <c r="D883" t="s">
        <v>2401</v>
      </c>
      <c r="E883" t="s">
        <v>2401</v>
      </c>
      <c r="F883" t="s">
        <v>2401</v>
      </c>
      <c r="G883" t="s">
        <v>2401</v>
      </c>
      <c r="H883" t="s">
        <v>2401</v>
      </c>
      <c r="I883" t="s">
        <v>61</v>
      </c>
      <c r="J883" t="s">
        <v>5860</v>
      </c>
      <c r="K883" t="s">
        <v>2448</v>
      </c>
      <c r="L883" t="s">
        <v>2401</v>
      </c>
      <c r="M883" s="14">
        <v>45399.554861111108</v>
      </c>
      <c r="N883" t="s">
        <v>5861</v>
      </c>
      <c r="O883" t="s">
        <v>3479</v>
      </c>
      <c r="P883" t="s">
        <v>2401</v>
      </c>
      <c r="Q883" t="s">
        <v>2401</v>
      </c>
      <c r="R883" t="s">
        <v>2401</v>
      </c>
      <c r="S883" t="s">
        <v>2401</v>
      </c>
    </row>
    <row r="884" spans="1:19">
      <c r="A884" t="s">
        <v>5862</v>
      </c>
      <c r="B884" t="s">
        <v>5863</v>
      </c>
      <c r="C884" t="s">
        <v>2401</v>
      </c>
      <c r="D884" t="s">
        <v>2401</v>
      </c>
      <c r="E884" t="s">
        <v>2401</v>
      </c>
      <c r="F884" t="s">
        <v>2401</v>
      </c>
      <c r="G884" t="s">
        <v>2401</v>
      </c>
      <c r="H884" t="s">
        <v>2401</v>
      </c>
      <c r="I884" t="s">
        <v>2401</v>
      </c>
      <c r="J884" t="s">
        <v>5864</v>
      </c>
      <c r="K884" t="s">
        <v>2433</v>
      </c>
      <c r="L884" t="s">
        <v>2401</v>
      </c>
      <c r="M884" s="14">
        <v>45565.564583333333</v>
      </c>
      <c r="N884" t="s">
        <v>5865</v>
      </c>
      <c r="O884" t="s">
        <v>5866</v>
      </c>
      <c r="P884" t="s">
        <v>2401</v>
      </c>
      <c r="Q884" t="s">
        <v>2401</v>
      </c>
      <c r="R884" t="s">
        <v>2401</v>
      </c>
      <c r="S884" t="s">
        <v>2401</v>
      </c>
    </row>
    <row r="885" spans="1:19">
      <c r="A885" t="s">
        <v>5867</v>
      </c>
      <c r="B885" t="s">
        <v>5868</v>
      </c>
      <c r="C885" t="s">
        <v>2401</v>
      </c>
      <c r="D885" t="s">
        <v>2401</v>
      </c>
      <c r="E885" t="s">
        <v>2401</v>
      </c>
      <c r="F885" t="s">
        <v>2401</v>
      </c>
      <c r="G885" t="s">
        <v>2401</v>
      </c>
      <c r="H885" t="s">
        <v>2401</v>
      </c>
      <c r="I885" t="s">
        <v>2401</v>
      </c>
      <c r="J885" t="s">
        <v>5869</v>
      </c>
      <c r="K885" t="s">
        <v>2492</v>
      </c>
      <c r="L885" t="s">
        <v>2401</v>
      </c>
      <c r="M885" s="14">
        <v>45565.566666666666</v>
      </c>
      <c r="N885" t="s">
        <v>5870</v>
      </c>
      <c r="O885" t="s">
        <v>5871</v>
      </c>
      <c r="P885" t="s">
        <v>2401</v>
      </c>
      <c r="Q885" t="s">
        <v>2401</v>
      </c>
      <c r="R885" t="s">
        <v>2401</v>
      </c>
      <c r="S885" t="s">
        <v>2401</v>
      </c>
    </row>
    <row r="886" spans="1:19">
      <c r="A886" t="s">
        <v>5872</v>
      </c>
      <c r="B886" t="s">
        <v>5873</v>
      </c>
      <c r="C886" t="s">
        <v>2401</v>
      </c>
      <c r="D886" t="s">
        <v>2401</v>
      </c>
      <c r="E886" t="s">
        <v>2401</v>
      </c>
      <c r="F886" t="s">
        <v>2401</v>
      </c>
      <c r="G886" t="s">
        <v>2401</v>
      </c>
      <c r="H886" t="s">
        <v>2401</v>
      </c>
      <c r="I886" t="s">
        <v>2401</v>
      </c>
      <c r="J886" t="s">
        <v>5874</v>
      </c>
      <c r="K886" t="s">
        <v>2492</v>
      </c>
      <c r="L886" t="s">
        <v>2401</v>
      </c>
      <c r="M886" s="14">
        <v>45565.688194444447</v>
      </c>
      <c r="N886" t="s">
        <v>5875</v>
      </c>
      <c r="O886" t="s">
        <v>5866</v>
      </c>
      <c r="P886" t="s">
        <v>2401</v>
      </c>
      <c r="Q886" t="s">
        <v>2401</v>
      </c>
      <c r="R886" t="s">
        <v>2401</v>
      </c>
      <c r="S886" t="s">
        <v>2401</v>
      </c>
    </row>
    <row r="887" spans="1:19">
      <c r="A887" t="s">
        <v>5876</v>
      </c>
      <c r="B887" t="s">
        <v>5877</v>
      </c>
      <c r="C887" t="s">
        <v>2401</v>
      </c>
      <c r="D887" t="s">
        <v>2401</v>
      </c>
      <c r="E887" t="s">
        <v>2401</v>
      </c>
      <c r="F887" t="s">
        <v>2401</v>
      </c>
      <c r="G887" t="s">
        <v>2401</v>
      </c>
      <c r="H887" t="s">
        <v>2401</v>
      </c>
      <c r="I887" t="s">
        <v>2401</v>
      </c>
      <c r="J887" t="s">
        <v>2401</v>
      </c>
      <c r="K887" t="s">
        <v>2448</v>
      </c>
      <c r="L887" t="s">
        <v>1031</v>
      </c>
      <c r="M887" s="14">
        <v>45390.607638888891</v>
      </c>
      <c r="N887" t="s">
        <v>2401</v>
      </c>
      <c r="O887" t="s">
        <v>2401</v>
      </c>
      <c r="P887" t="s">
        <v>2401</v>
      </c>
      <c r="Q887" t="s">
        <v>2401</v>
      </c>
      <c r="R887" t="s">
        <v>2401</v>
      </c>
      <c r="S887" t="s">
        <v>2401</v>
      </c>
    </row>
    <row r="888" spans="1:19">
      <c r="A888" t="s">
        <v>5878</v>
      </c>
      <c r="B888" t="s">
        <v>5877</v>
      </c>
      <c r="C888" t="s">
        <v>2401</v>
      </c>
      <c r="D888" t="s">
        <v>2401</v>
      </c>
      <c r="E888" t="s">
        <v>2401</v>
      </c>
      <c r="F888" t="s">
        <v>2401</v>
      </c>
      <c r="G888" t="s">
        <v>2401</v>
      </c>
      <c r="H888" t="s">
        <v>2401</v>
      </c>
      <c r="I888" t="s">
        <v>2401</v>
      </c>
      <c r="J888" t="s">
        <v>2401</v>
      </c>
      <c r="K888" t="s">
        <v>2448</v>
      </c>
      <c r="L888" t="s">
        <v>1031</v>
      </c>
      <c r="M888" s="14">
        <v>45167.594444444447</v>
      </c>
      <c r="N888" t="s">
        <v>2401</v>
      </c>
      <c r="O888" t="s">
        <v>2401</v>
      </c>
      <c r="P888" t="s">
        <v>2401</v>
      </c>
      <c r="Q888" t="s">
        <v>2401</v>
      </c>
      <c r="R888" t="s">
        <v>2401</v>
      </c>
      <c r="S888" t="s">
        <v>2401</v>
      </c>
    </row>
    <row r="889" spans="1:19">
      <c r="A889" t="s">
        <v>5879</v>
      </c>
      <c r="B889" t="s">
        <v>5880</v>
      </c>
      <c r="C889" t="s">
        <v>2401</v>
      </c>
      <c r="D889" t="s">
        <v>2401</v>
      </c>
      <c r="E889" t="s">
        <v>2401</v>
      </c>
      <c r="F889" t="s">
        <v>2401</v>
      </c>
      <c r="G889" t="s">
        <v>2401</v>
      </c>
      <c r="H889" t="s">
        <v>2401</v>
      </c>
      <c r="I889" t="s">
        <v>2401</v>
      </c>
      <c r="J889" t="s">
        <v>5881</v>
      </c>
      <c r="K889" t="s">
        <v>2433</v>
      </c>
      <c r="L889" t="s">
        <v>2401</v>
      </c>
      <c r="M889" s="14">
        <v>45565.704861111109</v>
      </c>
      <c r="N889" t="s">
        <v>5882</v>
      </c>
      <c r="O889" t="s">
        <v>5883</v>
      </c>
      <c r="P889" t="s">
        <v>2401</v>
      </c>
      <c r="Q889" t="s">
        <v>2401</v>
      </c>
      <c r="R889" t="s">
        <v>2401</v>
      </c>
      <c r="S889" t="s">
        <v>2401</v>
      </c>
    </row>
    <row r="890" spans="1:19">
      <c r="A890" t="s">
        <v>5884</v>
      </c>
      <c r="B890" t="s">
        <v>5885</v>
      </c>
      <c r="C890" t="s">
        <v>2401</v>
      </c>
      <c r="D890" t="s">
        <v>2401</v>
      </c>
      <c r="E890" t="s">
        <v>2401</v>
      </c>
      <c r="F890" t="s">
        <v>2401</v>
      </c>
      <c r="G890" t="s">
        <v>2401</v>
      </c>
      <c r="H890" t="s">
        <v>2401</v>
      </c>
      <c r="I890" t="s">
        <v>2401</v>
      </c>
      <c r="J890" t="s">
        <v>5886</v>
      </c>
      <c r="K890" t="s">
        <v>2433</v>
      </c>
      <c r="L890" t="s">
        <v>2401</v>
      </c>
      <c r="M890" s="14">
        <v>45565.67083333333</v>
      </c>
      <c r="N890" t="s">
        <v>5887</v>
      </c>
      <c r="O890" t="s">
        <v>5888</v>
      </c>
      <c r="P890" t="s">
        <v>2401</v>
      </c>
      <c r="Q890" t="s">
        <v>2401</v>
      </c>
      <c r="R890" t="s">
        <v>2401</v>
      </c>
      <c r="S890" t="s">
        <v>2401</v>
      </c>
    </row>
    <row r="891" spans="1:19">
      <c r="A891" t="s">
        <v>5889</v>
      </c>
      <c r="B891" t="s">
        <v>5890</v>
      </c>
      <c r="C891" t="s">
        <v>2401</v>
      </c>
      <c r="D891" t="s">
        <v>2401</v>
      </c>
      <c r="E891" t="s">
        <v>2401</v>
      </c>
      <c r="F891" t="s">
        <v>2401</v>
      </c>
      <c r="G891" t="s">
        <v>2401</v>
      </c>
      <c r="H891" t="s">
        <v>2401</v>
      </c>
      <c r="I891" t="s">
        <v>2401</v>
      </c>
      <c r="J891" t="s">
        <v>5891</v>
      </c>
      <c r="K891" t="s">
        <v>2433</v>
      </c>
      <c r="L891" t="s">
        <v>2401</v>
      </c>
      <c r="M891" s="14">
        <v>45565.679166666669</v>
      </c>
      <c r="N891" t="s">
        <v>5892</v>
      </c>
      <c r="O891" t="s">
        <v>5893</v>
      </c>
      <c r="P891" t="s">
        <v>2401</v>
      </c>
      <c r="Q891" t="s">
        <v>2401</v>
      </c>
      <c r="R891" t="s">
        <v>2401</v>
      </c>
      <c r="S891" t="s">
        <v>2401</v>
      </c>
    </row>
    <row r="892" spans="1:19">
      <c r="A892" t="s">
        <v>5894</v>
      </c>
      <c r="B892" t="s">
        <v>5895</v>
      </c>
      <c r="C892" t="s">
        <v>2401</v>
      </c>
      <c r="D892" t="s">
        <v>2401</v>
      </c>
      <c r="E892" t="s">
        <v>2401</v>
      </c>
      <c r="F892" t="s">
        <v>2401</v>
      </c>
      <c r="G892" t="s">
        <v>2401</v>
      </c>
      <c r="H892" t="s">
        <v>2401</v>
      </c>
      <c r="I892" t="s">
        <v>2401</v>
      </c>
      <c r="J892" t="s">
        <v>5896</v>
      </c>
      <c r="K892" t="s">
        <v>2401</v>
      </c>
      <c r="L892" t="s">
        <v>2401</v>
      </c>
      <c r="M892" s="14">
        <v>45565.65</v>
      </c>
      <c r="N892" t="s">
        <v>5897</v>
      </c>
      <c r="O892" t="s">
        <v>2401</v>
      </c>
      <c r="P892" t="s">
        <v>2401</v>
      </c>
      <c r="Q892" t="s">
        <v>2401</v>
      </c>
      <c r="R892" t="s">
        <v>2401</v>
      </c>
      <c r="S892" t="s">
        <v>2401</v>
      </c>
    </row>
    <row r="893" spans="1:19">
      <c r="A893" t="s">
        <v>5898</v>
      </c>
      <c r="B893" t="s">
        <v>5899</v>
      </c>
      <c r="C893" t="s">
        <v>2401</v>
      </c>
      <c r="D893" t="s">
        <v>2401</v>
      </c>
      <c r="E893" t="s">
        <v>2401</v>
      </c>
      <c r="F893" t="s">
        <v>2401</v>
      </c>
      <c r="G893" t="s">
        <v>2401</v>
      </c>
      <c r="H893" t="s">
        <v>2401</v>
      </c>
      <c r="I893" t="s">
        <v>2401</v>
      </c>
      <c r="J893" t="s">
        <v>5900</v>
      </c>
      <c r="K893" t="s">
        <v>2720</v>
      </c>
      <c r="L893" t="s">
        <v>2401</v>
      </c>
      <c r="M893" s="14">
        <v>45565.695138888892</v>
      </c>
      <c r="N893" t="s">
        <v>5901</v>
      </c>
      <c r="O893" t="s">
        <v>5902</v>
      </c>
      <c r="P893" t="s">
        <v>2401</v>
      </c>
      <c r="Q893" t="s">
        <v>2401</v>
      </c>
      <c r="R893" t="s">
        <v>2401</v>
      </c>
      <c r="S893" t="s">
        <v>2401</v>
      </c>
    </row>
    <row r="894" spans="1:19">
      <c r="A894" t="s">
        <v>5903</v>
      </c>
      <c r="B894" t="s">
        <v>5904</v>
      </c>
      <c r="C894" t="s">
        <v>2401</v>
      </c>
      <c r="D894" t="s">
        <v>2401</v>
      </c>
      <c r="E894" t="s">
        <v>2401</v>
      </c>
      <c r="F894" t="s">
        <v>2401</v>
      </c>
      <c r="G894" t="s">
        <v>2401</v>
      </c>
      <c r="H894" t="s">
        <v>2401</v>
      </c>
      <c r="I894" t="s">
        <v>2401</v>
      </c>
      <c r="J894" t="s">
        <v>2401</v>
      </c>
      <c r="K894" t="s">
        <v>2401</v>
      </c>
      <c r="L894" t="s">
        <v>2401</v>
      </c>
      <c r="M894" s="14">
        <v>45399.554861111108</v>
      </c>
      <c r="N894" t="s">
        <v>2401</v>
      </c>
      <c r="O894" t="s">
        <v>2401</v>
      </c>
      <c r="P894" t="s">
        <v>2401</v>
      </c>
      <c r="Q894" t="s">
        <v>2401</v>
      </c>
      <c r="R894" t="s">
        <v>2401</v>
      </c>
      <c r="S894" t="s">
        <v>2401</v>
      </c>
    </row>
    <row r="895" spans="1:19">
      <c r="A895" t="s">
        <v>5905</v>
      </c>
      <c r="B895" t="s">
        <v>5906</v>
      </c>
      <c r="C895" t="s">
        <v>2401</v>
      </c>
      <c r="D895" t="s">
        <v>2401</v>
      </c>
      <c r="E895" t="s">
        <v>2401</v>
      </c>
      <c r="F895" t="s">
        <v>2401</v>
      </c>
      <c r="G895" t="s">
        <v>2401</v>
      </c>
      <c r="H895" t="s">
        <v>2401</v>
      </c>
      <c r="I895" t="s">
        <v>2401</v>
      </c>
      <c r="J895" t="s">
        <v>5907</v>
      </c>
      <c r="K895" t="s">
        <v>2743</v>
      </c>
      <c r="L895" t="s">
        <v>2401</v>
      </c>
      <c r="M895" s="14">
        <v>45436.552777777775</v>
      </c>
      <c r="N895" t="s">
        <v>5908</v>
      </c>
      <c r="O895" t="s">
        <v>2401</v>
      </c>
      <c r="P895" t="s">
        <v>5909</v>
      </c>
      <c r="Q895">
        <v>1</v>
      </c>
      <c r="R895" t="s">
        <v>2401</v>
      </c>
      <c r="S895" t="s">
        <v>5910</v>
      </c>
    </row>
    <row r="896" spans="1:19">
      <c r="A896" t="s">
        <v>5911</v>
      </c>
      <c r="B896" t="s">
        <v>5912</v>
      </c>
      <c r="C896" t="s">
        <v>2401</v>
      </c>
      <c r="D896" t="s">
        <v>2401</v>
      </c>
      <c r="E896" t="s">
        <v>2401</v>
      </c>
      <c r="F896" t="s">
        <v>2401</v>
      </c>
      <c r="G896" t="s">
        <v>2401</v>
      </c>
      <c r="H896" t="s">
        <v>2401</v>
      </c>
      <c r="I896" t="s">
        <v>2401</v>
      </c>
      <c r="J896" t="s">
        <v>5913</v>
      </c>
      <c r="K896" t="s">
        <v>2401</v>
      </c>
      <c r="L896" t="s">
        <v>2401</v>
      </c>
      <c r="M896" s="14">
        <v>45426.553472222222</v>
      </c>
      <c r="N896" t="s">
        <v>5914</v>
      </c>
      <c r="O896" t="s">
        <v>5915</v>
      </c>
      <c r="P896" t="s">
        <v>5909</v>
      </c>
      <c r="Q896">
        <v>1</v>
      </c>
      <c r="R896" t="s">
        <v>2401</v>
      </c>
      <c r="S896" t="s">
        <v>5910</v>
      </c>
    </row>
    <row r="897" spans="1:19">
      <c r="A897" t="s">
        <v>5916</v>
      </c>
      <c r="B897" t="s">
        <v>5917</v>
      </c>
      <c r="C897" t="s">
        <v>2401</v>
      </c>
      <c r="D897" t="s">
        <v>2401</v>
      </c>
      <c r="E897" t="s">
        <v>2401</v>
      </c>
      <c r="F897" t="s">
        <v>2401</v>
      </c>
      <c r="G897" t="s">
        <v>2401</v>
      </c>
      <c r="H897" t="s">
        <v>2401</v>
      </c>
      <c r="I897" t="s">
        <v>2401</v>
      </c>
      <c r="J897" t="s">
        <v>2401</v>
      </c>
      <c r="K897" t="s">
        <v>2401</v>
      </c>
      <c r="L897" t="s">
        <v>2401</v>
      </c>
      <c r="M897" s="14">
        <v>45399.554861111108</v>
      </c>
      <c r="N897" t="s">
        <v>2401</v>
      </c>
      <c r="O897" t="s">
        <v>2401</v>
      </c>
      <c r="P897" t="s">
        <v>2401</v>
      </c>
      <c r="Q897" t="s">
        <v>2401</v>
      </c>
      <c r="R897" t="s">
        <v>2401</v>
      </c>
      <c r="S897" t="s">
        <v>2401</v>
      </c>
    </row>
    <row r="898" spans="1:19">
      <c r="A898" t="s">
        <v>5918</v>
      </c>
      <c r="B898" t="s">
        <v>5919</v>
      </c>
      <c r="C898" t="s">
        <v>2401</v>
      </c>
      <c r="D898" t="s">
        <v>2401</v>
      </c>
      <c r="E898" t="s">
        <v>2401</v>
      </c>
      <c r="F898" t="s">
        <v>2401</v>
      </c>
      <c r="G898" t="s">
        <v>2401</v>
      </c>
      <c r="H898" t="s">
        <v>2401</v>
      </c>
      <c r="I898" t="s">
        <v>2401</v>
      </c>
      <c r="J898" t="s">
        <v>5919</v>
      </c>
      <c r="K898" t="s">
        <v>2401</v>
      </c>
      <c r="L898" t="s">
        <v>2401</v>
      </c>
      <c r="M898" s="14">
        <v>45534.874305555553</v>
      </c>
      <c r="N898" t="s">
        <v>2401</v>
      </c>
      <c r="O898" t="s">
        <v>2401</v>
      </c>
      <c r="P898" t="s">
        <v>2401</v>
      </c>
      <c r="Q898" t="s">
        <v>2401</v>
      </c>
      <c r="R898" t="s">
        <v>2401</v>
      </c>
      <c r="S898" t="s">
        <v>2401</v>
      </c>
    </row>
    <row r="899" spans="1:19">
      <c r="A899" t="s">
        <v>5920</v>
      </c>
      <c r="B899" t="s">
        <v>5921</v>
      </c>
      <c r="C899" t="s">
        <v>2401</v>
      </c>
      <c r="D899" t="s">
        <v>2401</v>
      </c>
      <c r="E899" t="s">
        <v>2401</v>
      </c>
      <c r="F899" t="s">
        <v>2401</v>
      </c>
      <c r="G899" t="s">
        <v>2401</v>
      </c>
      <c r="H899" t="s">
        <v>2401</v>
      </c>
      <c r="I899" t="s">
        <v>2401</v>
      </c>
      <c r="J899" t="s">
        <v>5922</v>
      </c>
      <c r="K899" t="s">
        <v>5463</v>
      </c>
      <c r="L899" t="s">
        <v>2401</v>
      </c>
      <c r="M899" s="14">
        <v>45399.554861111108</v>
      </c>
      <c r="N899" t="s">
        <v>5923</v>
      </c>
      <c r="O899" t="s">
        <v>2401</v>
      </c>
      <c r="P899" t="s">
        <v>2401</v>
      </c>
      <c r="Q899" t="s">
        <v>2401</v>
      </c>
      <c r="R899" t="s">
        <v>2401</v>
      </c>
      <c r="S899" t="s">
        <v>2401</v>
      </c>
    </row>
    <row r="900" spans="1:19">
      <c r="A900" t="s">
        <v>5924</v>
      </c>
      <c r="B900" t="s">
        <v>5925</v>
      </c>
      <c r="C900" t="s">
        <v>2401</v>
      </c>
      <c r="D900" t="s">
        <v>2401</v>
      </c>
      <c r="E900" t="s">
        <v>2401</v>
      </c>
      <c r="F900" t="s">
        <v>2401</v>
      </c>
      <c r="G900" t="s">
        <v>2401</v>
      </c>
      <c r="H900" t="s">
        <v>2401</v>
      </c>
      <c r="I900" t="s">
        <v>2401</v>
      </c>
      <c r="J900" t="s">
        <v>5926</v>
      </c>
      <c r="K900" t="s">
        <v>2433</v>
      </c>
      <c r="L900" t="s">
        <v>2401</v>
      </c>
      <c r="M900" s="14">
        <v>45565.645138888889</v>
      </c>
      <c r="N900" t="s">
        <v>5927</v>
      </c>
      <c r="O900" t="s">
        <v>2401</v>
      </c>
      <c r="P900" t="s">
        <v>2401</v>
      </c>
      <c r="Q900" t="s">
        <v>2401</v>
      </c>
      <c r="R900" t="s">
        <v>2401</v>
      </c>
      <c r="S900" t="s">
        <v>2401</v>
      </c>
    </row>
    <row r="901" spans="1:19">
      <c r="A901" t="s">
        <v>5928</v>
      </c>
      <c r="B901" t="s">
        <v>5929</v>
      </c>
      <c r="C901" t="s">
        <v>2401</v>
      </c>
      <c r="D901" t="s">
        <v>2401</v>
      </c>
      <c r="E901" t="s">
        <v>2401</v>
      </c>
      <c r="F901" t="s">
        <v>2401</v>
      </c>
      <c r="G901" t="s">
        <v>2401</v>
      </c>
      <c r="H901" t="s">
        <v>2401</v>
      </c>
      <c r="I901" t="s">
        <v>2401</v>
      </c>
      <c r="J901" t="s">
        <v>5930</v>
      </c>
      <c r="K901" t="s">
        <v>4989</v>
      </c>
      <c r="L901" t="s">
        <v>2401</v>
      </c>
      <c r="M901" s="14">
        <v>45524.897222222222</v>
      </c>
      <c r="N901" t="s">
        <v>5931</v>
      </c>
      <c r="O901" t="s">
        <v>5932</v>
      </c>
      <c r="P901" t="s">
        <v>2401</v>
      </c>
      <c r="Q901" t="s">
        <v>2401</v>
      </c>
      <c r="R901" t="s">
        <v>2401</v>
      </c>
      <c r="S901" t="s">
        <v>2401</v>
      </c>
    </row>
    <row r="902" spans="1:19">
      <c r="A902" t="s">
        <v>5933</v>
      </c>
      <c r="B902" t="s">
        <v>5934</v>
      </c>
      <c r="C902" t="s">
        <v>2401</v>
      </c>
      <c r="D902" t="s">
        <v>2401</v>
      </c>
      <c r="E902" t="s">
        <v>2401</v>
      </c>
      <c r="F902" t="s">
        <v>2401</v>
      </c>
      <c r="G902" t="s">
        <v>2401</v>
      </c>
      <c r="H902" t="s">
        <v>2401</v>
      </c>
      <c r="I902" t="s">
        <v>61</v>
      </c>
      <c r="J902" t="s">
        <v>5935</v>
      </c>
      <c r="K902" t="s">
        <v>2877</v>
      </c>
      <c r="L902" t="s">
        <v>2401</v>
      </c>
      <c r="M902" s="14">
        <v>45399.554861111108</v>
      </c>
      <c r="N902" t="s">
        <v>5936</v>
      </c>
      <c r="O902" t="s">
        <v>5937</v>
      </c>
      <c r="P902" t="s">
        <v>2401</v>
      </c>
      <c r="Q902" t="s">
        <v>2401</v>
      </c>
      <c r="R902" t="s">
        <v>2401</v>
      </c>
      <c r="S902" t="s">
        <v>2401</v>
      </c>
    </row>
    <row r="903" spans="1:19">
      <c r="A903" t="s">
        <v>5938</v>
      </c>
      <c r="B903" t="s">
        <v>5939</v>
      </c>
      <c r="C903" t="s">
        <v>2401</v>
      </c>
      <c r="D903" t="s">
        <v>2401</v>
      </c>
      <c r="E903" t="s">
        <v>2401</v>
      </c>
      <c r="F903" t="s">
        <v>2401</v>
      </c>
      <c r="G903" t="s">
        <v>2401</v>
      </c>
      <c r="H903" t="s">
        <v>2401</v>
      </c>
      <c r="I903" t="s">
        <v>2401</v>
      </c>
      <c r="J903" t="s">
        <v>2401</v>
      </c>
      <c r="K903" t="s">
        <v>2401</v>
      </c>
      <c r="L903" t="s">
        <v>2401</v>
      </c>
      <c r="M903" s="14">
        <v>45390.607638888891</v>
      </c>
      <c r="N903" t="s">
        <v>2401</v>
      </c>
      <c r="O903" t="s">
        <v>2401</v>
      </c>
      <c r="P903" t="s">
        <v>2401</v>
      </c>
      <c r="Q903" t="s">
        <v>2401</v>
      </c>
      <c r="R903" t="s">
        <v>2401</v>
      </c>
      <c r="S903" t="s">
        <v>2401</v>
      </c>
    </row>
    <row r="904" spans="1:19">
      <c r="A904" t="s">
        <v>5940</v>
      </c>
      <c r="B904" t="s">
        <v>5941</v>
      </c>
      <c r="C904" t="s">
        <v>2401</v>
      </c>
      <c r="D904" t="s">
        <v>2401</v>
      </c>
      <c r="E904" t="s">
        <v>2401</v>
      </c>
      <c r="F904" t="s">
        <v>2401</v>
      </c>
      <c r="G904" t="s">
        <v>2401</v>
      </c>
      <c r="H904" t="s">
        <v>2401</v>
      </c>
      <c r="I904" t="s">
        <v>2401</v>
      </c>
      <c r="J904" t="s">
        <v>5942</v>
      </c>
      <c r="K904" t="s">
        <v>2433</v>
      </c>
      <c r="L904" t="s">
        <v>2401</v>
      </c>
      <c r="M904" s="14">
        <v>45565.677777777775</v>
      </c>
      <c r="N904" t="s">
        <v>5943</v>
      </c>
      <c r="O904" t="s">
        <v>5944</v>
      </c>
      <c r="P904" t="s">
        <v>2401</v>
      </c>
      <c r="Q904" t="s">
        <v>2401</v>
      </c>
      <c r="R904" t="s">
        <v>2401</v>
      </c>
      <c r="S904" t="s">
        <v>2401</v>
      </c>
    </row>
    <row r="905" spans="1:19">
      <c r="A905" t="s">
        <v>5945</v>
      </c>
      <c r="B905" t="s">
        <v>5946</v>
      </c>
      <c r="C905" t="s">
        <v>2401</v>
      </c>
      <c r="D905" t="s">
        <v>2401</v>
      </c>
      <c r="E905" t="s">
        <v>2401</v>
      </c>
      <c r="F905" t="s">
        <v>2401</v>
      </c>
      <c r="G905" t="s">
        <v>2401</v>
      </c>
      <c r="H905" t="s">
        <v>2401</v>
      </c>
      <c r="I905" t="s">
        <v>2401</v>
      </c>
      <c r="J905" t="s">
        <v>5947</v>
      </c>
      <c r="K905" t="s">
        <v>4718</v>
      </c>
      <c r="L905" t="s">
        <v>2401</v>
      </c>
      <c r="M905" s="14">
        <v>45399.554861111108</v>
      </c>
      <c r="N905" t="s">
        <v>5948</v>
      </c>
      <c r="O905" t="s">
        <v>5949</v>
      </c>
      <c r="P905" t="s">
        <v>2401</v>
      </c>
      <c r="Q905" t="s">
        <v>2401</v>
      </c>
      <c r="R905" t="s">
        <v>2401</v>
      </c>
      <c r="S905" t="s">
        <v>2401</v>
      </c>
    </row>
    <row r="906" spans="1:19">
      <c r="A906" t="s">
        <v>5950</v>
      </c>
      <c r="B906" t="s">
        <v>5951</v>
      </c>
      <c r="C906" t="s">
        <v>2401</v>
      </c>
      <c r="D906" t="s">
        <v>2401</v>
      </c>
      <c r="E906" t="s">
        <v>2401</v>
      </c>
      <c r="F906" t="s">
        <v>2401</v>
      </c>
      <c r="G906" t="s">
        <v>2401</v>
      </c>
      <c r="H906" t="s">
        <v>2401</v>
      </c>
      <c r="I906" t="s">
        <v>2401</v>
      </c>
      <c r="J906" t="s">
        <v>5952</v>
      </c>
      <c r="K906" t="s">
        <v>2635</v>
      </c>
      <c r="L906" t="s">
        <v>2401</v>
      </c>
      <c r="M906" s="14">
        <v>45399.554861111108</v>
      </c>
      <c r="N906" t="s">
        <v>5953</v>
      </c>
      <c r="O906" t="s">
        <v>5954</v>
      </c>
      <c r="P906" t="s">
        <v>2401</v>
      </c>
      <c r="Q906" t="s">
        <v>2401</v>
      </c>
      <c r="R906" t="s">
        <v>2401</v>
      </c>
      <c r="S906" t="s">
        <v>2401</v>
      </c>
    </row>
    <row r="907" spans="1:19">
      <c r="A907" t="s">
        <v>5955</v>
      </c>
      <c r="B907" t="s">
        <v>5956</v>
      </c>
      <c r="C907" t="s">
        <v>2401</v>
      </c>
      <c r="D907" t="s">
        <v>2401</v>
      </c>
      <c r="E907" t="s">
        <v>2401</v>
      </c>
      <c r="F907" t="s">
        <v>2401</v>
      </c>
      <c r="G907" t="s">
        <v>2401</v>
      </c>
      <c r="H907" t="s">
        <v>2401</v>
      </c>
      <c r="I907" t="s">
        <v>2401</v>
      </c>
      <c r="J907" t="s">
        <v>5957</v>
      </c>
      <c r="K907" t="s">
        <v>3071</v>
      </c>
      <c r="L907" t="s">
        <v>2401</v>
      </c>
      <c r="M907" s="14">
        <v>45565.65347222222</v>
      </c>
      <c r="N907" t="s">
        <v>5958</v>
      </c>
      <c r="O907" t="s">
        <v>2401</v>
      </c>
      <c r="P907" t="s">
        <v>2401</v>
      </c>
      <c r="Q907" t="s">
        <v>2401</v>
      </c>
      <c r="R907" t="s">
        <v>2401</v>
      </c>
      <c r="S907" t="s">
        <v>2401</v>
      </c>
    </row>
    <row r="908" spans="1:19">
      <c r="A908" t="s">
        <v>5959</v>
      </c>
      <c r="B908" t="s">
        <v>5960</v>
      </c>
      <c r="C908" t="s">
        <v>2401</v>
      </c>
      <c r="D908" t="s">
        <v>2401</v>
      </c>
      <c r="E908" t="s">
        <v>2401</v>
      </c>
      <c r="F908" t="s">
        <v>2401</v>
      </c>
      <c r="G908" t="s">
        <v>2401</v>
      </c>
      <c r="H908" t="s">
        <v>2401</v>
      </c>
      <c r="I908" t="s">
        <v>2401</v>
      </c>
      <c r="J908" t="s">
        <v>5961</v>
      </c>
      <c r="K908" t="s">
        <v>3218</v>
      </c>
      <c r="L908" t="s">
        <v>2401</v>
      </c>
      <c r="M908" s="14">
        <v>45399.554861111108</v>
      </c>
      <c r="N908" t="s">
        <v>5962</v>
      </c>
      <c r="O908" t="s">
        <v>5963</v>
      </c>
      <c r="P908" t="s">
        <v>2401</v>
      </c>
      <c r="Q908" t="s">
        <v>2401</v>
      </c>
      <c r="R908" t="s">
        <v>2401</v>
      </c>
      <c r="S908" t="s">
        <v>2401</v>
      </c>
    </row>
    <row r="909" spans="1:19">
      <c r="A909" t="s">
        <v>5964</v>
      </c>
      <c r="B909" t="s">
        <v>5965</v>
      </c>
      <c r="C909" t="s">
        <v>2401</v>
      </c>
      <c r="D909" t="s">
        <v>2401</v>
      </c>
      <c r="E909" t="s">
        <v>2401</v>
      </c>
      <c r="F909" t="s">
        <v>2401</v>
      </c>
      <c r="G909" t="s">
        <v>2401</v>
      </c>
      <c r="H909" t="s">
        <v>2401</v>
      </c>
      <c r="I909" t="s">
        <v>2401</v>
      </c>
      <c r="J909" t="s">
        <v>2401</v>
      </c>
      <c r="K909" t="s">
        <v>3592</v>
      </c>
      <c r="L909" t="s">
        <v>2401</v>
      </c>
      <c r="M909" s="14">
        <v>45390.607638888891</v>
      </c>
      <c r="N909" t="s">
        <v>2401</v>
      </c>
      <c r="O909" t="s">
        <v>5966</v>
      </c>
      <c r="P909" t="s">
        <v>2401</v>
      </c>
      <c r="Q909" t="s">
        <v>2401</v>
      </c>
      <c r="R909" t="s">
        <v>2401</v>
      </c>
      <c r="S909" t="s">
        <v>2401</v>
      </c>
    </row>
    <row r="910" spans="1:19">
      <c r="A910" t="s">
        <v>5967</v>
      </c>
      <c r="B910" t="s">
        <v>5968</v>
      </c>
      <c r="C910" t="s">
        <v>2474</v>
      </c>
      <c r="D910" t="s">
        <v>2401</v>
      </c>
      <c r="E910" t="s">
        <v>2401</v>
      </c>
      <c r="F910" t="s">
        <v>2401</v>
      </c>
      <c r="G910" t="s">
        <v>2401</v>
      </c>
      <c r="H910" t="s">
        <v>2401</v>
      </c>
      <c r="I910" t="s">
        <v>2401</v>
      </c>
      <c r="J910" t="s">
        <v>5969</v>
      </c>
      <c r="K910" t="s">
        <v>2438</v>
      </c>
      <c r="L910" t="s">
        <v>2401</v>
      </c>
      <c r="M910" s="14">
        <v>45535.026388888888</v>
      </c>
      <c r="N910" t="s">
        <v>5970</v>
      </c>
      <c r="O910" t="s">
        <v>2401</v>
      </c>
      <c r="P910" t="s">
        <v>2401</v>
      </c>
      <c r="Q910" t="s">
        <v>2401</v>
      </c>
      <c r="R910" t="s">
        <v>2401</v>
      </c>
      <c r="S910" t="s">
        <v>2401</v>
      </c>
    </row>
    <row r="911" spans="1:19">
      <c r="A911" t="s">
        <v>5971</v>
      </c>
      <c r="B911" t="s">
        <v>1698</v>
      </c>
      <c r="C911" t="s">
        <v>2401</v>
      </c>
      <c r="D911" t="s">
        <v>2401</v>
      </c>
      <c r="E911" t="s">
        <v>2401</v>
      </c>
      <c r="F911" t="s">
        <v>2401</v>
      </c>
      <c r="G911" t="s">
        <v>2401</v>
      </c>
      <c r="H911" t="s">
        <v>2401</v>
      </c>
      <c r="I911" t="s">
        <v>2401</v>
      </c>
      <c r="J911" t="s">
        <v>5972</v>
      </c>
      <c r="K911" t="s">
        <v>2448</v>
      </c>
      <c r="L911" t="s">
        <v>2401</v>
      </c>
      <c r="M911" s="14">
        <v>45534.874305555553</v>
      </c>
      <c r="N911" t="s">
        <v>5973</v>
      </c>
      <c r="O911" t="s">
        <v>3479</v>
      </c>
      <c r="P911" t="s">
        <v>2401</v>
      </c>
      <c r="Q911" t="s">
        <v>2401</v>
      </c>
      <c r="R911" t="s">
        <v>2401</v>
      </c>
      <c r="S911" t="s">
        <v>2401</v>
      </c>
    </row>
    <row r="912" spans="1:19">
      <c r="A912" t="s">
        <v>5974</v>
      </c>
      <c r="B912" t="s">
        <v>5975</v>
      </c>
      <c r="C912" t="s">
        <v>2401</v>
      </c>
      <c r="D912" t="s">
        <v>2401</v>
      </c>
      <c r="E912" t="s">
        <v>2401</v>
      </c>
      <c r="F912" t="s">
        <v>2401</v>
      </c>
      <c r="G912" t="s">
        <v>2401</v>
      </c>
      <c r="H912" t="s">
        <v>2401</v>
      </c>
      <c r="I912" t="s">
        <v>2401</v>
      </c>
      <c r="J912" t="s">
        <v>2401</v>
      </c>
      <c r="K912" t="s">
        <v>2406</v>
      </c>
      <c r="L912" t="s">
        <v>2401</v>
      </c>
      <c r="M912" s="14">
        <v>45390.607638888891</v>
      </c>
      <c r="N912" t="s">
        <v>2401</v>
      </c>
      <c r="O912" t="s">
        <v>2586</v>
      </c>
      <c r="P912" t="s">
        <v>2401</v>
      </c>
      <c r="Q912" t="s">
        <v>2401</v>
      </c>
      <c r="R912" t="s">
        <v>2401</v>
      </c>
      <c r="S912" t="s">
        <v>2401</v>
      </c>
    </row>
    <row r="913" spans="1:19">
      <c r="A913" t="s">
        <v>5976</v>
      </c>
      <c r="B913" t="s">
        <v>5977</v>
      </c>
      <c r="C913" t="s">
        <v>2401</v>
      </c>
      <c r="D913" t="s">
        <v>2401</v>
      </c>
      <c r="E913" t="s">
        <v>2401</v>
      </c>
      <c r="F913" t="s">
        <v>2401</v>
      </c>
      <c r="G913" t="s">
        <v>2401</v>
      </c>
      <c r="H913" t="s">
        <v>2401</v>
      </c>
      <c r="I913" t="s">
        <v>2401</v>
      </c>
      <c r="J913" t="s">
        <v>2401</v>
      </c>
      <c r="K913" t="s">
        <v>2401</v>
      </c>
      <c r="L913" t="s">
        <v>2401</v>
      </c>
      <c r="M913" s="14">
        <v>45509.718055555553</v>
      </c>
      <c r="N913" t="s">
        <v>2401</v>
      </c>
      <c r="O913" t="s">
        <v>2401</v>
      </c>
      <c r="P913" t="s">
        <v>2401</v>
      </c>
      <c r="Q913" t="s">
        <v>2401</v>
      </c>
      <c r="R913" t="s">
        <v>2401</v>
      </c>
      <c r="S913" t="s">
        <v>2401</v>
      </c>
    </row>
    <row r="914" spans="1:19">
      <c r="A914" t="s">
        <v>5978</v>
      </c>
      <c r="B914" t="s">
        <v>1702</v>
      </c>
      <c r="C914" t="s">
        <v>2401</v>
      </c>
      <c r="D914" t="s">
        <v>2401</v>
      </c>
      <c r="E914" t="s">
        <v>2401</v>
      </c>
      <c r="F914" t="s">
        <v>2401</v>
      </c>
      <c r="G914" t="s">
        <v>2401</v>
      </c>
      <c r="H914" t="s">
        <v>2401</v>
      </c>
      <c r="I914" t="s">
        <v>2401</v>
      </c>
      <c r="J914" t="s">
        <v>5979</v>
      </c>
      <c r="K914" t="s">
        <v>2406</v>
      </c>
      <c r="L914" t="s">
        <v>2401</v>
      </c>
      <c r="M914" s="14">
        <v>45399.554861111108</v>
      </c>
      <c r="N914" t="s">
        <v>5980</v>
      </c>
      <c r="O914" t="s">
        <v>5981</v>
      </c>
      <c r="P914" t="s">
        <v>2401</v>
      </c>
      <c r="Q914" t="s">
        <v>2401</v>
      </c>
      <c r="R914" t="s">
        <v>2401</v>
      </c>
      <c r="S914" t="s">
        <v>2401</v>
      </c>
    </row>
    <row r="915" spans="1:19">
      <c r="A915" t="s">
        <v>5982</v>
      </c>
      <c r="B915" t="s">
        <v>5983</v>
      </c>
      <c r="C915" t="s">
        <v>2401</v>
      </c>
      <c r="D915" t="s">
        <v>2401</v>
      </c>
      <c r="E915" t="s">
        <v>2401</v>
      </c>
      <c r="F915" t="s">
        <v>2401</v>
      </c>
      <c r="G915" t="s">
        <v>2401</v>
      </c>
      <c r="H915" t="s">
        <v>2401</v>
      </c>
      <c r="I915" t="s">
        <v>2401</v>
      </c>
      <c r="J915" t="s">
        <v>5984</v>
      </c>
      <c r="K915" t="s">
        <v>3564</v>
      </c>
      <c r="L915" t="s">
        <v>2401</v>
      </c>
      <c r="M915" s="14">
        <v>45399.554861111108</v>
      </c>
      <c r="N915" t="s">
        <v>5985</v>
      </c>
      <c r="O915" t="s">
        <v>5986</v>
      </c>
      <c r="P915" t="s">
        <v>2401</v>
      </c>
      <c r="Q915" t="s">
        <v>2401</v>
      </c>
      <c r="R915" t="s">
        <v>2401</v>
      </c>
      <c r="S915" t="s">
        <v>2401</v>
      </c>
    </row>
    <row r="916" spans="1:19">
      <c r="A916" t="s">
        <v>5987</v>
      </c>
      <c r="B916" t="s">
        <v>5988</v>
      </c>
      <c r="C916" t="s">
        <v>2401</v>
      </c>
      <c r="D916" t="s">
        <v>2401</v>
      </c>
      <c r="E916" t="s">
        <v>2401</v>
      </c>
      <c r="F916" t="s">
        <v>2401</v>
      </c>
      <c r="G916" t="s">
        <v>2401</v>
      </c>
      <c r="H916" t="s">
        <v>2401</v>
      </c>
      <c r="I916" t="s">
        <v>2401</v>
      </c>
      <c r="J916" t="s">
        <v>5989</v>
      </c>
      <c r="K916" t="s">
        <v>2433</v>
      </c>
      <c r="L916" t="s">
        <v>2401</v>
      </c>
      <c r="M916" s="14">
        <v>45565.645138888889</v>
      </c>
      <c r="N916" t="s">
        <v>5990</v>
      </c>
      <c r="O916" t="s">
        <v>5991</v>
      </c>
      <c r="P916" t="s">
        <v>2401</v>
      </c>
      <c r="Q916" t="s">
        <v>2401</v>
      </c>
      <c r="R916" t="s">
        <v>2401</v>
      </c>
      <c r="S916" t="s">
        <v>2401</v>
      </c>
    </row>
    <row r="917" spans="1:19">
      <c r="A917" t="s">
        <v>5992</v>
      </c>
      <c r="B917" t="s">
        <v>5993</v>
      </c>
      <c r="C917" t="s">
        <v>2401</v>
      </c>
      <c r="D917" t="s">
        <v>2401</v>
      </c>
      <c r="E917" t="s">
        <v>2401</v>
      </c>
      <c r="F917" t="s">
        <v>2401</v>
      </c>
      <c r="G917" t="s">
        <v>2401</v>
      </c>
      <c r="H917" t="s">
        <v>2401</v>
      </c>
      <c r="I917" t="s">
        <v>2401</v>
      </c>
      <c r="J917" t="s">
        <v>5994</v>
      </c>
      <c r="K917" t="s">
        <v>2448</v>
      </c>
      <c r="L917" t="s">
        <v>2401</v>
      </c>
      <c r="M917" s="14">
        <v>45509.718055555553</v>
      </c>
      <c r="N917" t="s">
        <v>2449</v>
      </c>
      <c r="O917" t="s">
        <v>2401</v>
      </c>
      <c r="P917" t="s">
        <v>2401</v>
      </c>
      <c r="Q917" t="s">
        <v>2401</v>
      </c>
      <c r="R917" t="s">
        <v>2401</v>
      </c>
      <c r="S917" t="s">
        <v>2401</v>
      </c>
    </row>
    <row r="918" spans="1:19">
      <c r="A918" t="s">
        <v>5995</v>
      </c>
      <c r="B918" t="s">
        <v>5996</v>
      </c>
      <c r="C918" t="s">
        <v>2401</v>
      </c>
      <c r="D918" t="s">
        <v>2401</v>
      </c>
      <c r="E918" t="s">
        <v>2401</v>
      </c>
      <c r="F918" t="s">
        <v>2401</v>
      </c>
      <c r="G918" t="s">
        <v>2401</v>
      </c>
      <c r="H918" t="s">
        <v>2401</v>
      </c>
      <c r="I918" t="s">
        <v>2401</v>
      </c>
      <c r="J918" t="s">
        <v>2401</v>
      </c>
      <c r="K918" t="s">
        <v>2448</v>
      </c>
      <c r="L918" t="s">
        <v>2401</v>
      </c>
      <c r="M918" s="14">
        <v>45390.607638888891</v>
      </c>
      <c r="N918" t="s">
        <v>2401</v>
      </c>
      <c r="O918" t="s">
        <v>2401</v>
      </c>
      <c r="P918" t="s">
        <v>2401</v>
      </c>
      <c r="Q918" t="s">
        <v>2401</v>
      </c>
      <c r="R918" t="s">
        <v>2401</v>
      </c>
      <c r="S918" t="s">
        <v>2401</v>
      </c>
    </row>
    <row r="919" spans="1:19">
      <c r="A919" t="s">
        <v>5997</v>
      </c>
      <c r="B919" t="s">
        <v>5996</v>
      </c>
      <c r="C919" t="s">
        <v>2401</v>
      </c>
      <c r="D919" t="s">
        <v>2401</v>
      </c>
      <c r="E919" t="s">
        <v>2401</v>
      </c>
      <c r="F919" t="s">
        <v>2401</v>
      </c>
      <c r="G919" t="s">
        <v>2401</v>
      </c>
      <c r="H919" t="s">
        <v>2401</v>
      </c>
      <c r="I919" t="s">
        <v>2401</v>
      </c>
      <c r="J919" t="s">
        <v>5998</v>
      </c>
      <c r="K919" t="s">
        <v>2448</v>
      </c>
      <c r="L919" t="s">
        <v>2401</v>
      </c>
      <c r="M919" s="14">
        <v>45384.568055555559</v>
      </c>
      <c r="N919" t="s">
        <v>2449</v>
      </c>
      <c r="O919" t="s">
        <v>2401</v>
      </c>
      <c r="P919" t="s">
        <v>5999</v>
      </c>
      <c r="Q919">
        <v>1</v>
      </c>
      <c r="R919" t="s">
        <v>2401</v>
      </c>
      <c r="S919" t="s">
        <v>6000</v>
      </c>
    </row>
    <row r="920" spans="1:19">
      <c r="A920" t="s">
        <v>6001</v>
      </c>
      <c r="B920" t="s">
        <v>6002</v>
      </c>
      <c r="C920" t="s">
        <v>2401</v>
      </c>
      <c r="D920" t="s">
        <v>2401</v>
      </c>
      <c r="E920" t="s">
        <v>2401</v>
      </c>
      <c r="F920" t="s">
        <v>2401</v>
      </c>
      <c r="G920" t="s">
        <v>2401</v>
      </c>
      <c r="H920" t="s">
        <v>2401</v>
      </c>
      <c r="I920" t="s">
        <v>2401</v>
      </c>
      <c r="J920" t="s">
        <v>6003</v>
      </c>
      <c r="K920" t="s">
        <v>4989</v>
      </c>
      <c r="L920" t="s">
        <v>2401</v>
      </c>
      <c r="M920" s="14">
        <v>45534.874305555553</v>
      </c>
      <c r="N920" t="s">
        <v>6004</v>
      </c>
      <c r="O920" t="s">
        <v>6005</v>
      </c>
      <c r="P920" t="s">
        <v>2401</v>
      </c>
      <c r="Q920" t="s">
        <v>2401</v>
      </c>
      <c r="R920" t="s">
        <v>2401</v>
      </c>
      <c r="S920" t="s">
        <v>2401</v>
      </c>
    </row>
    <row r="921" spans="1:19">
      <c r="A921" t="s">
        <v>6006</v>
      </c>
      <c r="B921" t="s">
        <v>6007</v>
      </c>
      <c r="C921" t="s">
        <v>2401</v>
      </c>
      <c r="D921" t="s">
        <v>2401</v>
      </c>
      <c r="E921" t="s">
        <v>2401</v>
      </c>
      <c r="F921" t="s">
        <v>2401</v>
      </c>
      <c r="G921" t="s">
        <v>2401</v>
      </c>
      <c r="H921" t="s">
        <v>2401</v>
      </c>
      <c r="I921" t="s">
        <v>2401</v>
      </c>
      <c r="J921" t="s">
        <v>2401</v>
      </c>
      <c r="K921" t="s">
        <v>2401</v>
      </c>
      <c r="L921" t="s">
        <v>2401</v>
      </c>
      <c r="M921" s="14">
        <v>45390.607638888891</v>
      </c>
      <c r="N921" t="s">
        <v>2401</v>
      </c>
      <c r="O921" t="s">
        <v>2401</v>
      </c>
      <c r="P921" t="s">
        <v>2401</v>
      </c>
      <c r="Q921" t="s">
        <v>2401</v>
      </c>
      <c r="R921" t="s">
        <v>2401</v>
      </c>
      <c r="S921" t="s">
        <v>2401</v>
      </c>
    </row>
    <row r="922" spans="1:19">
      <c r="A922" t="s">
        <v>6008</v>
      </c>
      <c r="B922" t="s">
        <v>1715</v>
      </c>
      <c r="C922" t="s">
        <v>2401</v>
      </c>
      <c r="D922" t="s">
        <v>2401</v>
      </c>
      <c r="E922" t="s">
        <v>2401</v>
      </c>
      <c r="F922" t="s">
        <v>2401</v>
      </c>
      <c r="G922" t="s">
        <v>2401</v>
      </c>
      <c r="H922" t="s">
        <v>2401</v>
      </c>
      <c r="I922" t="s">
        <v>2401</v>
      </c>
      <c r="J922" t="s">
        <v>6009</v>
      </c>
      <c r="K922" t="s">
        <v>2720</v>
      </c>
      <c r="L922" t="s">
        <v>2401</v>
      </c>
      <c r="M922" s="14">
        <v>45565.70416666667</v>
      </c>
      <c r="N922" t="s">
        <v>6010</v>
      </c>
      <c r="O922" t="s">
        <v>6011</v>
      </c>
      <c r="P922" t="s">
        <v>2401</v>
      </c>
      <c r="Q922" t="s">
        <v>2401</v>
      </c>
      <c r="R922" t="s">
        <v>2401</v>
      </c>
      <c r="S922" t="s">
        <v>2401</v>
      </c>
    </row>
    <row r="923" spans="1:19">
      <c r="A923" t="s">
        <v>6012</v>
      </c>
      <c r="B923" t="s">
        <v>6013</v>
      </c>
      <c r="C923" t="s">
        <v>2401</v>
      </c>
      <c r="D923" t="s">
        <v>2401</v>
      </c>
      <c r="E923" t="s">
        <v>2401</v>
      </c>
      <c r="F923" t="s">
        <v>2401</v>
      </c>
      <c r="G923" t="s">
        <v>2401</v>
      </c>
      <c r="H923" t="s">
        <v>2401</v>
      </c>
      <c r="I923" t="s">
        <v>2401</v>
      </c>
      <c r="J923" t="s">
        <v>2401</v>
      </c>
      <c r="K923" t="s">
        <v>2401</v>
      </c>
      <c r="L923" t="s">
        <v>2401</v>
      </c>
      <c r="M923" s="14">
        <v>45399.554861111108</v>
      </c>
      <c r="N923" t="s">
        <v>2401</v>
      </c>
      <c r="O923" t="s">
        <v>2401</v>
      </c>
      <c r="P923" t="s">
        <v>2401</v>
      </c>
      <c r="Q923" t="s">
        <v>2401</v>
      </c>
      <c r="R923" t="s">
        <v>2401</v>
      </c>
      <c r="S923" t="s">
        <v>2401</v>
      </c>
    </row>
    <row r="924" spans="1:19">
      <c r="A924" t="s">
        <v>6014</v>
      </c>
      <c r="B924" t="s">
        <v>6015</v>
      </c>
      <c r="C924" t="s">
        <v>2401</v>
      </c>
      <c r="D924" t="s">
        <v>2401</v>
      </c>
      <c r="E924" t="s">
        <v>2401</v>
      </c>
      <c r="F924" t="s">
        <v>2401</v>
      </c>
      <c r="G924" t="s">
        <v>2401</v>
      </c>
      <c r="H924" t="s">
        <v>2401</v>
      </c>
      <c r="I924" t="s">
        <v>2401</v>
      </c>
      <c r="J924" t="s">
        <v>6016</v>
      </c>
      <c r="K924" t="s">
        <v>2438</v>
      </c>
      <c r="L924" t="s">
        <v>2549</v>
      </c>
      <c r="M924" s="14">
        <v>45523.716666666667</v>
      </c>
      <c r="N924" t="s">
        <v>6017</v>
      </c>
      <c r="O924" t="s">
        <v>2401</v>
      </c>
      <c r="P924" t="s">
        <v>2401</v>
      </c>
      <c r="Q924" t="s">
        <v>2401</v>
      </c>
      <c r="R924" t="s">
        <v>2401</v>
      </c>
      <c r="S924" t="s">
        <v>2401</v>
      </c>
    </row>
    <row r="925" spans="1:19">
      <c r="A925" t="s">
        <v>6018</v>
      </c>
      <c r="B925" t="s">
        <v>1719</v>
      </c>
      <c r="C925" t="s">
        <v>2401</v>
      </c>
      <c r="D925" t="s">
        <v>2401</v>
      </c>
      <c r="E925" t="s">
        <v>2401</v>
      </c>
      <c r="F925" t="s">
        <v>2401</v>
      </c>
      <c r="G925" t="s">
        <v>2401</v>
      </c>
      <c r="H925" t="s">
        <v>2401</v>
      </c>
      <c r="I925" t="s">
        <v>2401</v>
      </c>
      <c r="J925" t="s">
        <v>2401</v>
      </c>
      <c r="K925" t="s">
        <v>2401</v>
      </c>
      <c r="L925" t="s">
        <v>2401</v>
      </c>
      <c r="M925" s="14">
        <v>45422.895833333336</v>
      </c>
      <c r="N925" t="s">
        <v>2401</v>
      </c>
      <c r="O925" t="s">
        <v>2401</v>
      </c>
      <c r="P925" t="s">
        <v>2401</v>
      </c>
      <c r="Q925" t="s">
        <v>2401</v>
      </c>
      <c r="R925" t="s">
        <v>2401</v>
      </c>
      <c r="S925" t="s">
        <v>2401</v>
      </c>
    </row>
    <row r="926" spans="1:19">
      <c r="A926" t="s">
        <v>6019</v>
      </c>
      <c r="B926" t="s">
        <v>6020</v>
      </c>
      <c r="C926" t="s">
        <v>2401</v>
      </c>
      <c r="D926" t="s">
        <v>2401</v>
      </c>
      <c r="E926" t="s">
        <v>2401</v>
      </c>
      <c r="F926" t="s">
        <v>2401</v>
      </c>
      <c r="G926" t="s">
        <v>2401</v>
      </c>
      <c r="H926" t="s">
        <v>2401</v>
      </c>
      <c r="I926" t="s">
        <v>2401</v>
      </c>
      <c r="J926" t="s">
        <v>6020</v>
      </c>
      <c r="K926" t="s">
        <v>2401</v>
      </c>
      <c r="L926" t="s">
        <v>2401</v>
      </c>
      <c r="M926" s="14">
        <v>45441.395138888889</v>
      </c>
      <c r="N926" t="s">
        <v>2401</v>
      </c>
      <c r="O926" t="s">
        <v>2401</v>
      </c>
      <c r="P926" t="s">
        <v>6021</v>
      </c>
      <c r="Q926">
        <v>1</v>
      </c>
      <c r="R926" t="s">
        <v>2401</v>
      </c>
      <c r="S926" t="s">
        <v>6022</v>
      </c>
    </row>
    <row r="927" spans="1:19">
      <c r="A927" t="s">
        <v>6023</v>
      </c>
      <c r="B927" t="s">
        <v>6024</v>
      </c>
      <c r="C927" t="s">
        <v>2401</v>
      </c>
      <c r="D927" t="s">
        <v>2401</v>
      </c>
      <c r="E927" t="s">
        <v>2401</v>
      </c>
      <c r="F927" t="s">
        <v>2401</v>
      </c>
      <c r="G927" t="s">
        <v>2401</v>
      </c>
      <c r="H927" t="s">
        <v>2401</v>
      </c>
      <c r="I927" t="s">
        <v>2401</v>
      </c>
      <c r="J927" t="s">
        <v>6025</v>
      </c>
      <c r="K927" t="s">
        <v>2433</v>
      </c>
      <c r="L927" t="s">
        <v>2401</v>
      </c>
      <c r="M927" s="14">
        <v>45565.558333333334</v>
      </c>
      <c r="N927" t="s">
        <v>6026</v>
      </c>
      <c r="O927" t="s">
        <v>6027</v>
      </c>
      <c r="P927" t="s">
        <v>2401</v>
      </c>
      <c r="Q927" t="s">
        <v>2401</v>
      </c>
      <c r="R927" t="s">
        <v>2401</v>
      </c>
      <c r="S927" t="s">
        <v>2401</v>
      </c>
    </row>
    <row r="928" spans="1:19">
      <c r="A928" t="s">
        <v>6028</v>
      </c>
      <c r="B928" t="s">
        <v>6029</v>
      </c>
      <c r="C928" t="s">
        <v>2401</v>
      </c>
      <c r="D928" t="s">
        <v>2401</v>
      </c>
      <c r="E928" t="s">
        <v>2401</v>
      </c>
      <c r="F928" t="s">
        <v>2401</v>
      </c>
      <c r="G928" t="s">
        <v>2401</v>
      </c>
      <c r="H928" t="s">
        <v>2401</v>
      </c>
      <c r="I928" t="s">
        <v>2401</v>
      </c>
      <c r="J928" t="s">
        <v>6030</v>
      </c>
      <c r="K928" t="s">
        <v>2433</v>
      </c>
      <c r="L928" t="s">
        <v>2401</v>
      </c>
      <c r="M928" s="14">
        <v>45565.703472222223</v>
      </c>
      <c r="N928" t="s">
        <v>6031</v>
      </c>
      <c r="O928" t="s">
        <v>6032</v>
      </c>
      <c r="P928" t="s">
        <v>2401</v>
      </c>
      <c r="Q928" t="s">
        <v>2401</v>
      </c>
      <c r="R928" t="s">
        <v>2401</v>
      </c>
      <c r="S928" t="s">
        <v>2401</v>
      </c>
    </row>
    <row r="929" spans="1:19">
      <c r="A929" t="s">
        <v>6033</v>
      </c>
      <c r="B929" t="s">
        <v>6034</v>
      </c>
      <c r="C929" t="s">
        <v>2401</v>
      </c>
      <c r="D929" t="s">
        <v>2401</v>
      </c>
      <c r="E929" t="s">
        <v>2401</v>
      </c>
      <c r="F929" t="s">
        <v>2401</v>
      </c>
      <c r="G929" t="s">
        <v>2401</v>
      </c>
      <c r="H929" t="s">
        <v>2401</v>
      </c>
      <c r="I929" t="s">
        <v>2401</v>
      </c>
      <c r="J929" t="s">
        <v>6035</v>
      </c>
      <c r="K929" t="s">
        <v>2433</v>
      </c>
      <c r="L929" t="s">
        <v>2401</v>
      </c>
      <c r="M929" s="14">
        <v>45565.703472222223</v>
      </c>
      <c r="N929" t="s">
        <v>6036</v>
      </c>
      <c r="O929" t="s">
        <v>6032</v>
      </c>
      <c r="P929" t="s">
        <v>2401</v>
      </c>
      <c r="Q929" t="s">
        <v>2401</v>
      </c>
      <c r="R929" t="s">
        <v>2401</v>
      </c>
      <c r="S929" t="s">
        <v>2401</v>
      </c>
    </row>
    <row r="930" spans="1:19">
      <c r="A930" t="s">
        <v>6037</v>
      </c>
      <c r="B930" t="s">
        <v>6038</v>
      </c>
      <c r="C930" t="s">
        <v>2401</v>
      </c>
      <c r="D930" t="s">
        <v>2401</v>
      </c>
      <c r="E930" t="s">
        <v>2401</v>
      </c>
      <c r="F930" t="s">
        <v>2401</v>
      </c>
      <c r="G930" t="s">
        <v>2401</v>
      </c>
      <c r="H930" t="s">
        <v>2401</v>
      </c>
      <c r="I930" t="s">
        <v>2401</v>
      </c>
      <c r="J930" t="s">
        <v>6039</v>
      </c>
      <c r="K930" t="s">
        <v>2720</v>
      </c>
      <c r="L930" t="s">
        <v>2401</v>
      </c>
      <c r="M930" s="14">
        <v>45565.656944444447</v>
      </c>
      <c r="N930" t="s">
        <v>6040</v>
      </c>
      <c r="O930" t="s">
        <v>6041</v>
      </c>
      <c r="P930" t="s">
        <v>2401</v>
      </c>
      <c r="Q930" t="s">
        <v>2401</v>
      </c>
      <c r="R930" t="s">
        <v>2401</v>
      </c>
      <c r="S930" t="s">
        <v>2401</v>
      </c>
    </row>
    <row r="931" spans="1:19">
      <c r="A931" t="s">
        <v>6042</v>
      </c>
      <c r="B931" t="s">
        <v>6043</v>
      </c>
      <c r="C931" t="s">
        <v>2401</v>
      </c>
      <c r="D931" t="s">
        <v>2401</v>
      </c>
      <c r="E931" t="s">
        <v>2401</v>
      </c>
      <c r="F931" t="s">
        <v>2401</v>
      </c>
      <c r="G931" t="s">
        <v>2401</v>
      </c>
      <c r="H931" t="s">
        <v>2401</v>
      </c>
      <c r="I931" t="s">
        <v>2401</v>
      </c>
      <c r="J931" t="s">
        <v>2401</v>
      </c>
      <c r="K931" t="s">
        <v>2401</v>
      </c>
      <c r="L931" t="s">
        <v>2401</v>
      </c>
      <c r="M931" s="14">
        <v>45390.607638888891</v>
      </c>
      <c r="N931" t="s">
        <v>2401</v>
      </c>
      <c r="O931" t="s">
        <v>4374</v>
      </c>
      <c r="P931" t="s">
        <v>2401</v>
      </c>
      <c r="Q931" t="s">
        <v>2401</v>
      </c>
      <c r="R931" t="s">
        <v>2401</v>
      </c>
      <c r="S931" t="s">
        <v>2401</v>
      </c>
    </row>
    <row r="932" spans="1:19">
      <c r="A932" t="s">
        <v>6044</v>
      </c>
      <c r="B932" t="s">
        <v>6045</v>
      </c>
      <c r="C932" t="s">
        <v>2401</v>
      </c>
      <c r="D932" t="s">
        <v>2401</v>
      </c>
      <c r="E932" t="s">
        <v>2401</v>
      </c>
      <c r="F932" t="s">
        <v>2401</v>
      </c>
      <c r="G932" t="s">
        <v>2401</v>
      </c>
      <c r="H932" t="s">
        <v>2401</v>
      </c>
      <c r="I932" t="s">
        <v>2401</v>
      </c>
      <c r="J932" t="s">
        <v>6046</v>
      </c>
      <c r="K932" t="s">
        <v>2755</v>
      </c>
      <c r="L932" t="s">
        <v>2401</v>
      </c>
      <c r="M932" s="14">
        <v>45565.56527777778</v>
      </c>
      <c r="N932" t="s">
        <v>6047</v>
      </c>
      <c r="O932" t="s">
        <v>2401</v>
      </c>
      <c r="P932" t="s">
        <v>2401</v>
      </c>
      <c r="Q932" t="s">
        <v>2401</v>
      </c>
      <c r="R932" t="s">
        <v>2401</v>
      </c>
      <c r="S932" t="s">
        <v>2401</v>
      </c>
    </row>
    <row r="933" spans="1:19">
      <c r="A933" t="s">
        <v>6048</v>
      </c>
      <c r="B933" t="s">
        <v>1727</v>
      </c>
      <c r="C933" t="s">
        <v>2401</v>
      </c>
      <c r="D933" t="s">
        <v>2401</v>
      </c>
      <c r="E933" t="s">
        <v>2401</v>
      </c>
      <c r="F933" t="s">
        <v>2401</v>
      </c>
      <c r="G933" t="s">
        <v>2401</v>
      </c>
      <c r="H933" t="s">
        <v>2401</v>
      </c>
      <c r="I933" t="s">
        <v>2401</v>
      </c>
      <c r="J933" t="s">
        <v>6049</v>
      </c>
      <c r="K933" t="s">
        <v>3663</v>
      </c>
      <c r="L933" t="s">
        <v>2401</v>
      </c>
      <c r="M933" s="14">
        <v>45426.583333333336</v>
      </c>
      <c r="N933" t="s">
        <v>6050</v>
      </c>
      <c r="O933" t="s">
        <v>6051</v>
      </c>
      <c r="P933" t="s">
        <v>6052</v>
      </c>
      <c r="Q933">
        <v>1</v>
      </c>
      <c r="R933" t="s">
        <v>2401</v>
      </c>
      <c r="S933" t="s">
        <v>6053</v>
      </c>
    </row>
    <row r="934" spans="1:19">
      <c r="A934" t="s">
        <v>6054</v>
      </c>
      <c r="B934" t="s">
        <v>6055</v>
      </c>
      <c r="C934" t="s">
        <v>2401</v>
      </c>
      <c r="D934" t="s">
        <v>2401</v>
      </c>
      <c r="E934" t="s">
        <v>2401</v>
      </c>
      <c r="F934" t="s">
        <v>2401</v>
      </c>
      <c r="G934" t="s">
        <v>2401</v>
      </c>
      <c r="H934" t="s">
        <v>2401</v>
      </c>
      <c r="I934" t="s">
        <v>2401</v>
      </c>
      <c r="J934" t="s">
        <v>6056</v>
      </c>
      <c r="K934" t="s">
        <v>2877</v>
      </c>
      <c r="L934" t="s">
        <v>2401</v>
      </c>
      <c r="M934" s="14">
        <v>45399.554861111108</v>
      </c>
      <c r="N934" t="s">
        <v>6057</v>
      </c>
      <c r="O934" t="s">
        <v>6058</v>
      </c>
      <c r="P934" t="s">
        <v>2401</v>
      </c>
      <c r="Q934" t="s">
        <v>2401</v>
      </c>
      <c r="R934" t="s">
        <v>2401</v>
      </c>
      <c r="S934" t="s">
        <v>2401</v>
      </c>
    </row>
    <row r="935" spans="1:19">
      <c r="A935" t="s">
        <v>6059</v>
      </c>
      <c r="B935" t="s">
        <v>6060</v>
      </c>
      <c r="C935" t="s">
        <v>2401</v>
      </c>
      <c r="D935" t="s">
        <v>2401</v>
      </c>
      <c r="E935" t="s">
        <v>2401</v>
      </c>
      <c r="F935" t="s">
        <v>2401</v>
      </c>
      <c r="G935" t="s">
        <v>2401</v>
      </c>
      <c r="H935" t="s">
        <v>2401</v>
      </c>
      <c r="I935" t="s">
        <v>2401</v>
      </c>
      <c r="J935" t="s">
        <v>6061</v>
      </c>
      <c r="K935" t="s">
        <v>2433</v>
      </c>
      <c r="L935" t="s">
        <v>2401</v>
      </c>
      <c r="M935" s="14">
        <v>45565.566666666666</v>
      </c>
      <c r="N935" t="s">
        <v>6062</v>
      </c>
      <c r="O935" t="s">
        <v>6063</v>
      </c>
      <c r="P935" t="s">
        <v>2401</v>
      </c>
      <c r="Q935" t="s">
        <v>2401</v>
      </c>
      <c r="R935" t="s">
        <v>2401</v>
      </c>
      <c r="S935" t="s">
        <v>2401</v>
      </c>
    </row>
    <row r="936" spans="1:19">
      <c r="A936" t="s">
        <v>6064</v>
      </c>
      <c r="B936" t="s">
        <v>6065</v>
      </c>
      <c r="C936" t="s">
        <v>2401</v>
      </c>
      <c r="D936" t="s">
        <v>2401</v>
      </c>
      <c r="E936" t="s">
        <v>2401</v>
      </c>
      <c r="F936" t="s">
        <v>2401</v>
      </c>
      <c r="G936" t="s">
        <v>2401</v>
      </c>
      <c r="H936" t="s">
        <v>2401</v>
      </c>
      <c r="I936" t="s">
        <v>2401</v>
      </c>
      <c r="J936" t="s">
        <v>6066</v>
      </c>
      <c r="K936" t="s">
        <v>2406</v>
      </c>
      <c r="L936" t="s">
        <v>2401</v>
      </c>
      <c r="M936" s="14">
        <v>45534.874305555553</v>
      </c>
      <c r="N936" t="s">
        <v>6067</v>
      </c>
      <c r="O936" t="s">
        <v>2401</v>
      </c>
      <c r="P936" t="s">
        <v>2401</v>
      </c>
      <c r="Q936" t="s">
        <v>2401</v>
      </c>
      <c r="R936" t="s">
        <v>2401</v>
      </c>
      <c r="S936" t="s">
        <v>2401</v>
      </c>
    </row>
    <row r="937" spans="1:19">
      <c r="A937" t="s">
        <v>6068</v>
      </c>
      <c r="B937" t="s">
        <v>6069</v>
      </c>
      <c r="C937" t="s">
        <v>2401</v>
      </c>
      <c r="D937" t="s">
        <v>2401</v>
      </c>
      <c r="E937" t="s">
        <v>2401</v>
      </c>
      <c r="F937" t="s">
        <v>2401</v>
      </c>
      <c r="G937" t="s">
        <v>2401</v>
      </c>
      <c r="H937" t="s">
        <v>2401</v>
      </c>
      <c r="I937" t="s">
        <v>2401</v>
      </c>
      <c r="J937" t="s">
        <v>2401</v>
      </c>
      <c r="K937" t="s">
        <v>2401</v>
      </c>
      <c r="L937" t="s">
        <v>2401</v>
      </c>
      <c r="M937" s="14">
        <v>45399.554861111108</v>
      </c>
      <c r="N937" t="s">
        <v>2401</v>
      </c>
      <c r="O937" t="s">
        <v>2401</v>
      </c>
      <c r="P937" t="s">
        <v>2401</v>
      </c>
      <c r="Q937" t="s">
        <v>2401</v>
      </c>
      <c r="R937" t="s">
        <v>2401</v>
      </c>
      <c r="S937" t="s">
        <v>2401</v>
      </c>
    </row>
    <row r="938" spans="1:19">
      <c r="A938" t="s">
        <v>6070</v>
      </c>
      <c r="B938" t="s">
        <v>6071</v>
      </c>
      <c r="C938" t="s">
        <v>2401</v>
      </c>
      <c r="D938" t="s">
        <v>2401</v>
      </c>
      <c r="E938" t="s">
        <v>2401</v>
      </c>
      <c r="F938" t="s">
        <v>2401</v>
      </c>
      <c r="G938" t="s">
        <v>2401</v>
      </c>
      <c r="H938" t="s">
        <v>2401</v>
      </c>
      <c r="I938" t="s">
        <v>2401</v>
      </c>
      <c r="J938" t="s">
        <v>6072</v>
      </c>
      <c r="K938" t="s">
        <v>2433</v>
      </c>
      <c r="L938" t="s">
        <v>2401</v>
      </c>
      <c r="M938" s="14">
        <v>45565.663888888892</v>
      </c>
      <c r="N938" t="s">
        <v>6073</v>
      </c>
      <c r="O938" t="s">
        <v>6074</v>
      </c>
      <c r="P938" t="s">
        <v>2401</v>
      </c>
      <c r="Q938" t="s">
        <v>2401</v>
      </c>
      <c r="R938" t="s">
        <v>2401</v>
      </c>
      <c r="S938" t="s">
        <v>2401</v>
      </c>
    </row>
    <row r="939" spans="1:19">
      <c r="A939" t="s">
        <v>6075</v>
      </c>
      <c r="B939" t="s">
        <v>6076</v>
      </c>
      <c r="C939" t="s">
        <v>2401</v>
      </c>
      <c r="D939" t="s">
        <v>2401</v>
      </c>
      <c r="E939" t="s">
        <v>2401</v>
      </c>
      <c r="F939" t="s">
        <v>2401</v>
      </c>
      <c r="G939" t="s">
        <v>2401</v>
      </c>
      <c r="H939" t="s">
        <v>2401</v>
      </c>
      <c r="I939" t="s">
        <v>2401</v>
      </c>
      <c r="J939" t="s">
        <v>6077</v>
      </c>
      <c r="K939" t="s">
        <v>2438</v>
      </c>
      <c r="L939" t="s">
        <v>2401</v>
      </c>
      <c r="M939" s="14">
        <v>45565.55</v>
      </c>
      <c r="N939" t="s">
        <v>6078</v>
      </c>
      <c r="O939" t="s">
        <v>6079</v>
      </c>
      <c r="P939" t="s">
        <v>2401</v>
      </c>
      <c r="Q939" t="s">
        <v>2401</v>
      </c>
      <c r="R939" t="s">
        <v>2401</v>
      </c>
      <c r="S939" t="s">
        <v>2401</v>
      </c>
    </row>
    <row r="940" spans="1:19">
      <c r="A940" t="s">
        <v>6080</v>
      </c>
      <c r="B940" t="s">
        <v>6081</v>
      </c>
      <c r="C940" t="s">
        <v>2401</v>
      </c>
      <c r="D940" t="s">
        <v>2401</v>
      </c>
      <c r="E940" t="s">
        <v>2401</v>
      </c>
      <c r="F940" t="s">
        <v>2401</v>
      </c>
      <c r="G940" t="s">
        <v>2401</v>
      </c>
      <c r="H940" t="s">
        <v>2401</v>
      </c>
      <c r="I940" t="s">
        <v>2401</v>
      </c>
      <c r="J940" t="s">
        <v>6082</v>
      </c>
      <c r="K940" t="s">
        <v>2433</v>
      </c>
      <c r="L940" t="s">
        <v>2401</v>
      </c>
      <c r="M940" s="14">
        <v>45565.6875</v>
      </c>
      <c r="N940" t="s">
        <v>6083</v>
      </c>
      <c r="O940" t="s">
        <v>6084</v>
      </c>
      <c r="P940" t="s">
        <v>2401</v>
      </c>
      <c r="Q940" t="s">
        <v>2401</v>
      </c>
      <c r="R940" t="s">
        <v>2401</v>
      </c>
      <c r="S940" t="s">
        <v>2401</v>
      </c>
    </row>
    <row r="941" spans="1:19">
      <c r="A941" t="s">
        <v>6085</v>
      </c>
      <c r="B941" t="s">
        <v>6086</v>
      </c>
      <c r="C941" t="s">
        <v>2401</v>
      </c>
      <c r="D941" t="s">
        <v>2401</v>
      </c>
      <c r="E941" t="s">
        <v>2401</v>
      </c>
      <c r="F941" t="s">
        <v>2401</v>
      </c>
      <c r="G941" t="s">
        <v>2401</v>
      </c>
      <c r="H941" t="s">
        <v>2401</v>
      </c>
      <c r="I941" t="s">
        <v>2401</v>
      </c>
      <c r="J941" t="s">
        <v>2401</v>
      </c>
      <c r="K941" t="s">
        <v>2401</v>
      </c>
      <c r="L941" t="s">
        <v>2401</v>
      </c>
      <c r="M941" s="14">
        <v>45422.895833333336</v>
      </c>
      <c r="N941" t="s">
        <v>2401</v>
      </c>
      <c r="O941" t="s">
        <v>2401</v>
      </c>
      <c r="P941" t="s">
        <v>2401</v>
      </c>
      <c r="Q941" t="s">
        <v>2401</v>
      </c>
      <c r="R941" t="s">
        <v>2401</v>
      </c>
      <c r="S941" t="s">
        <v>2401</v>
      </c>
    </row>
    <row r="942" spans="1:19">
      <c r="A942" t="s">
        <v>6087</v>
      </c>
      <c r="B942" t="s">
        <v>6088</v>
      </c>
      <c r="C942" t="s">
        <v>2401</v>
      </c>
      <c r="D942" t="s">
        <v>2401</v>
      </c>
      <c r="E942" t="s">
        <v>2401</v>
      </c>
      <c r="F942" t="s">
        <v>2401</v>
      </c>
      <c r="G942" t="s">
        <v>2401</v>
      </c>
      <c r="H942" t="s">
        <v>2401</v>
      </c>
      <c r="I942" t="s">
        <v>2401</v>
      </c>
      <c r="J942" t="s">
        <v>6089</v>
      </c>
      <c r="K942" t="s">
        <v>2433</v>
      </c>
      <c r="L942" t="s">
        <v>2401</v>
      </c>
      <c r="M942" s="14">
        <v>45565.656944444447</v>
      </c>
      <c r="N942" t="s">
        <v>6090</v>
      </c>
      <c r="O942" t="s">
        <v>6091</v>
      </c>
      <c r="P942" t="s">
        <v>2401</v>
      </c>
      <c r="Q942" t="s">
        <v>2401</v>
      </c>
      <c r="R942" t="s">
        <v>2401</v>
      </c>
      <c r="S942" t="s">
        <v>2401</v>
      </c>
    </row>
    <row r="943" spans="1:19">
      <c r="A943" t="s">
        <v>6092</v>
      </c>
      <c r="B943" t="s">
        <v>6093</v>
      </c>
      <c r="C943" t="s">
        <v>2401</v>
      </c>
      <c r="D943" t="s">
        <v>2401</v>
      </c>
      <c r="E943" t="s">
        <v>2401</v>
      </c>
      <c r="F943" t="s">
        <v>2401</v>
      </c>
      <c r="G943" t="s">
        <v>2401</v>
      </c>
      <c r="H943" t="s">
        <v>2401</v>
      </c>
      <c r="I943" t="s">
        <v>2401</v>
      </c>
      <c r="J943" t="s">
        <v>6094</v>
      </c>
      <c r="K943" t="s">
        <v>2615</v>
      </c>
      <c r="L943" t="s">
        <v>2401</v>
      </c>
      <c r="M943" s="14">
        <v>45565.645138888889</v>
      </c>
      <c r="N943" t="s">
        <v>6095</v>
      </c>
      <c r="O943" t="s">
        <v>6096</v>
      </c>
      <c r="P943" t="s">
        <v>2401</v>
      </c>
      <c r="Q943" t="s">
        <v>2401</v>
      </c>
      <c r="R943" t="s">
        <v>2401</v>
      </c>
      <c r="S943" t="s">
        <v>2401</v>
      </c>
    </row>
    <row r="944" spans="1:19">
      <c r="A944" t="s">
        <v>6097</v>
      </c>
      <c r="B944" t="s">
        <v>6098</v>
      </c>
      <c r="C944" t="s">
        <v>2401</v>
      </c>
      <c r="D944" t="s">
        <v>2401</v>
      </c>
      <c r="E944" t="s">
        <v>2401</v>
      </c>
      <c r="F944" t="s">
        <v>2401</v>
      </c>
      <c r="G944" t="s">
        <v>2401</v>
      </c>
      <c r="H944" t="s">
        <v>2401</v>
      </c>
      <c r="I944" t="s">
        <v>2401</v>
      </c>
      <c r="J944" t="s">
        <v>6099</v>
      </c>
      <c r="K944" t="s">
        <v>2492</v>
      </c>
      <c r="L944" t="s">
        <v>2401</v>
      </c>
      <c r="M944" s="14">
        <v>45565.656944444447</v>
      </c>
      <c r="N944" t="s">
        <v>6100</v>
      </c>
      <c r="O944" t="s">
        <v>2401</v>
      </c>
      <c r="P944" t="s">
        <v>2401</v>
      </c>
      <c r="Q944" t="s">
        <v>2401</v>
      </c>
      <c r="R944" t="s">
        <v>2401</v>
      </c>
      <c r="S944" t="s">
        <v>2401</v>
      </c>
    </row>
    <row r="945" spans="1:19">
      <c r="A945" t="s">
        <v>6101</v>
      </c>
      <c r="B945" t="s">
        <v>6098</v>
      </c>
      <c r="C945" t="s">
        <v>2401</v>
      </c>
      <c r="D945" t="s">
        <v>2401</v>
      </c>
      <c r="E945" t="s">
        <v>2401</v>
      </c>
      <c r="F945" t="s">
        <v>2401</v>
      </c>
      <c r="G945" t="s">
        <v>2401</v>
      </c>
      <c r="H945" t="s">
        <v>2401</v>
      </c>
      <c r="I945" t="s">
        <v>2401</v>
      </c>
      <c r="J945" t="s">
        <v>6099</v>
      </c>
      <c r="K945" t="s">
        <v>2492</v>
      </c>
      <c r="L945" t="s">
        <v>2401</v>
      </c>
      <c r="M945" s="14">
        <v>45565.656944444447</v>
      </c>
      <c r="N945" t="s">
        <v>6100</v>
      </c>
      <c r="O945" t="s">
        <v>2401</v>
      </c>
      <c r="P945" t="s">
        <v>2401</v>
      </c>
      <c r="Q945" t="s">
        <v>2401</v>
      </c>
      <c r="R945" t="s">
        <v>2401</v>
      </c>
      <c r="S945" t="s">
        <v>2401</v>
      </c>
    </row>
    <row r="946" spans="1:19">
      <c r="A946" t="s">
        <v>6102</v>
      </c>
      <c r="B946" t="s">
        <v>6103</v>
      </c>
      <c r="C946" t="s">
        <v>2401</v>
      </c>
      <c r="D946" t="s">
        <v>2401</v>
      </c>
      <c r="E946" t="s">
        <v>2401</v>
      </c>
      <c r="F946" t="s">
        <v>2401</v>
      </c>
      <c r="G946" t="s">
        <v>2401</v>
      </c>
      <c r="H946" t="s">
        <v>2401</v>
      </c>
      <c r="I946" t="s">
        <v>2401</v>
      </c>
      <c r="J946" t="s">
        <v>6104</v>
      </c>
      <c r="K946" t="s">
        <v>2433</v>
      </c>
      <c r="L946" t="s">
        <v>2401</v>
      </c>
      <c r="M946" s="14">
        <v>45565.56527777778</v>
      </c>
      <c r="N946" t="s">
        <v>6105</v>
      </c>
      <c r="O946" t="s">
        <v>6106</v>
      </c>
      <c r="P946" t="s">
        <v>2401</v>
      </c>
      <c r="Q946" t="s">
        <v>2401</v>
      </c>
      <c r="R946" t="s">
        <v>2401</v>
      </c>
      <c r="S946" t="s">
        <v>2401</v>
      </c>
    </row>
    <row r="947" spans="1:19">
      <c r="A947" t="s">
        <v>6107</v>
      </c>
      <c r="B947" t="s">
        <v>6108</v>
      </c>
      <c r="C947" t="s">
        <v>2401</v>
      </c>
      <c r="D947" t="s">
        <v>2401</v>
      </c>
      <c r="E947" t="s">
        <v>2401</v>
      </c>
      <c r="F947" t="s">
        <v>2401</v>
      </c>
      <c r="G947" t="s">
        <v>2401</v>
      </c>
      <c r="H947" t="s">
        <v>2401</v>
      </c>
      <c r="I947" t="s">
        <v>2401</v>
      </c>
      <c r="J947" t="s">
        <v>6109</v>
      </c>
      <c r="K947" t="s">
        <v>3473</v>
      </c>
      <c r="L947" t="s">
        <v>2401</v>
      </c>
      <c r="M947" s="14">
        <v>45565.691666666666</v>
      </c>
      <c r="N947" t="s">
        <v>6110</v>
      </c>
      <c r="O947" t="s">
        <v>6111</v>
      </c>
      <c r="P947" t="s">
        <v>2401</v>
      </c>
      <c r="Q947" t="s">
        <v>2401</v>
      </c>
      <c r="R947" t="s">
        <v>2401</v>
      </c>
      <c r="S947" t="s">
        <v>2401</v>
      </c>
    </row>
    <row r="948" spans="1:19">
      <c r="A948" t="s">
        <v>6112</v>
      </c>
      <c r="B948" t="s">
        <v>780</v>
      </c>
      <c r="C948" t="s">
        <v>2401</v>
      </c>
      <c r="D948" t="s">
        <v>2401</v>
      </c>
      <c r="E948" t="s">
        <v>2401</v>
      </c>
      <c r="F948" t="s">
        <v>2401</v>
      </c>
      <c r="G948" t="s">
        <v>2401</v>
      </c>
      <c r="H948" t="s">
        <v>2401</v>
      </c>
      <c r="I948" t="s">
        <v>2401</v>
      </c>
      <c r="J948" t="s">
        <v>6113</v>
      </c>
      <c r="K948" t="s">
        <v>2406</v>
      </c>
      <c r="L948" t="s">
        <v>1031</v>
      </c>
      <c r="M948" s="14">
        <v>45422.943749999999</v>
      </c>
      <c r="N948" t="s">
        <v>6114</v>
      </c>
      <c r="O948" t="s">
        <v>6115</v>
      </c>
      <c r="P948" t="s">
        <v>2401</v>
      </c>
      <c r="Q948" t="s">
        <v>2401</v>
      </c>
      <c r="R948" t="s">
        <v>2401</v>
      </c>
      <c r="S948" t="s">
        <v>2401</v>
      </c>
    </row>
    <row r="949" spans="1:19">
      <c r="A949" t="s">
        <v>6116</v>
      </c>
      <c r="B949" t="s">
        <v>6117</v>
      </c>
      <c r="C949" t="s">
        <v>2401</v>
      </c>
      <c r="D949" t="s">
        <v>2401</v>
      </c>
      <c r="E949" t="s">
        <v>2401</v>
      </c>
      <c r="F949" t="s">
        <v>2401</v>
      </c>
      <c r="G949" t="s">
        <v>2401</v>
      </c>
      <c r="H949" t="s">
        <v>2401</v>
      </c>
      <c r="I949" t="s">
        <v>2401</v>
      </c>
      <c r="J949" t="s">
        <v>6118</v>
      </c>
      <c r="K949" t="s">
        <v>2438</v>
      </c>
      <c r="L949" t="s">
        <v>2401</v>
      </c>
      <c r="M949" s="14">
        <v>45450.630555555559</v>
      </c>
      <c r="N949" t="s">
        <v>6119</v>
      </c>
      <c r="O949" t="s">
        <v>6120</v>
      </c>
      <c r="P949" t="s">
        <v>6121</v>
      </c>
      <c r="Q949">
        <v>1</v>
      </c>
      <c r="R949" t="s">
        <v>2401</v>
      </c>
      <c r="S949" t="s">
        <v>6122</v>
      </c>
    </row>
    <row r="950" spans="1:19">
      <c r="A950" t="s">
        <v>6123</v>
      </c>
      <c r="B950" t="s">
        <v>6124</v>
      </c>
      <c r="C950" t="s">
        <v>2401</v>
      </c>
      <c r="D950" t="s">
        <v>2401</v>
      </c>
      <c r="E950" t="s">
        <v>2401</v>
      </c>
      <c r="F950" t="s">
        <v>2401</v>
      </c>
      <c r="G950" t="s">
        <v>2401</v>
      </c>
      <c r="H950" t="s">
        <v>2401</v>
      </c>
      <c r="I950" t="s">
        <v>2401</v>
      </c>
      <c r="J950" t="s">
        <v>6125</v>
      </c>
      <c r="K950" t="s">
        <v>2406</v>
      </c>
      <c r="L950" t="s">
        <v>2401</v>
      </c>
      <c r="M950" s="14">
        <v>45399.554861111108</v>
      </c>
      <c r="N950" t="s">
        <v>6126</v>
      </c>
      <c r="O950" t="s">
        <v>2401</v>
      </c>
      <c r="P950" t="s">
        <v>2401</v>
      </c>
      <c r="Q950" t="s">
        <v>2401</v>
      </c>
      <c r="R950" t="s">
        <v>2401</v>
      </c>
      <c r="S950" t="s">
        <v>2401</v>
      </c>
    </row>
    <row r="951" spans="1:19">
      <c r="A951" t="s">
        <v>6127</v>
      </c>
      <c r="B951" t="s">
        <v>6128</v>
      </c>
      <c r="C951" t="s">
        <v>2401</v>
      </c>
      <c r="D951" t="s">
        <v>2401</v>
      </c>
      <c r="E951" t="s">
        <v>2401</v>
      </c>
      <c r="F951" t="s">
        <v>2401</v>
      </c>
      <c r="G951" t="s">
        <v>2401</v>
      </c>
      <c r="H951" t="s">
        <v>2401</v>
      </c>
      <c r="I951" t="s">
        <v>2401</v>
      </c>
      <c r="J951" t="s">
        <v>6129</v>
      </c>
      <c r="K951" t="s">
        <v>4025</v>
      </c>
      <c r="L951" t="s">
        <v>2401</v>
      </c>
      <c r="M951" s="14">
        <v>45399.554861111108</v>
      </c>
      <c r="N951" t="s">
        <v>6130</v>
      </c>
      <c r="O951" t="s">
        <v>6131</v>
      </c>
      <c r="P951" t="s">
        <v>2401</v>
      </c>
      <c r="Q951" t="s">
        <v>2401</v>
      </c>
      <c r="R951" t="s">
        <v>2401</v>
      </c>
      <c r="S951" t="s">
        <v>2401</v>
      </c>
    </row>
    <row r="952" spans="1:19">
      <c r="A952" t="s">
        <v>6132</v>
      </c>
      <c r="B952" t="s">
        <v>6133</v>
      </c>
      <c r="C952" t="s">
        <v>2401</v>
      </c>
      <c r="D952" t="s">
        <v>2401</v>
      </c>
      <c r="E952" t="s">
        <v>2401</v>
      </c>
      <c r="F952" t="s">
        <v>2401</v>
      </c>
      <c r="G952" t="s">
        <v>2401</v>
      </c>
      <c r="H952" t="s">
        <v>2401</v>
      </c>
      <c r="I952" t="s">
        <v>2401</v>
      </c>
      <c r="J952" t="s">
        <v>6134</v>
      </c>
      <c r="K952" t="s">
        <v>2749</v>
      </c>
      <c r="L952" t="s">
        <v>2401</v>
      </c>
      <c r="M952" s="14">
        <v>45561.806944444441</v>
      </c>
      <c r="N952" t="s">
        <v>6135</v>
      </c>
      <c r="O952" t="s">
        <v>6136</v>
      </c>
      <c r="P952" t="s">
        <v>2401</v>
      </c>
      <c r="Q952" t="s">
        <v>2401</v>
      </c>
      <c r="R952" t="s">
        <v>2401</v>
      </c>
      <c r="S952" t="s">
        <v>2401</v>
      </c>
    </row>
    <row r="953" spans="1:19">
      <c r="A953" t="s">
        <v>6137</v>
      </c>
      <c r="B953" t="s">
        <v>6138</v>
      </c>
      <c r="C953" t="s">
        <v>2401</v>
      </c>
      <c r="D953" t="s">
        <v>2401</v>
      </c>
      <c r="E953" t="s">
        <v>2401</v>
      </c>
      <c r="F953" t="s">
        <v>2401</v>
      </c>
      <c r="G953" t="s">
        <v>2401</v>
      </c>
      <c r="H953" t="s">
        <v>2401</v>
      </c>
      <c r="I953" t="s">
        <v>2401</v>
      </c>
      <c r="J953" t="s">
        <v>6139</v>
      </c>
      <c r="K953" t="s">
        <v>2448</v>
      </c>
      <c r="L953" t="s">
        <v>2401</v>
      </c>
      <c r="M953" s="14">
        <v>45509.718055555553</v>
      </c>
      <c r="N953" t="s">
        <v>6140</v>
      </c>
      <c r="O953" t="s">
        <v>6141</v>
      </c>
      <c r="P953" t="s">
        <v>2401</v>
      </c>
      <c r="Q953" t="s">
        <v>2401</v>
      </c>
      <c r="R953" t="s">
        <v>2401</v>
      </c>
      <c r="S953" t="s">
        <v>2401</v>
      </c>
    </row>
    <row r="954" spans="1:19">
      <c r="A954" t="s">
        <v>6142</v>
      </c>
      <c r="B954" t="s">
        <v>6143</v>
      </c>
      <c r="C954" t="s">
        <v>2401</v>
      </c>
      <c r="D954" t="s">
        <v>2401</v>
      </c>
      <c r="E954" t="s">
        <v>2401</v>
      </c>
      <c r="F954" t="s">
        <v>2401</v>
      </c>
      <c r="G954" t="s">
        <v>2401</v>
      </c>
      <c r="H954" t="s">
        <v>2401</v>
      </c>
      <c r="I954" t="s">
        <v>2401</v>
      </c>
      <c r="J954" t="s">
        <v>6144</v>
      </c>
      <c r="K954" t="s">
        <v>2406</v>
      </c>
      <c r="L954" t="s">
        <v>2401</v>
      </c>
      <c r="M954" s="14">
        <v>45517.415972222225</v>
      </c>
      <c r="N954" t="s">
        <v>6145</v>
      </c>
      <c r="O954" t="s">
        <v>2401</v>
      </c>
      <c r="P954" t="s">
        <v>2401</v>
      </c>
      <c r="Q954" t="s">
        <v>2401</v>
      </c>
      <c r="R954" t="s">
        <v>2401</v>
      </c>
      <c r="S954" t="s">
        <v>2401</v>
      </c>
    </row>
    <row r="955" spans="1:19">
      <c r="A955" t="s">
        <v>6146</v>
      </c>
      <c r="B955" t="s">
        <v>6147</v>
      </c>
      <c r="C955" t="s">
        <v>2401</v>
      </c>
      <c r="D955" t="s">
        <v>2401</v>
      </c>
      <c r="E955" t="s">
        <v>2401</v>
      </c>
      <c r="F955" t="s">
        <v>2401</v>
      </c>
      <c r="G955" t="s">
        <v>2401</v>
      </c>
      <c r="H955" t="s">
        <v>2401</v>
      </c>
      <c r="I955" t="s">
        <v>2401</v>
      </c>
      <c r="J955" t="s">
        <v>6148</v>
      </c>
      <c r="K955" t="s">
        <v>2433</v>
      </c>
      <c r="L955" t="s">
        <v>2401</v>
      </c>
      <c r="M955" s="14">
        <v>45565.65347222222</v>
      </c>
      <c r="N955" t="s">
        <v>6149</v>
      </c>
      <c r="O955" t="s">
        <v>6150</v>
      </c>
      <c r="P955" t="s">
        <v>2401</v>
      </c>
      <c r="Q955" t="s">
        <v>2401</v>
      </c>
      <c r="R955" t="s">
        <v>2401</v>
      </c>
      <c r="S955" t="s">
        <v>2401</v>
      </c>
    </row>
    <row r="956" spans="1:19">
      <c r="A956" t="s">
        <v>6151</v>
      </c>
      <c r="B956" t="s">
        <v>6152</v>
      </c>
      <c r="C956" t="s">
        <v>2401</v>
      </c>
      <c r="D956" t="s">
        <v>2401</v>
      </c>
      <c r="E956" t="s">
        <v>2401</v>
      </c>
      <c r="F956" t="s">
        <v>2401</v>
      </c>
      <c r="G956" t="s">
        <v>2401</v>
      </c>
      <c r="H956" t="s">
        <v>2401</v>
      </c>
      <c r="I956" t="s">
        <v>2401</v>
      </c>
      <c r="J956" t="s">
        <v>6153</v>
      </c>
      <c r="K956" t="s">
        <v>2548</v>
      </c>
      <c r="L956" t="s">
        <v>2401</v>
      </c>
      <c r="M956" s="14">
        <v>45455.719444444447</v>
      </c>
      <c r="N956" t="s">
        <v>6154</v>
      </c>
      <c r="O956" t="s">
        <v>6155</v>
      </c>
      <c r="P956" t="s">
        <v>2401</v>
      </c>
      <c r="Q956" t="s">
        <v>2401</v>
      </c>
      <c r="R956" t="s">
        <v>2401</v>
      </c>
      <c r="S956" t="s">
        <v>2401</v>
      </c>
    </row>
    <row r="957" spans="1:19">
      <c r="A957" t="s">
        <v>6156</v>
      </c>
      <c r="B957" t="s">
        <v>6157</v>
      </c>
      <c r="C957" t="s">
        <v>2401</v>
      </c>
      <c r="D957" t="s">
        <v>2401</v>
      </c>
      <c r="E957" t="s">
        <v>2401</v>
      </c>
      <c r="F957" t="s">
        <v>2401</v>
      </c>
      <c r="G957" t="s">
        <v>2401</v>
      </c>
      <c r="H957" t="s">
        <v>2401</v>
      </c>
      <c r="I957" t="s">
        <v>2401</v>
      </c>
      <c r="J957" t="s">
        <v>6158</v>
      </c>
      <c r="K957" t="s">
        <v>3308</v>
      </c>
      <c r="L957" t="s">
        <v>2401</v>
      </c>
      <c r="M957" s="14">
        <v>45399.554861111108</v>
      </c>
      <c r="N957" t="s">
        <v>6159</v>
      </c>
      <c r="O957" t="s">
        <v>6160</v>
      </c>
      <c r="P957" t="s">
        <v>2401</v>
      </c>
      <c r="Q957" t="s">
        <v>2401</v>
      </c>
      <c r="R957" t="s">
        <v>2401</v>
      </c>
      <c r="S957" t="s">
        <v>2401</v>
      </c>
    </row>
    <row r="958" spans="1:19">
      <c r="A958" t="s">
        <v>6161</v>
      </c>
      <c r="B958" t="s">
        <v>6162</v>
      </c>
      <c r="C958" t="s">
        <v>2401</v>
      </c>
      <c r="D958" t="s">
        <v>2401</v>
      </c>
      <c r="E958" t="s">
        <v>2401</v>
      </c>
      <c r="F958" t="s">
        <v>2401</v>
      </c>
      <c r="G958" t="s">
        <v>2401</v>
      </c>
      <c r="H958" t="s">
        <v>2401</v>
      </c>
      <c r="I958" t="s">
        <v>2401</v>
      </c>
      <c r="J958" t="s">
        <v>6163</v>
      </c>
      <c r="K958" t="s">
        <v>2438</v>
      </c>
      <c r="L958" t="s">
        <v>2401</v>
      </c>
      <c r="M958" s="14">
        <v>45399.554861111108</v>
      </c>
      <c r="N958" t="s">
        <v>6164</v>
      </c>
      <c r="O958" t="s">
        <v>2401</v>
      </c>
      <c r="P958" t="s">
        <v>2401</v>
      </c>
      <c r="Q958" t="s">
        <v>2401</v>
      </c>
      <c r="R958" t="s">
        <v>2401</v>
      </c>
      <c r="S958" t="s">
        <v>2401</v>
      </c>
    </row>
    <row r="959" spans="1:19">
      <c r="A959" t="s">
        <v>6165</v>
      </c>
      <c r="B959" t="s">
        <v>6166</v>
      </c>
      <c r="C959" t="s">
        <v>2401</v>
      </c>
      <c r="D959" t="s">
        <v>2401</v>
      </c>
      <c r="E959" t="s">
        <v>2401</v>
      </c>
      <c r="F959" t="s">
        <v>2401</v>
      </c>
      <c r="G959" t="s">
        <v>2401</v>
      </c>
      <c r="H959" t="s">
        <v>2401</v>
      </c>
      <c r="I959" t="s">
        <v>2401</v>
      </c>
      <c r="J959" t="s">
        <v>6167</v>
      </c>
      <c r="K959" t="s">
        <v>2433</v>
      </c>
      <c r="L959" t="s">
        <v>2401</v>
      </c>
      <c r="M959" s="14">
        <v>45565.703472222223</v>
      </c>
      <c r="N959" t="s">
        <v>6168</v>
      </c>
      <c r="O959" t="s">
        <v>6169</v>
      </c>
      <c r="P959" t="s">
        <v>2401</v>
      </c>
      <c r="Q959" t="s">
        <v>2401</v>
      </c>
      <c r="R959" t="s">
        <v>2401</v>
      </c>
      <c r="S959" t="s">
        <v>2401</v>
      </c>
    </row>
    <row r="960" spans="1:19">
      <c r="A960" t="s">
        <v>6170</v>
      </c>
      <c r="B960" t="s">
        <v>6171</v>
      </c>
      <c r="C960" t="s">
        <v>2401</v>
      </c>
      <c r="D960" t="s">
        <v>2401</v>
      </c>
      <c r="E960" t="s">
        <v>2401</v>
      </c>
      <c r="F960" t="s">
        <v>2401</v>
      </c>
      <c r="G960" t="s">
        <v>2401</v>
      </c>
      <c r="H960" t="s">
        <v>2401</v>
      </c>
      <c r="I960" t="s">
        <v>2401</v>
      </c>
      <c r="J960" t="s">
        <v>6172</v>
      </c>
      <c r="K960" t="s">
        <v>2433</v>
      </c>
      <c r="L960" t="s">
        <v>2401</v>
      </c>
      <c r="M960" s="14">
        <v>45565.703472222223</v>
      </c>
      <c r="N960" t="s">
        <v>6173</v>
      </c>
      <c r="O960" t="s">
        <v>2401</v>
      </c>
      <c r="P960" t="s">
        <v>2401</v>
      </c>
      <c r="Q960" t="s">
        <v>2401</v>
      </c>
      <c r="R960" t="s">
        <v>2401</v>
      </c>
      <c r="S960" t="s">
        <v>2401</v>
      </c>
    </row>
    <row r="961" spans="1:19">
      <c r="A961" t="s">
        <v>6174</v>
      </c>
      <c r="B961" t="s">
        <v>6175</v>
      </c>
      <c r="C961" t="s">
        <v>2401</v>
      </c>
      <c r="D961" t="s">
        <v>2401</v>
      </c>
      <c r="E961" t="s">
        <v>2401</v>
      </c>
      <c r="F961" t="s">
        <v>2401</v>
      </c>
      <c r="G961" t="s">
        <v>2401</v>
      </c>
      <c r="H961" t="s">
        <v>2401</v>
      </c>
      <c r="I961" t="s">
        <v>61</v>
      </c>
      <c r="J961" t="s">
        <v>6176</v>
      </c>
      <c r="K961" t="s">
        <v>2401</v>
      </c>
      <c r="L961" t="s">
        <v>2401</v>
      </c>
      <c r="M961" s="14">
        <v>45399.554861111108</v>
      </c>
      <c r="N961" t="s">
        <v>6177</v>
      </c>
      <c r="O961" t="s">
        <v>2401</v>
      </c>
      <c r="P961" t="s">
        <v>2401</v>
      </c>
      <c r="Q961" t="s">
        <v>2401</v>
      </c>
      <c r="R961" t="s">
        <v>2401</v>
      </c>
      <c r="S961" t="s">
        <v>2401</v>
      </c>
    </row>
    <row r="962" spans="1:19">
      <c r="A962" t="s">
        <v>6178</v>
      </c>
      <c r="B962" t="s">
        <v>6175</v>
      </c>
      <c r="C962" t="s">
        <v>2401</v>
      </c>
      <c r="D962" t="s">
        <v>2401</v>
      </c>
      <c r="E962" t="s">
        <v>2401</v>
      </c>
      <c r="F962" t="s">
        <v>2401</v>
      </c>
      <c r="G962" t="s">
        <v>2401</v>
      </c>
      <c r="H962" t="s">
        <v>2401</v>
      </c>
      <c r="I962" t="s">
        <v>2401</v>
      </c>
      <c r="J962" t="s">
        <v>2401</v>
      </c>
      <c r="K962" t="s">
        <v>2401</v>
      </c>
      <c r="L962" t="s">
        <v>2401</v>
      </c>
      <c r="M962" s="14">
        <v>45390.607638888891</v>
      </c>
      <c r="N962" t="s">
        <v>2401</v>
      </c>
      <c r="O962" t="s">
        <v>2401</v>
      </c>
      <c r="P962" t="s">
        <v>2401</v>
      </c>
      <c r="Q962" t="s">
        <v>2401</v>
      </c>
      <c r="R962" t="s">
        <v>2401</v>
      </c>
      <c r="S962" t="s">
        <v>2401</v>
      </c>
    </row>
    <row r="963" spans="1:19">
      <c r="A963" t="s">
        <v>6179</v>
      </c>
      <c r="B963" t="s">
        <v>6180</v>
      </c>
      <c r="C963" t="s">
        <v>2401</v>
      </c>
      <c r="D963" t="s">
        <v>2401</v>
      </c>
      <c r="E963" t="s">
        <v>2401</v>
      </c>
      <c r="F963" t="s">
        <v>2401</v>
      </c>
      <c r="G963" t="s">
        <v>2401</v>
      </c>
      <c r="H963" t="s">
        <v>2401</v>
      </c>
      <c r="I963" t="s">
        <v>2401</v>
      </c>
      <c r="J963" t="s">
        <v>6181</v>
      </c>
      <c r="K963" t="s">
        <v>3071</v>
      </c>
      <c r="L963" t="s">
        <v>2401</v>
      </c>
      <c r="M963" s="14">
        <v>45565.688888888886</v>
      </c>
      <c r="N963" t="s">
        <v>6182</v>
      </c>
      <c r="O963" t="s">
        <v>6183</v>
      </c>
      <c r="P963" t="s">
        <v>2401</v>
      </c>
      <c r="Q963" t="s">
        <v>2401</v>
      </c>
      <c r="R963" t="s">
        <v>2401</v>
      </c>
      <c r="S963" t="s">
        <v>2401</v>
      </c>
    </row>
    <row r="964" spans="1:19">
      <c r="A964" t="s">
        <v>6184</v>
      </c>
      <c r="B964" t="s">
        <v>6185</v>
      </c>
      <c r="C964" t="s">
        <v>2401</v>
      </c>
      <c r="D964" t="s">
        <v>2401</v>
      </c>
      <c r="E964" t="s">
        <v>2401</v>
      </c>
      <c r="F964" t="s">
        <v>2401</v>
      </c>
      <c r="G964" t="s">
        <v>2401</v>
      </c>
      <c r="H964" t="s">
        <v>2401</v>
      </c>
      <c r="I964" t="s">
        <v>2401</v>
      </c>
      <c r="J964" t="s">
        <v>6186</v>
      </c>
      <c r="K964" t="s">
        <v>3473</v>
      </c>
      <c r="L964" t="s">
        <v>2401</v>
      </c>
      <c r="M964" s="14">
        <v>45565.688888888886</v>
      </c>
      <c r="N964" t="s">
        <v>6187</v>
      </c>
      <c r="O964" t="s">
        <v>6188</v>
      </c>
      <c r="P964" t="s">
        <v>2401</v>
      </c>
      <c r="Q964" t="s">
        <v>2401</v>
      </c>
      <c r="R964" t="s">
        <v>2401</v>
      </c>
      <c r="S964" t="s">
        <v>2401</v>
      </c>
    </row>
    <row r="965" spans="1:19">
      <c r="A965" t="s">
        <v>6189</v>
      </c>
      <c r="B965" t="s">
        <v>6190</v>
      </c>
      <c r="C965" t="s">
        <v>2564</v>
      </c>
      <c r="D965" t="s">
        <v>2401</v>
      </c>
      <c r="E965" t="s">
        <v>2401</v>
      </c>
      <c r="F965" t="s">
        <v>2401</v>
      </c>
      <c r="G965" t="s">
        <v>2401</v>
      </c>
      <c r="H965" t="s">
        <v>2401</v>
      </c>
      <c r="I965" t="s">
        <v>2401</v>
      </c>
      <c r="J965" t="s">
        <v>6191</v>
      </c>
      <c r="K965" t="s">
        <v>2406</v>
      </c>
      <c r="L965" t="s">
        <v>2401</v>
      </c>
      <c r="M965" s="14">
        <v>45425.460416666669</v>
      </c>
      <c r="N965" t="s">
        <v>6192</v>
      </c>
      <c r="O965" t="s">
        <v>6193</v>
      </c>
      <c r="P965" t="s">
        <v>2401</v>
      </c>
      <c r="Q965" t="s">
        <v>2401</v>
      </c>
      <c r="R965" t="s">
        <v>2401</v>
      </c>
      <c r="S965" t="s">
        <v>2401</v>
      </c>
    </row>
    <row r="966" spans="1:19">
      <c r="A966" t="s">
        <v>6194</v>
      </c>
      <c r="B966" t="s">
        <v>6195</v>
      </c>
      <c r="C966" t="s">
        <v>2401</v>
      </c>
      <c r="D966" t="s">
        <v>2401</v>
      </c>
      <c r="E966" t="s">
        <v>2401</v>
      </c>
      <c r="F966" t="s">
        <v>2401</v>
      </c>
      <c r="G966" t="s">
        <v>2401</v>
      </c>
      <c r="H966" t="s">
        <v>2401</v>
      </c>
      <c r="I966" t="s">
        <v>2401</v>
      </c>
      <c r="J966" t="s">
        <v>6196</v>
      </c>
      <c r="K966" t="s">
        <v>2406</v>
      </c>
      <c r="L966" t="s">
        <v>2401</v>
      </c>
      <c r="M966" s="14">
        <v>45534.874305555553</v>
      </c>
      <c r="N966" t="s">
        <v>6197</v>
      </c>
      <c r="O966" t="s">
        <v>6198</v>
      </c>
      <c r="P966" t="s">
        <v>2401</v>
      </c>
      <c r="Q966" t="s">
        <v>2401</v>
      </c>
      <c r="R966" t="s">
        <v>2401</v>
      </c>
      <c r="S966" t="s">
        <v>2401</v>
      </c>
    </row>
    <row r="967" spans="1:19">
      <c r="A967" t="s">
        <v>6199</v>
      </c>
      <c r="B967" t="s">
        <v>6200</v>
      </c>
      <c r="C967" t="s">
        <v>2401</v>
      </c>
      <c r="D967" t="s">
        <v>2401</v>
      </c>
      <c r="E967" t="s">
        <v>2401</v>
      </c>
      <c r="F967" t="s">
        <v>2401</v>
      </c>
      <c r="G967" t="s">
        <v>2401</v>
      </c>
      <c r="H967" t="s">
        <v>2401</v>
      </c>
      <c r="I967" t="s">
        <v>2401</v>
      </c>
      <c r="J967" t="s">
        <v>6201</v>
      </c>
      <c r="K967" t="s">
        <v>6202</v>
      </c>
      <c r="L967" t="s">
        <v>2401</v>
      </c>
      <c r="M967" s="14">
        <v>45399.554861111108</v>
      </c>
      <c r="N967" t="s">
        <v>6203</v>
      </c>
      <c r="O967" t="s">
        <v>6204</v>
      </c>
      <c r="P967" t="s">
        <v>2401</v>
      </c>
      <c r="Q967" t="s">
        <v>2401</v>
      </c>
      <c r="R967" t="s">
        <v>2401</v>
      </c>
      <c r="S967" t="s">
        <v>2401</v>
      </c>
    </row>
    <row r="968" spans="1:19">
      <c r="A968" t="s">
        <v>6205</v>
      </c>
      <c r="B968" t="s">
        <v>6206</v>
      </c>
      <c r="C968" t="s">
        <v>2401</v>
      </c>
      <c r="D968" t="s">
        <v>2401</v>
      </c>
      <c r="E968" t="s">
        <v>2401</v>
      </c>
      <c r="F968" t="s">
        <v>2401</v>
      </c>
      <c r="G968" t="s">
        <v>2401</v>
      </c>
      <c r="H968" t="s">
        <v>2401</v>
      </c>
      <c r="I968" t="s">
        <v>2401</v>
      </c>
      <c r="J968" t="s">
        <v>6207</v>
      </c>
      <c r="K968" t="s">
        <v>2486</v>
      </c>
      <c r="L968" t="s">
        <v>2401</v>
      </c>
      <c r="M968" s="14">
        <v>45399.554861111108</v>
      </c>
      <c r="N968" t="s">
        <v>6208</v>
      </c>
      <c r="O968" t="s">
        <v>6209</v>
      </c>
      <c r="P968" t="s">
        <v>2401</v>
      </c>
      <c r="Q968" t="s">
        <v>2401</v>
      </c>
      <c r="R968" t="s">
        <v>2401</v>
      </c>
      <c r="S968" t="s">
        <v>2401</v>
      </c>
    </row>
    <row r="969" spans="1:19">
      <c r="A969" t="s">
        <v>6210</v>
      </c>
      <c r="B969" t="s">
        <v>6211</v>
      </c>
      <c r="C969" t="s">
        <v>2401</v>
      </c>
      <c r="D969" t="s">
        <v>2401</v>
      </c>
      <c r="E969" t="s">
        <v>2401</v>
      </c>
      <c r="F969" t="s">
        <v>2401</v>
      </c>
      <c r="G969" t="s">
        <v>2401</v>
      </c>
      <c r="H969" t="s">
        <v>2401</v>
      </c>
      <c r="I969" t="s">
        <v>2401</v>
      </c>
      <c r="J969" t="s">
        <v>6212</v>
      </c>
      <c r="K969" t="s">
        <v>3308</v>
      </c>
      <c r="L969" t="s">
        <v>2401</v>
      </c>
      <c r="M969" s="14">
        <v>45534.874305555553</v>
      </c>
      <c r="N969" t="s">
        <v>6213</v>
      </c>
      <c r="O969" t="s">
        <v>6214</v>
      </c>
      <c r="P969" t="s">
        <v>2401</v>
      </c>
      <c r="Q969" t="s">
        <v>2401</v>
      </c>
      <c r="R969" t="s">
        <v>2401</v>
      </c>
      <c r="S969" t="s">
        <v>2401</v>
      </c>
    </row>
    <row r="970" spans="1:19">
      <c r="A970" t="s">
        <v>6215</v>
      </c>
      <c r="B970" t="s">
        <v>6216</v>
      </c>
      <c r="C970" t="s">
        <v>2401</v>
      </c>
      <c r="D970" t="s">
        <v>2401</v>
      </c>
      <c r="E970" t="s">
        <v>2401</v>
      </c>
      <c r="F970" t="s">
        <v>2401</v>
      </c>
      <c r="G970" t="s">
        <v>2401</v>
      </c>
      <c r="H970" t="s">
        <v>2401</v>
      </c>
      <c r="I970" t="s">
        <v>2401</v>
      </c>
      <c r="J970" t="s">
        <v>6217</v>
      </c>
      <c r="K970" t="s">
        <v>3308</v>
      </c>
      <c r="L970" t="s">
        <v>2401</v>
      </c>
      <c r="M970" s="14">
        <v>45399.554861111108</v>
      </c>
      <c r="N970" t="s">
        <v>6218</v>
      </c>
      <c r="O970" t="s">
        <v>6219</v>
      </c>
      <c r="P970" t="s">
        <v>2401</v>
      </c>
      <c r="Q970" t="s">
        <v>2401</v>
      </c>
      <c r="R970" t="s">
        <v>2401</v>
      </c>
      <c r="S970" t="s">
        <v>2401</v>
      </c>
    </row>
    <row r="971" spans="1:19">
      <c r="A971" t="s">
        <v>6220</v>
      </c>
      <c r="B971" t="s">
        <v>6221</v>
      </c>
      <c r="C971" t="s">
        <v>2401</v>
      </c>
      <c r="D971" t="s">
        <v>2401</v>
      </c>
      <c r="E971" t="s">
        <v>2401</v>
      </c>
      <c r="F971" t="s">
        <v>2401</v>
      </c>
      <c r="G971" t="s">
        <v>2401</v>
      </c>
      <c r="H971" t="s">
        <v>2401</v>
      </c>
      <c r="I971" t="s">
        <v>2401</v>
      </c>
      <c r="J971" t="s">
        <v>6222</v>
      </c>
      <c r="K971" t="s">
        <v>2433</v>
      </c>
      <c r="L971" t="s">
        <v>2401</v>
      </c>
      <c r="M971" s="14">
        <v>45565.661111111112</v>
      </c>
      <c r="N971" t="s">
        <v>6223</v>
      </c>
      <c r="O971" t="s">
        <v>6224</v>
      </c>
      <c r="P971" t="s">
        <v>2401</v>
      </c>
      <c r="Q971" t="s">
        <v>2401</v>
      </c>
      <c r="R971" t="s">
        <v>2401</v>
      </c>
      <c r="S971" t="s">
        <v>2401</v>
      </c>
    </row>
    <row r="972" spans="1:19">
      <c r="A972" t="s">
        <v>6225</v>
      </c>
      <c r="B972" t="s">
        <v>1777</v>
      </c>
      <c r="C972" t="s">
        <v>2401</v>
      </c>
      <c r="D972" t="s">
        <v>2401</v>
      </c>
      <c r="E972" t="s">
        <v>2401</v>
      </c>
      <c r="F972" t="s">
        <v>2401</v>
      </c>
      <c r="G972" t="s">
        <v>2401</v>
      </c>
      <c r="H972" t="s">
        <v>2401</v>
      </c>
      <c r="I972" t="s">
        <v>2401</v>
      </c>
      <c r="J972" t="s">
        <v>6226</v>
      </c>
      <c r="K972" t="s">
        <v>3718</v>
      </c>
      <c r="L972" t="s">
        <v>2401</v>
      </c>
      <c r="M972" s="14">
        <v>45399.554861111108</v>
      </c>
      <c r="N972" t="s">
        <v>6227</v>
      </c>
      <c r="O972" t="s">
        <v>6228</v>
      </c>
      <c r="P972" t="s">
        <v>2401</v>
      </c>
      <c r="Q972" t="s">
        <v>2401</v>
      </c>
      <c r="R972" t="s">
        <v>2401</v>
      </c>
      <c r="S972" t="s">
        <v>2401</v>
      </c>
    </row>
    <row r="973" spans="1:19">
      <c r="A973" t="s">
        <v>6229</v>
      </c>
      <c r="B973" t="s">
        <v>6230</v>
      </c>
      <c r="C973" t="s">
        <v>2401</v>
      </c>
      <c r="D973" t="s">
        <v>2401</v>
      </c>
      <c r="E973" t="s">
        <v>2401</v>
      </c>
      <c r="F973" t="s">
        <v>2401</v>
      </c>
      <c r="G973" t="s">
        <v>2401</v>
      </c>
      <c r="H973" t="s">
        <v>2401</v>
      </c>
      <c r="I973" t="s">
        <v>2401</v>
      </c>
      <c r="J973" t="s">
        <v>6231</v>
      </c>
      <c r="K973" t="s">
        <v>2615</v>
      </c>
      <c r="L973" t="s">
        <v>2401</v>
      </c>
      <c r="M973" s="14">
        <v>45565.566666666666</v>
      </c>
      <c r="N973" t="s">
        <v>6232</v>
      </c>
      <c r="O973" t="s">
        <v>2401</v>
      </c>
      <c r="P973" t="s">
        <v>2401</v>
      </c>
      <c r="Q973" t="s">
        <v>2401</v>
      </c>
      <c r="R973" t="s">
        <v>2401</v>
      </c>
      <c r="S973" t="s">
        <v>2401</v>
      </c>
    </row>
    <row r="974" spans="1:19">
      <c r="A974" t="s">
        <v>6233</v>
      </c>
      <c r="B974" t="s">
        <v>6234</v>
      </c>
      <c r="C974" t="s">
        <v>2401</v>
      </c>
      <c r="D974" t="s">
        <v>2401</v>
      </c>
      <c r="E974" t="s">
        <v>2401</v>
      </c>
      <c r="F974" t="s">
        <v>2401</v>
      </c>
      <c r="G974" t="s">
        <v>2401</v>
      </c>
      <c r="H974" t="s">
        <v>2401</v>
      </c>
      <c r="I974" t="s">
        <v>2401</v>
      </c>
      <c r="J974" t="s">
        <v>6235</v>
      </c>
      <c r="K974" t="s">
        <v>2406</v>
      </c>
      <c r="L974" t="s">
        <v>2401</v>
      </c>
      <c r="M974" s="14">
        <v>45534.874305555553</v>
      </c>
      <c r="N974" t="s">
        <v>6236</v>
      </c>
      <c r="O974" t="s">
        <v>2401</v>
      </c>
      <c r="P974" t="s">
        <v>2401</v>
      </c>
      <c r="Q974" t="s">
        <v>2401</v>
      </c>
      <c r="R974" t="s">
        <v>2401</v>
      </c>
      <c r="S974" t="s">
        <v>2401</v>
      </c>
    </row>
    <row r="975" spans="1:19">
      <c r="A975" t="s">
        <v>6237</v>
      </c>
      <c r="B975" t="s">
        <v>6238</v>
      </c>
      <c r="C975" t="s">
        <v>2401</v>
      </c>
      <c r="D975" t="s">
        <v>2401</v>
      </c>
      <c r="E975" t="s">
        <v>2401</v>
      </c>
      <c r="F975" t="s">
        <v>2401</v>
      </c>
      <c r="G975" t="s">
        <v>2401</v>
      </c>
      <c r="H975" t="s">
        <v>2401</v>
      </c>
      <c r="I975" t="s">
        <v>2401</v>
      </c>
      <c r="J975" t="s">
        <v>2401</v>
      </c>
      <c r="K975" t="s">
        <v>2401</v>
      </c>
      <c r="L975" t="s">
        <v>2401</v>
      </c>
      <c r="M975" s="14">
        <v>45399.554861111108</v>
      </c>
      <c r="N975" t="s">
        <v>2401</v>
      </c>
      <c r="O975" t="s">
        <v>2401</v>
      </c>
      <c r="P975" t="s">
        <v>2401</v>
      </c>
      <c r="Q975" t="s">
        <v>2401</v>
      </c>
      <c r="R975" t="s">
        <v>2401</v>
      </c>
      <c r="S975" t="s">
        <v>2401</v>
      </c>
    </row>
    <row r="976" spans="1:19">
      <c r="A976" t="s">
        <v>6239</v>
      </c>
      <c r="B976" t="s">
        <v>6240</v>
      </c>
      <c r="C976" t="s">
        <v>2401</v>
      </c>
      <c r="D976" t="s">
        <v>2401</v>
      </c>
      <c r="E976" t="s">
        <v>2401</v>
      </c>
      <c r="F976" t="s">
        <v>2401</v>
      </c>
      <c r="G976" t="s">
        <v>2401</v>
      </c>
      <c r="H976" t="s">
        <v>2401</v>
      </c>
      <c r="I976" t="s">
        <v>2401</v>
      </c>
      <c r="J976" t="s">
        <v>6241</v>
      </c>
      <c r="K976" t="s">
        <v>2720</v>
      </c>
      <c r="L976" t="s">
        <v>2401</v>
      </c>
      <c r="M976" s="14">
        <v>45565.663194444445</v>
      </c>
      <c r="N976" t="s">
        <v>6242</v>
      </c>
      <c r="O976" t="s">
        <v>2401</v>
      </c>
      <c r="P976" t="s">
        <v>2401</v>
      </c>
      <c r="Q976" t="s">
        <v>2401</v>
      </c>
      <c r="R976" t="s">
        <v>2401</v>
      </c>
      <c r="S976" t="s">
        <v>2401</v>
      </c>
    </row>
    <row r="977" spans="1:19">
      <c r="A977" t="s">
        <v>6243</v>
      </c>
      <c r="B977" t="s">
        <v>6244</v>
      </c>
      <c r="C977" t="s">
        <v>2401</v>
      </c>
      <c r="D977" t="s">
        <v>2401</v>
      </c>
      <c r="E977" t="s">
        <v>2401</v>
      </c>
      <c r="F977" t="s">
        <v>2401</v>
      </c>
      <c r="G977" t="s">
        <v>2401</v>
      </c>
      <c r="H977" t="s">
        <v>2401</v>
      </c>
      <c r="I977" t="s">
        <v>2401</v>
      </c>
      <c r="J977" t="s">
        <v>6245</v>
      </c>
      <c r="K977" t="s">
        <v>2406</v>
      </c>
      <c r="L977" t="s">
        <v>2401</v>
      </c>
      <c r="M977" s="14">
        <v>45534.874305555553</v>
      </c>
      <c r="N977" t="s">
        <v>6246</v>
      </c>
      <c r="O977" t="s">
        <v>2401</v>
      </c>
      <c r="P977" t="s">
        <v>2401</v>
      </c>
      <c r="Q977" t="s">
        <v>2401</v>
      </c>
      <c r="R977" t="s">
        <v>2401</v>
      </c>
      <c r="S977" t="s">
        <v>2401</v>
      </c>
    </row>
    <row r="978" spans="1:19">
      <c r="A978" t="s">
        <v>6247</v>
      </c>
      <c r="B978" t="s">
        <v>6248</v>
      </c>
      <c r="C978" t="s">
        <v>2401</v>
      </c>
      <c r="D978" t="s">
        <v>2401</v>
      </c>
      <c r="E978" t="s">
        <v>2401</v>
      </c>
      <c r="F978" t="s">
        <v>2401</v>
      </c>
      <c r="G978" t="s">
        <v>2401</v>
      </c>
      <c r="H978" t="s">
        <v>2401</v>
      </c>
      <c r="I978" t="s">
        <v>2401</v>
      </c>
      <c r="J978" t="s">
        <v>6249</v>
      </c>
      <c r="K978" t="s">
        <v>2492</v>
      </c>
      <c r="L978" t="s">
        <v>2401</v>
      </c>
      <c r="M978" s="14">
        <v>45534.874305555553</v>
      </c>
      <c r="N978" t="s">
        <v>6250</v>
      </c>
      <c r="O978" t="s">
        <v>2401</v>
      </c>
      <c r="P978" t="s">
        <v>2401</v>
      </c>
      <c r="Q978" t="s">
        <v>2401</v>
      </c>
      <c r="R978" t="s">
        <v>2401</v>
      </c>
      <c r="S978" t="s">
        <v>2401</v>
      </c>
    </row>
    <row r="979" spans="1:19">
      <c r="A979" t="s">
        <v>6251</v>
      </c>
      <c r="B979" t="s">
        <v>6252</v>
      </c>
      <c r="C979" t="s">
        <v>2401</v>
      </c>
      <c r="D979" t="s">
        <v>2401</v>
      </c>
      <c r="E979" t="s">
        <v>2401</v>
      </c>
      <c r="F979" t="s">
        <v>2401</v>
      </c>
      <c r="G979" t="s">
        <v>2401</v>
      </c>
      <c r="H979" t="s">
        <v>2401</v>
      </c>
      <c r="I979" t="s">
        <v>2401</v>
      </c>
      <c r="J979" t="s">
        <v>2401</v>
      </c>
      <c r="K979" t="s">
        <v>2401</v>
      </c>
      <c r="L979" t="s">
        <v>2401</v>
      </c>
      <c r="M979" s="14">
        <v>45399.554861111108</v>
      </c>
      <c r="N979" t="s">
        <v>2401</v>
      </c>
      <c r="O979" t="s">
        <v>2401</v>
      </c>
      <c r="P979" t="s">
        <v>2401</v>
      </c>
      <c r="Q979" t="s">
        <v>2401</v>
      </c>
      <c r="R979" t="s">
        <v>2401</v>
      </c>
      <c r="S979" t="s">
        <v>2401</v>
      </c>
    </row>
    <row r="980" spans="1:19">
      <c r="A980" t="s">
        <v>6253</v>
      </c>
      <c r="B980" t="s">
        <v>6254</v>
      </c>
      <c r="C980" t="s">
        <v>2401</v>
      </c>
      <c r="D980" t="s">
        <v>2401</v>
      </c>
      <c r="E980" t="s">
        <v>2401</v>
      </c>
      <c r="F980" t="s">
        <v>2401</v>
      </c>
      <c r="G980" t="s">
        <v>2401</v>
      </c>
      <c r="H980" t="s">
        <v>2401</v>
      </c>
      <c r="I980" t="s">
        <v>2401</v>
      </c>
      <c r="J980" t="s">
        <v>6255</v>
      </c>
      <c r="K980" t="s">
        <v>4821</v>
      </c>
      <c r="L980" t="s">
        <v>2401</v>
      </c>
      <c r="M980" s="14">
        <v>45399.554861111108</v>
      </c>
      <c r="N980" t="s">
        <v>6256</v>
      </c>
      <c r="O980" t="s">
        <v>6257</v>
      </c>
      <c r="P980" t="s">
        <v>2401</v>
      </c>
      <c r="Q980" t="s">
        <v>2401</v>
      </c>
      <c r="R980" t="s">
        <v>2401</v>
      </c>
      <c r="S980" t="s">
        <v>2401</v>
      </c>
    </row>
    <row r="981" spans="1:19">
      <c r="A981" t="s">
        <v>6258</v>
      </c>
      <c r="B981" t="s">
        <v>6259</v>
      </c>
      <c r="C981" t="s">
        <v>2401</v>
      </c>
      <c r="D981" t="s">
        <v>2401</v>
      </c>
      <c r="E981" t="s">
        <v>2401</v>
      </c>
      <c r="F981" t="s">
        <v>2401</v>
      </c>
      <c r="G981" t="s">
        <v>2401</v>
      </c>
      <c r="H981" t="s">
        <v>2401</v>
      </c>
      <c r="I981" t="s">
        <v>2401</v>
      </c>
      <c r="J981" t="s">
        <v>6260</v>
      </c>
      <c r="K981" t="s">
        <v>2499</v>
      </c>
      <c r="L981" t="s">
        <v>2401</v>
      </c>
      <c r="M981" s="14">
        <v>45565.554166666669</v>
      </c>
      <c r="N981" t="s">
        <v>6261</v>
      </c>
      <c r="O981" t="s">
        <v>6262</v>
      </c>
      <c r="P981" t="s">
        <v>2401</v>
      </c>
      <c r="Q981" t="s">
        <v>2401</v>
      </c>
      <c r="R981" t="s">
        <v>2401</v>
      </c>
      <c r="S981" t="s">
        <v>2401</v>
      </c>
    </row>
    <row r="982" spans="1:19">
      <c r="A982" t="s">
        <v>6263</v>
      </c>
      <c r="B982" t="s">
        <v>6264</v>
      </c>
      <c r="C982" t="s">
        <v>2401</v>
      </c>
      <c r="D982" t="s">
        <v>2401</v>
      </c>
      <c r="E982" t="s">
        <v>2401</v>
      </c>
      <c r="F982" t="s">
        <v>2401</v>
      </c>
      <c r="G982" t="s">
        <v>2401</v>
      </c>
      <c r="H982" t="s">
        <v>2401</v>
      </c>
      <c r="I982" t="s">
        <v>2401</v>
      </c>
      <c r="J982" t="s">
        <v>6265</v>
      </c>
      <c r="K982" t="s">
        <v>2499</v>
      </c>
      <c r="L982" t="s">
        <v>2401</v>
      </c>
      <c r="M982" s="14">
        <v>45534.874305555553</v>
      </c>
      <c r="N982" t="s">
        <v>6266</v>
      </c>
      <c r="O982" t="s">
        <v>6267</v>
      </c>
      <c r="P982" t="s">
        <v>2401</v>
      </c>
      <c r="Q982" t="s">
        <v>2401</v>
      </c>
      <c r="R982" t="s">
        <v>2401</v>
      </c>
      <c r="S982" t="s">
        <v>2401</v>
      </c>
    </row>
    <row r="983" spans="1:19">
      <c r="A983" t="s">
        <v>6268</v>
      </c>
      <c r="B983" t="s">
        <v>6264</v>
      </c>
      <c r="C983" t="s">
        <v>2401</v>
      </c>
      <c r="D983" t="s">
        <v>2401</v>
      </c>
      <c r="E983" t="s">
        <v>2401</v>
      </c>
      <c r="F983" t="s">
        <v>2401</v>
      </c>
      <c r="G983" t="s">
        <v>2401</v>
      </c>
      <c r="H983" t="s">
        <v>2401</v>
      </c>
      <c r="I983" t="s">
        <v>2401</v>
      </c>
      <c r="J983" t="s">
        <v>6269</v>
      </c>
      <c r="K983" t="s">
        <v>2499</v>
      </c>
      <c r="L983" t="s">
        <v>2401</v>
      </c>
      <c r="M983" s="14">
        <v>45399.554861111108</v>
      </c>
      <c r="N983" t="s">
        <v>6270</v>
      </c>
      <c r="O983" t="s">
        <v>6267</v>
      </c>
      <c r="P983" t="s">
        <v>2401</v>
      </c>
      <c r="Q983" t="s">
        <v>2401</v>
      </c>
      <c r="R983" t="s">
        <v>2401</v>
      </c>
      <c r="S983" t="s">
        <v>2401</v>
      </c>
    </row>
    <row r="984" spans="1:19">
      <c r="A984" t="s">
        <v>6271</v>
      </c>
      <c r="B984" t="s">
        <v>6272</v>
      </c>
      <c r="C984" t="s">
        <v>2401</v>
      </c>
      <c r="D984" t="s">
        <v>2401</v>
      </c>
      <c r="E984" t="s">
        <v>2401</v>
      </c>
      <c r="F984" t="s">
        <v>2401</v>
      </c>
      <c r="G984" t="s">
        <v>2401</v>
      </c>
      <c r="H984" t="s">
        <v>2401</v>
      </c>
      <c r="I984" t="s">
        <v>61</v>
      </c>
      <c r="J984" t="s">
        <v>2401</v>
      </c>
      <c r="K984" t="s">
        <v>2401</v>
      </c>
      <c r="L984" t="s">
        <v>2401</v>
      </c>
      <c r="M984" s="14">
        <v>45399.554861111108</v>
      </c>
      <c r="N984" t="s">
        <v>2401</v>
      </c>
      <c r="O984" t="s">
        <v>2401</v>
      </c>
      <c r="P984" t="s">
        <v>2401</v>
      </c>
      <c r="Q984" t="s">
        <v>2401</v>
      </c>
      <c r="R984" t="s">
        <v>2401</v>
      </c>
      <c r="S984" t="s">
        <v>2401</v>
      </c>
    </row>
    <row r="985" spans="1:19">
      <c r="A985" t="s">
        <v>6273</v>
      </c>
      <c r="B985" t="s">
        <v>6272</v>
      </c>
      <c r="C985" t="s">
        <v>2401</v>
      </c>
      <c r="D985" t="s">
        <v>2401</v>
      </c>
      <c r="E985" t="s">
        <v>2401</v>
      </c>
      <c r="F985" t="s">
        <v>2401</v>
      </c>
      <c r="G985" t="s">
        <v>2401</v>
      </c>
      <c r="H985" t="s">
        <v>2401</v>
      </c>
      <c r="I985" t="s">
        <v>2401</v>
      </c>
      <c r="J985" t="s">
        <v>2401</v>
      </c>
      <c r="K985" t="s">
        <v>2401</v>
      </c>
      <c r="L985" t="s">
        <v>2401</v>
      </c>
      <c r="M985" s="14">
        <v>45390.607638888891</v>
      </c>
      <c r="N985" t="s">
        <v>2401</v>
      </c>
      <c r="O985" t="s">
        <v>2586</v>
      </c>
      <c r="P985" t="s">
        <v>2401</v>
      </c>
      <c r="Q985" t="s">
        <v>2401</v>
      </c>
      <c r="R985" t="s">
        <v>2401</v>
      </c>
      <c r="S985" t="s">
        <v>2401</v>
      </c>
    </row>
    <row r="986" spans="1:19">
      <c r="A986" t="s">
        <v>6274</v>
      </c>
      <c r="B986" t="s">
        <v>6275</v>
      </c>
      <c r="C986" t="s">
        <v>2401</v>
      </c>
      <c r="D986" t="s">
        <v>2401</v>
      </c>
      <c r="E986" t="s">
        <v>2401</v>
      </c>
      <c r="F986" t="s">
        <v>2401</v>
      </c>
      <c r="G986" t="s">
        <v>2401</v>
      </c>
      <c r="H986" t="s">
        <v>2401</v>
      </c>
      <c r="I986" t="s">
        <v>2401</v>
      </c>
      <c r="J986" t="s">
        <v>6276</v>
      </c>
      <c r="K986" t="s">
        <v>2401</v>
      </c>
      <c r="L986" t="s">
        <v>2401</v>
      </c>
      <c r="M986" s="14">
        <v>45565.685416666667</v>
      </c>
      <c r="N986" t="s">
        <v>2401</v>
      </c>
      <c r="O986" t="s">
        <v>2401</v>
      </c>
      <c r="P986" t="s">
        <v>2401</v>
      </c>
      <c r="Q986" t="s">
        <v>2401</v>
      </c>
      <c r="R986" t="s">
        <v>2401</v>
      </c>
      <c r="S986" t="s">
        <v>2401</v>
      </c>
    </row>
    <row r="987" spans="1:19">
      <c r="A987" t="s">
        <v>6277</v>
      </c>
      <c r="B987" t="s">
        <v>6278</v>
      </c>
      <c r="C987" t="s">
        <v>2401</v>
      </c>
      <c r="D987" t="s">
        <v>2401</v>
      </c>
      <c r="E987" t="s">
        <v>2401</v>
      </c>
      <c r="F987" t="s">
        <v>2401</v>
      </c>
      <c r="G987" t="s">
        <v>2401</v>
      </c>
      <c r="H987" t="s">
        <v>2401</v>
      </c>
      <c r="I987" t="s">
        <v>2401</v>
      </c>
      <c r="J987" t="s">
        <v>6279</v>
      </c>
      <c r="K987" t="s">
        <v>2438</v>
      </c>
      <c r="L987" t="s">
        <v>2401</v>
      </c>
      <c r="M987" s="14">
        <v>45534.874305555553</v>
      </c>
      <c r="N987" t="s">
        <v>6280</v>
      </c>
      <c r="O987" t="s">
        <v>2401</v>
      </c>
      <c r="P987" t="s">
        <v>2401</v>
      </c>
      <c r="Q987" t="s">
        <v>2401</v>
      </c>
      <c r="R987" t="s">
        <v>2401</v>
      </c>
      <c r="S987" t="s">
        <v>2401</v>
      </c>
    </row>
    <row r="988" spans="1:19">
      <c r="A988" t="s">
        <v>6281</v>
      </c>
      <c r="B988" t="s">
        <v>6282</v>
      </c>
      <c r="C988" t="s">
        <v>2401</v>
      </c>
      <c r="D988" t="s">
        <v>2401</v>
      </c>
      <c r="E988" t="s">
        <v>2401</v>
      </c>
      <c r="F988" t="s">
        <v>2401</v>
      </c>
      <c r="G988" t="s">
        <v>2401</v>
      </c>
      <c r="H988" t="s">
        <v>2401</v>
      </c>
      <c r="I988" t="s">
        <v>2401</v>
      </c>
      <c r="J988" t="s">
        <v>2401</v>
      </c>
      <c r="K988" t="s">
        <v>2401</v>
      </c>
      <c r="L988" t="s">
        <v>2401</v>
      </c>
      <c r="M988" s="14">
        <v>45399.554861111108</v>
      </c>
      <c r="N988" t="s">
        <v>2401</v>
      </c>
      <c r="O988" t="s">
        <v>2401</v>
      </c>
      <c r="P988" t="s">
        <v>2401</v>
      </c>
      <c r="Q988" t="s">
        <v>2401</v>
      </c>
      <c r="R988" t="s">
        <v>2401</v>
      </c>
      <c r="S988" t="s">
        <v>2401</v>
      </c>
    </row>
    <row r="989" spans="1:19">
      <c r="A989" t="s">
        <v>6283</v>
      </c>
      <c r="B989" t="s">
        <v>6284</v>
      </c>
      <c r="C989" t="s">
        <v>2401</v>
      </c>
      <c r="D989" t="s">
        <v>2401</v>
      </c>
      <c r="E989" t="s">
        <v>2401</v>
      </c>
      <c r="F989" t="s">
        <v>2401</v>
      </c>
      <c r="G989" t="s">
        <v>2401</v>
      </c>
      <c r="H989" t="s">
        <v>2401</v>
      </c>
      <c r="I989" t="s">
        <v>2401</v>
      </c>
      <c r="J989" t="s">
        <v>6285</v>
      </c>
      <c r="K989" t="s">
        <v>2492</v>
      </c>
      <c r="L989" t="s">
        <v>2401</v>
      </c>
      <c r="M989" s="14">
        <v>45565.690972222219</v>
      </c>
      <c r="N989" t="s">
        <v>6286</v>
      </c>
      <c r="O989" t="s">
        <v>2401</v>
      </c>
      <c r="P989" t="s">
        <v>2401</v>
      </c>
      <c r="Q989" t="s">
        <v>2401</v>
      </c>
      <c r="R989" t="s">
        <v>2401</v>
      </c>
      <c r="S989" t="s">
        <v>2401</v>
      </c>
    </row>
    <row r="990" spans="1:19">
      <c r="A990" t="s">
        <v>6287</v>
      </c>
      <c r="B990" t="s">
        <v>6284</v>
      </c>
      <c r="C990" t="s">
        <v>2401</v>
      </c>
      <c r="D990" t="s">
        <v>2401</v>
      </c>
      <c r="E990" t="s">
        <v>2401</v>
      </c>
      <c r="F990" t="s">
        <v>2401</v>
      </c>
      <c r="G990" t="s">
        <v>2401</v>
      </c>
      <c r="H990" t="s">
        <v>2401</v>
      </c>
      <c r="I990" t="s">
        <v>2401</v>
      </c>
      <c r="J990" t="s">
        <v>6288</v>
      </c>
      <c r="K990" t="s">
        <v>2492</v>
      </c>
      <c r="L990" t="s">
        <v>2401</v>
      </c>
      <c r="M990" s="14">
        <v>45565.690972222219</v>
      </c>
      <c r="N990" t="s">
        <v>6289</v>
      </c>
      <c r="O990" t="s">
        <v>6290</v>
      </c>
      <c r="P990" t="s">
        <v>2401</v>
      </c>
      <c r="Q990" t="s">
        <v>2401</v>
      </c>
      <c r="R990" t="s">
        <v>2401</v>
      </c>
      <c r="S990" t="s">
        <v>2401</v>
      </c>
    </row>
    <row r="991" spans="1:19">
      <c r="A991" t="s">
        <v>6291</v>
      </c>
      <c r="B991" t="s">
        <v>6292</v>
      </c>
      <c r="C991" t="s">
        <v>2401</v>
      </c>
      <c r="D991" t="s">
        <v>2401</v>
      </c>
      <c r="E991" t="s">
        <v>2401</v>
      </c>
      <c r="F991" t="s">
        <v>2401</v>
      </c>
      <c r="G991" t="s">
        <v>2401</v>
      </c>
      <c r="H991" t="s">
        <v>2401</v>
      </c>
      <c r="I991" t="s">
        <v>2401</v>
      </c>
      <c r="J991" t="s">
        <v>6293</v>
      </c>
      <c r="K991" t="s">
        <v>2433</v>
      </c>
      <c r="L991" t="s">
        <v>2401</v>
      </c>
      <c r="M991" s="14">
        <v>45565.693749999999</v>
      </c>
      <c r="N991" t="s">
        <v>6294</v>
      </c>
      <c r="O991" t="s">
        <v>2401</v>
      </c>
      <c r="P991" t="s">
        <v>2401</v>
      </c>
      <c r="Q991" t="s">
        <v>2401</v>
      </c>
      <c r="R991" t="s">
        <v>2401</v>
      </c>
      <c r="S991" t="s">
        <v>2401</v>
      </c>
    </row>
    <row r="992" spans="1:19">
      <c r="A992" t="s">
        <v>6295</v>
      </c>
      <c r="B992" t="s">
        <v>6296</v>
      </c>
      <c r="C992" t="s">
        <v>2401</v>
      </c>
      <c r="D992" t="s">
        <v>2401</v>
      </c>
      <c r="E992" t="s">
        <v>2401</v>
      </c>
      <c r="F992" t="s">
        <v>2401</v>
      </c>
      <c r="G992" t="s">
        <v>2401</v>
      </c>
      <c r="H992" t="s">
        <v>2401</v>
      </c>
      <c r="I992" t="s">
        <v>2401</v>
      </c>
      <c r="J992" t="s">
        <v>6297</v>
      </c>
      <c r="K992" t="s">
        <v>3071</v>
      </c>
      <c r="L992" t="s">
        <v>2401</v>
      </c>
      <c r="M992" s="14">
        <v>45565.65347222222</v>
      </c>
      <c r="N992" t="s">
        <v>6298</v>
      </c>
      <c r="O992" t="s">
        <v>6299</v>
      </c>
      <c r="P992" t="s">
        <v>2401</v>
      </c>
      <c r="Q992" t="s">
        <v>2401</v>
      </c>
      <c r="R992" t="s">
        <v>2401</v>
      </c>
      <c r="S992" t="s">
        <v>2401</v>
      </c>
    </row>
    <row r="993" spans="1:19">
      <c r="A993" t="s">
        <v>6300</v>
      </c>
      <c r="B993" t="s">
        <v>6301</v>
      </c>
      <c r="C993" t="s">
        <v>2401</v>
      </c>
      <c r="D993" t="s">
        <v>2401</v>
      </c>
      <c r="E993" t="s">
        <v>2401</v>
      </c>
      <c r="F993" t="s">
        <v>2401</v>
      </c>
      <c r="G993" t="s">
        <v>2401</v>
      </c>
      <c r="H993" t="s">
        <v>2401</v>
      </c>
      <c r="I993" t="s">
        <v>2401</v>
      </c>
      <c r="J993" t="s">
        <v>6302</v>
      </c>
      <c r="K993" t="s">
        <v>2492</v>
      </c>
      <c r="L993" t="s">
        <v>2401</v>
      </c>
      <c r="M993" s="14">
        <v>45565.656944444447</v>
      </c>
      <c r="N993" t="s">
        <v>6303</v>
      </c>
      <c r="O993" t="s">
        <v>2401</v>
      </c>
      <c r="P993" t="s">
        <v>2401</v>
      </c>
      <c r="Q993" t="s">
        <v>2401</v>
      </c>
      <c r="R993" t="s">
        <v>2401</v>
      </c>
      <c r="S993" t="s">
        <v>2401</v>
      </c>
    </row>
    <row r="994" spans="1:19">
      <c r="A994" t="s">
        <v>6304</v>
      </c>
      <c r="B994" t="s">
        <v>6305</v>
      </c>
      <c r="C994" t="s">
        <v>2401</v>
      </c>
      <c r="D994" t="s">
        <v>2401</v>
      </c>
      <c r="E994" t="s">
        <v>2401</v>
      </c>
      <c r="F994" t="s">
        <v>2401</v>
      </c>
      <c r="G994" t="s">
        <v>2401</v>
      </c>
      <c r="H994" t="s">
        <v>2401</v>
      </c>
      <c r="I994" t="s">
        <v>2401</v>
      </c>
      <c r="J994" t="s">
        <v>6306</v>
      </c>
      <c r="K994" t="s">
        <v>2433</v>
      </c>
      <c r="L994" t="s">
        <v>2401</v>
      </c>
      <c r="M994" s="14">
        <v>45565.661805555559</v>
      </c>
      <c r="N994" t="s">
        <v>6307</v>
      </c>
      <c r="O994" t="s">
        <v>6308</v>
      </c>
      <c r="P994" t="s">
        <v>2401</v>
      </c>
      <c r="Q994" t="s">
        <v>2401</v>
      </c>
      <c r="R994" t="s">
        <v>2401</v>
      </c>
      <c r="S994" t="s">
        <v>2401</v>
      </c>
    </row>
    <row r="995" spans="1:19">
      <c r="A995" t="s">
        <v>6309</v>
      </c>
      <c r="B995" t="s">
        <v>6310</v>
      </c>
      <c r="C995" t="s">
        <v>2401</v>
      </c>
      <c r="D995" t="s">
        <v>2401</v>
      </c>
      <c r="E995" t="s">
        <v>2401</v>
      </c>
      <c r="F995" t="s">
        <v>2401</v>
      </c>
      <c r="G995" t="s">
        <v>2401</v>
      </c>
      <c r="H995" t="s">
        <v>2401</v>
      </c>
      <c r="I995" t="s">
        <v>2401</v>
      </c>
      <c r="J995" t="s">
        <v>6311</v>
      </c>
      <c r="K995" t="s">
        <v>2433</v>
      </c>
      <c r="L995" t="s">
        <v>2401</v>
      </c>
      <c r="M995" s="14">
        <v>45565.661805555559</v>
      </c>
      <c r="N995" t="s">
        <v>6312</v>
      </c>
      <c r="O995" t="s">
        <v>6313</v>
      </c>
      <c r="P995" t="s">
        <v>2401</v>
      </c>
      <c r="Q995" t="s">
        <v>2401</v>
      </c>
      <c r="R995" t="s">
        <v>2401</v>
      </c>
      <c r="S995" t="s">
        <v>2401</v>
      </c>
    </row>
    <row r="996" spans="1:19">
      <c r="A996" t="s">
        <v>6314</v>
      </c>
      <c r="B996" t="s">
        <v>6315</v>
      </c>
      <c r="C996" t="s">
        <v>2401</v>
      </c>
      <c r="D996" t="s">
        <v>2401</v>
      </c>
      <c r="E996" t="s">
        <v>2401</v>
      </c>
      <c r="F996" t="s">
        <v>2401</v>
      </c>
      <c r="G996" t="s">
        <v>2401</v>
      </c>
      <c r="H996" t="s">
        <v>2401</v>
      </c>
      <c r="I996" t="s">
        <v>2401</v>
      </c>
      <c r="J996" t="s">
        <v>6316</v>
      </c>
      <c r="K996" t="s">
        <v>2499</v>
      </c>
      <c r="L996" t="s">
        <v>2401</v>
      </c>
      <c r="M996" s="14">
        <v>45399.554861111108</v>
      </c>
      <c r="N996" t="s">
        <v>6317</v>
      </c>
      <c r="O996" t="s">
        <v>2401</v>
      </c>
      <c r="P996" t="s">
        <v>2401</v>
      </c>
      <c r="Q996" t="s">
        <v>2401</v>
      </c>
      <c r="R996" t="s">
        <v>2401</v>
      </c>
      <c r="S996" t="s">
        <v>2401</v>
      </c>
    </row>
    <row r="997" spans="1:19">
      <c r="A997" t="s">
        <v>6318</v>
      </c>
      <c r="B997" t="s">
        <v>6319</v>
      </c>
      <c r="C997" t="s">
        <v>2401</v>
      </c>
      <c r="D997" t="s">
        <v>2401</v>
      </c>
      <c r="E997" t="s">
        <v>2401</v>
      </c>
      <c r="F997" t="s">
        <v>2401</v>
      </c>
      <c r="G997" t="s">
        <v>2401</v>
      </c>
      <c r="H997" t="s">
        <v>2401</v>
      </c>
      <c r="I997" t="s">
        <v>2401</v>
      </c>
      <c r="J997" t="s">
        <v>6320</v>
      </c>
      <c r="K997" t="s">
        <v>2877</v>
      </c>
      <c r="L997" t="s">
        <v>2401</v>
      </c>
      <c r="M997" s="14">
        <v>45399.554861111108</v>
      </c>
      <c r="N997" t="s">
        <v>6321</v>
      </c>
      <c r="O997" t="s">
        <v>2401</v>
      </c>
      <c r="P997" t="s">
        <v>2401</v>
      </c>
      <c r="Q997" t="s">
        <v>2401</v>
      </c>
      <c r="R997" t="s">
        <v>2401</v>
      </c>
      <c r="S997" t="s">
        <v>2401</v>
      </c>
    </row>
    <row r="998" spans="1:19">
      <c r="A998" t="s">
        <v>6322</v>
      </c>
      <c r="B998" t="s">
        <v>6323</v>
      </c>
      <c r="C998" t="s">
        <v>2401</v>
      </c>
      <c r="D998" t="s">
        <v>2401</v>
      </c>
      <c r="E998" t="s">
        <v>2401</v>
      </c>
      <c r="F998" t="s">
        <v>2401</v>
      </c>
      <c r="G998" t="s">
        <v>2401</v>
      </c>
      <c r="H998" t="s">
        <v>2401</v>
      </c>
      <c r="I998" t="s">
        <v>2401</v>
      </c>
      <c r="J998" t="s">
        <v>6324</v>
      </c>
      <c r="K998" t="s">
        <v>2749</v>
      </c>
      <c r="L998" t="s">
        <v>2401</v>
      </c>
      <c r="M998" s="14">
        <v>45503.677083333336</v>
      </c>
      <c r="N998" t="s">
        <v>6325</v>
      </c>
      <c r="O998" t="s">
        <v>2401</v>
      </c>
      <c r="P998" t="s">
        <v>2401</v>
      </c>
      <c r="Q998" t="s">
        <v>2401</v>
      </c>
      <c r="R998" t="s">
        <v>2401</v>
      </c>
      <c r="S998" t="s">
        <v>2401</v>
      </c>
    </row>
    <row r="999" spans="1:19">
      <c r="A999" t="s">
        <v>6326</v>
      </c>
      <c r="B999" t="s">
        <v>6327</v>
      </c>
      <c r="C999" t="s">
        <v>2401</v>
      </c>
      <c r="D999" t="s">
        <v>2401</v>
      </c>
      <c r="E999" t="s">
        <v>2401</v>
      </c>
      <c r="F999" t="s">
        <v>2401</v>
      </c>
      <c r="G999" t="s">
        <v>2401</v>
      </c>
      <c r="H999" t="s">
        <v>2401</v>
      </c>
      <c r="I999" t="s">
        <v>2401</v>
      </c>
      <c r="J999" t="s">
        <v>6328</v>
      </c>
      <c r="K999" t="s">
        <v>2427</v>
      </c>
      <c r="L999" t="s">
        <v>2401</v>
      </c>
      <c r="M999" s="14">
        <v>45399.554861111108</v>
      </c>
      <c r="N999" t="s">
        <v>6329</v>
      </c>
      <c r="O999" t="s">
        <v>6330</v>
      </c>
      <c r="P999" t="s">
        <v>2401</v>
      </c>
      <c r="Q999" t="s">
        <v>2401</v>
      </c>
      <c r="R999" t="s">
        <v>2401</v>
      </c>
      <c r="S999" t="s">
        <v>2401</v>
      </c>
    </row>
    <row r="1000" spans="1:19">
      <c r="A1000" t="s">
        <v>6331</v>
      </c>
      <c r="B1000" t="s">
        <v>6332</v>
      </c>
      <c r="C1000" t="s">
        <v>2401</v>
      </c>
      <c r="D1000" t="s">
        <v>2401</v>
      </c>
      <c r="E1000" t="s">
        <v>2401</v>
      </c>
      <c r="F1000" t="s">
        <v>2401</v>
      </c>
      <c r="G1000" t="s">
        <v>2401</v>
      </c>
      <c r="H1000" t="s">
        <v>2401</v>
      </c>
      <c r="I1000" t="s">
        <v>2401</v>
      </c>
      <c r="J1000" t="s">
        <v>6333</v>
      </c>
      <c r="K1000" t="s">
        <v>2499</v>
      </c>
      <c r="L1000" t="s">
        <v>2401</v>
      </c>
      <c r="M1000" s="14">
        <v>45399.554861111108</v>
      </c>
      <c r="N1000" t="s">
        <v>6334</v>
      </c>
      <c r="O1000" t="s">
        <v>6335</v>
      </c>
      <c r="P1000" t="s">
        <v>2401</v>
      </c>
      <c r="Q1000" t="s">
        <v>2401</v>
      </c>
      <c r="R1000" t="s">
        <v>2401</v>
      </c>
      <c r="S1000" t="s">
        <v>2401</v>
      </c>
    </row>
    <row r="1001" spans="1:19">
      <c r="A1001" t="s">
        <v>6336</v>
      </c>
      <c r="B1001" t="s">
        <v>6337</v>
      </c>
      <c r="C1001" t="s">
        <v>2401</v>
      </c>
      <c r="D1001" t="s">
        <v>2401</v>
      </c>
      <c r="E1001" t="s">
        <v>2401</v>
      </c>
      <c r="F1001" t="s">
        <v>2401</v>
      </c>
      <c r="G1001" t="s">
        <v>2401</v>
      </c>
      <c r="H1001" t="s">
        <v>2401</v>
      </c>
      <c r="I1001" t="s">
        <v>2401</v>
      </c>
      <c r="J1001" t="s">
        <v>2401</v>
      </c>
      <c r="K1001" t="s">
        <v>2401</v>
      </c>
      <c r="L1001" t="s">
        <v>2401</v>
      </c>
      <c r="M1001" s="14">
        <v>45399.554861111108</v>
      </c>
      <c r="N1001" t="s">
        <v>2401</v>
      </c>
      <c r="O1001" t="s">
        <v>2401</v>
      </c>
      <c r="P1001" t="s">
        <v>2401</v>
      </c>
      <c r="Q1001" t="s">
        <v>2401</v>
      </c>
      <c r="R1001" t="s">
        <v>2401</v>
      </c>
      <c r="S1001" t="s">
        <v>2401</v>
      </c>
    </row>
    <row r="1002" spans="1:19">
      <c r="A1002" t="s">
        <v>6338</v>
      </c>
      <c r="B1002" t="s">
        <v>6339</v>
      </c>
      <c r="C1002" t="s">
        <v>2401</v>
      </c>
      <c r="D1002" t="s">
        <v>2401</v>
      </c>
      <c r="E1002" t="s">
        <v>2401</v>
      </c>
      <c r="F1002" t="s">
        <v>2401</v>
      </c>
      <c r="G1002" t="s">
        <v>2401</v>
      </c>
      <c r="H1002" t="s">
        <v>2401</v>
      </c>
      <c r="I1002" t="s">
        <v>2401</v>
      </c>
      <c r="J1002" t="s">
        <v>6340</v>
      </c>
      <c r="K1002" t="s">
        <v>2755</v>
      </c>
      <c r="L1002" t="s">
        <v>2401</v>
      </c>
      <c r="M1002" s="14">
        <v>45399.554861111108</v>
      </c>
      <c r="N1002" t="s">
        <v>6341</v>
      </c>
      <c r="O1002" t="s">
        <v>6342</v>
      </c>
      <c r="P1002" t="s">
        <v>2401</v>
      </c>
      <c r="Q1002" t="s">
        <v>2401</v>
      </c>
      <c r="R1002" t="s">
        <v>2401</v>
      </c>
      <c r="S1002" t="s">
        <v>2401</v>
      </c>
    </row>
    <row r="1003" spans="1:19">
      <c r="A1003" t="s">
        <v>6343</v>
      </c>
      <c r="B1003" t="s">
        <v>6344</v>
      </c>
      <c r="C1003" t="s">
        <v>2401</v>
      </c>
      <c r="D1003" t="s">
        <v>2401</v>
      </c>
      <c r="E1003" t="s">
        <v>2401</v>
      </c>
      <c r="F1003" t="s">
        <v>2401</v>
      </c>
      <c r="G1003" t="s">
        <v>2401</v>
      </c>
      <c r="H1003" t="s">
        <v>2401</v>
      </c>
      <c r="I1003" t="s">
        <v>2401</v>
      </c>
      <c r="J1003" t="s">
        <v>6345</v>
      </c>
      <c r="K1003" t="s">
        <v>2755</v>
      </c>
      <c r="L1003" t="s">
        <v>2401</v>
      </c>
      <c r="M1003" s="14">
        <v>45390.607638888891</v>
      </c>
      <c r="N1003" t="s">
        <v>6346</v>
      </c>
      <c r="O1003" t="s">
        <v>6342</v>
      </c>
      <c r="P1003" t="s">
        <v>2401</v>
      </c>
      <c r="Q1003" t="s">
        <v>2401</v>
      </c>
      <c r="R1003" t="s">
        <v>2401</v>
      </c>
      <c r="S1003" t="s">
        <v>2401</v>
      </c>
    </row>
    <row r="1004" spans="1:19">
      <c r="A1004" t="s">
        <v>6347</v>
      </c>
      <c r="B1004" t="s">
        <v>6348</v>
      </c>
      <c r="C1004" t="s">
        <v>2401</v>
      </c>
      <c r="D1004" t="s">
        <v>2401</v>
      </c>
      <c r="E1004" t="s">
        <v>2401</v>
      </c>
      <c r="F1004" t="s">
        <v>2401</v>
      </c>
      <c r="G1004" t="s">
        <v>2401</v>
      </c>
      <c r="H1004" t="s">
        <v>2401</v>
      </c>
      <c r="I1004" t="s">
        <v>2401</v>
      </c>
      <c r="J1004" t="s">
        <v>6349</v>
      </c>
      <c r="K1004" t="s">
        <v>2492</v>
      </c>
      <c r="L1004" t="s">
        <v>2401</v>
      </c>
      <c r="M1004" s="14">
        <v>45565.570833333331</v>
      </c>
      <c r="N1004" t="s">
        <v>6350</v>
      </c>
      <c r="O1004" t="s">
        <v>6351</v>
      </c>
      <c r="P1004" t="s">
        <v>2401</v>
      </c>
      <c r="Q1004" t="s">
        <v>2401</v>
      </c>
      <c r="R1004" t="s">
        <v>2401</v>
      </c>
      <c r="S1004" t="s">
        <v>2401</v>
      </c>
    </row>
    <row r="1005" spans="1:19">
      <c r="A1005" t="s">
        <v>6352</v>
      </c>
      <c r="B1005" t="s">
        <v>6353</v>
      </c>
      <c r="C1005" t="s">
        <v>2564</v>
      </c>
      <c r="D1005" t="s">
        <v>2401</v>
      </c>
      <c r="E1005" t="s">
        <v>2401</v>
      </c>
      <c r="F1005" t="s">
        <v>2401</v>
      </c>
      <c r="G1005" t="s">
        <v>2401</v>
      </c>
      <c r="H1005" t="s">
        <v>2401</v>
      </c>
      <c r="I1005" t="s">
        <v>2401</v>
      </c>
      <c r="J1005" t="s">
        <v>6354</v>
      </c>
      <c r="K1005" t="s">
        <v>2406</v>
      </c>
      <c r="L1005" t="s">
        <v>2401</v>
      </c>
      <c r="M1005" s="14">
        <v>45517.415972222225</v>
      </c>
      <c r="N1005" t="s">
        <v>6355</v>
      </c>
      <c r="O1005" t="s">
        <v>6356</v>
      </c>
      <c r="P1005" t="s">
        <v>2401</v>
      </c>
      <c r="Q1005" t="s">
        <v>2401</v>
      </c>
      <c r="R1005" t="s">
        <v>2401</v>
      </c>
      <c r="S1005" t="s">
        <v>2401</v>
      </c>
    </row>
    <row r="1006" spans="1:19">
      <c r="A1006" t="s">
        <v>6357</v>
      </c>
      <c r="B1006" t="s">
        <v>6358</v>
      </c>
      <c r="C1006" t="s">
        <v>2401</v>
      </c>
      <c r="D1006" t="s">
        <v>2401</v>
      </c>
      <c r="E1006" t="s">
        <v>2401</v>
      </c>
      <c r="F1006" t="s">
        <v>2401</v>
      </c>
      <c r="G1006" t="s">
        <v>2401</v>
      </c>
      <c r="H1006" t="s">
        <v>2401</v>
      </c>
      <c r="I1006" t="s">
        <v>2401</v>
      </c>
      <c r="J1006" t="s">
        <v>6359</v>
      </c>
      <c r="K1006" t="s">
        <v>2720</v>
      </c>
      <c r="L1006" t="s">
        <v>2401</v>
      </c>
      <c r="M1006" s="14">
        <v>45565.656944444447</v>
      </c>
      <c r="N1006" t="s">
        <v>6360</v>
      </c>
      <c r="O1006" t="s">
        <v>2401</v>
      </c>
      <c r="P1006" t="s">
        <v>2401</v>
      </c>
      <c r="Q1006" t="s">
        <v>2401</v>
      </c>
      <c r="R1006" t="s">
        <v>2401</v>
      </c>
      <c r="S1006" t="s">
        <v>2401</v>
      </c>
    </row>
    <row r="1007" spans="1:19">
      <c r="A1007" t="s">
        <v>6361</v>
      </c>
      <c r="B1007" t="s">
        <v>6362</v>
      </c>
      <c r="C1007" t="s">
        <v>2401</v>
      </c>
      <c r="D1007" t="s">
        <v>2401</v>
      </c>
      <c r="E1007" t="s">
        <v>2401</v>
      </c>
      <c r="F1007" t="s">
        <v>2401</v>
      </c>
      <c r="G1007" t="s">
        <v>2401</v>
      </c>
      <c r="H1007" t="s">
        <v>2401</v>
      </c>
      <c r="I1007" t="s">
        <v>2401</v>
      </c>
      <c r="J1007" t="s">
        <v>2401</v>
      </c>
      <c r="K1007" t="s">
        <v>2401</v>
      </c>
      <c r="L1007" t="s">
        <v>2401</v>
      </c>
      <c r="M1007" s="14">
        <v>45390.607638888891</v>
      </c>
      <c r="N1007" t="s">
        <v>2401</v>
      </c>
      <c r="O1007" t="s">
        <v>2586</v>
      </c>
      <c r="P1007" t="s">
        <v>2401</v>
      </c>
      <c r="Q1007" t="s">
        <v>2401</v>
      </c>
      <c r="R1007" t="s">
        <v>2401</v>
      </c>
      <c r="S1007" t="s">
        <v>2401</v>
      </c>
    </row>
    <row r="1008" spans="1:19">
      <c r="A1008" t="s">
        <v>6363</v>
      </c>
      <c r="B1008" t="s">
        <v>6364</v>
      </c>
      <c r="C1008" t="s">
        <v>2401</v>
      </c>
      <c r="D1008" t="s">
        <v>2401</v>
      </c>
      <c r="E1008" t="s">
        <v>2401</v>
      </c>
      <c r="F1008" t="s">
        <v>2401</v>
      </c>
      <c r="G1008" t="s">
        <v>2401</v>
      </c>
      <c r="H1008" t="s">
        <v>2401</v>
      </c>
      <c r="I1008" t="s">
        <v>2401</v>
      </c>
      <c r="J1008" t="s">
        <v>6365</v>
      </c>
      <c r="K1008" t="s">
        <v>2433</v>
      </c>
      <c r="L1008" t="s">
        <v>2401</v>
      </c>
      <c r="M1008" s="14">
        <v>45565.566666666666</v>
      </c>
      <c r="N1008" t="s">
        <v>6366</v>
      </c>
      <c r="O1008" t="s">
        <v>6367</v>
      </c>
      <c r="P1008" t="s">
        <v>2401</v>
      </c>
      <c r="Q1008" t="s">
        <v>2401</v>
      </c>
      <c r="R1008" t="s">
        <v>2401</v>
      </c>
      <c r="S1008" t="s">
        <v>2401</v>
      </c>
    </row>
    <row r="1009" spans="1:19">
      <c r="A1009" t="s">
        <v>6368</v>
      </c>
      <c r="B1009" t="s">
        <v>6369</v>
      </c>
      <c r="C1009" t="s">
        <v>2401</v>
      </c>
      <c r="D1009" t="s">
        <v>2401</v>
      </c>
      <c r="E1009" t="s">
        <v>2401</v>
      </c>
      <c r="F1009" t="s">
        <v>2401</v>
      </c>
      <c r="G1009" t="s">
        <v>2401</v>
      </c>
      <c r="H1009" t="s">
        <v>2401</v>
      </c>
      <c r="I1009" t="s">
        <v>2401</v>
      </c>
      <c r="J1009" t="s">
        <v>6370</v>
      </c>
      <c r="K1009" t="s">
        <v>3071</v>
      </c>
      <c r="L1009" t="s">
        <v>2401</v>
      </c>
      <c r="M1009" s="14">
        <v>45565.65347222222</v>
      </c>
      <c r="N1009" t="s">
        <v>6371</v>
      </c>
      <c r="O1009" t="s">
        <v>6372</v>
      </c>
      <c r="P1009" t="s">
        <v>2401</v>
      </c>
      <c r="Q1009" t="s">
        <v>2401</v>
      </c>
      <c r="R1009" t="s">
        <v>2401</v>
      </c>
      <c r="S1009" t="s">
        <v>2401</v>
      </c>
    </row>
    <row r="1010" spans="1:19">
      <c r="A1010" t="s">
        <v>6373</v>
      </c>
      <c r="B1010" t="s">
        <v>805</v>
      </c>
      <c r="C1010" t="s">
        <v>2401</v>
      </c>
      <c r="D1010" t="s">
        <v>2401</v>
      </c>
      <c r="E1010" t="s">
        <v>2401</v>
      </c>
      <c r="F1010" t="s">
        <v>2401</v>
      </c>
      <c r="G1010" t="s">
        <v>2401</v>
      </c>
      <c r="H1010" t="s">
        <v>2401</v>
      </c>
      <c r="I1010" t="s">
        <v>2401</v>
      </c>
      <c r="J1010" t="s">
        <v>2401</v>
      </c>
      <c r="K1010" t="s">
        <v>2401</v>
      </c>
      <c r="L1010" t="s">
        <v>2401</v>
      </c>
      <c r="M1010" s="14">
        <v>45390.607638888891</v>
      </c>
      <c r="N1010" t="s">
        <v>2401</v>
      </c>
      <c r="O1010" t="s">
        <v>2586</v>
      </c>
      <c r="P1010" t="s">
        <v>2401</v>
      </c>
      <c r="Q1010" t="s">
        <v>2401</v>
      </c>
      <c r="R1010" t="s">
        <v>2401</v>
      </c>
      <c r="S1010" t="s">
        <v>2401</v>
      </c>
    </row>
    <row r="1011" spans="1:19">
      <c r="A1011" t="s">
        <v>6374</v>
      </c>
      <c r="B1011" t="s">
        <v>6375</v>
      </c>
      <c r="C1011" t="s">
        <v>2401</v>
      </c>
      <c r="D1011" t="s">
        <v>2401</v>
      </c>
      <c r="E1011" t="s">
        <v>2401</v>
      </c>
      <c r="F1011" t="s">
        <v>2401</v>
      </c>
      <c r="G1011" t="s">
        <v>2401</v>
      </c>
      <c r="H1011" t="s">
        <v>2401</v>
      </c>
      <c r="I1011" t="s">
        <v>2401</v>
      </c>
      <c r="J1011" t="s">
        <v>2401</v>
      </c>
      <c r="K1011" t="s">
        <v>2401</v>
      </c>
      <c r="L1011" t="s">
        <v>2401</v>
      </c>
      <c r="M1011" s="14">
        <v>45399.554861111108</v>
      </c>
      <c r="N1011" t="s">
        <v>2401</v>
      </c>
      <c r="O1011" t="s">
        <v>2401</v>
      </c>
      <c r="P1011" t="s">
        <v>2401</v>
      </c>
      <c r="Q1011" t="s">
        <v>2401</v>
      </c>
      <c r="R1011" t="s">
        <v>2401</v>
      </c>
      <c r="S1011" t="s">
        <v>2401</v>
      </c>
    </row>
    <row r="1012" spans="1:19">
      <c r="A1012" t="s">
        <v>6376</v>
      </c>
      <c r="B1012" t="s">
        <v>6377</v>
      </c>
      <c r="C1012" t="s">
        <v>2401</v>
      </c>
      <c r="D1012" t="s">
        <v>2401</v>
      </c>
      <c r="E1012" t="s">
        <v>2401</v>
      </c>
      <c r="F1012" t="s">
        <v>2401</v>
      </c>
      <c r="G1012" t="s">
        <v>2401</v>
      </c>
      <c r="H1012" t="s">
        <v>2401</v>
      </c>
      <c r="I1012" t="s">
        <v>2401</v>
      </c>
      <c r="J1012" t="s">
        <v>2401</v>
      </c>
      <c r="K1012" t="s">
        <v>2720</v>
      </c>
      <c r="L1012" t="s">
        <v>2401</v>
      </c>
      <c r="M1012" s="14">
        <v>45390.607638888891</v>
      </c>
      <c r="N1012" t="s">
        <v>2401</v>
      </c>
      <c r="O1012" t="s">
        <v>6378</v>
      </c>
      <c r="P1012" t="s">
        <v>2401</v>
      </c>
      <c r="Q1012" t="s">
        <v>2401</v>
      </c>
      <c r="R1012" t="s">
        <v>2401</v>
      </c>
      <c r="S1012" t="s">
        <v>2401</v>
      </c>
    </row>
    <row r="1013" spans="1:19">
      <c r="A1013" t="s">
        <v>6379</v>
      </c>
      <c r="B1013" t="s">
        <v>6377</v>
      </c>
      <c r="C1013" t="s">
        <v>2401</v>
      </c>
      <c r="D1013" t="s">
        <v>2401</v>
      </c>
      <c r="E1013" t="s">
        <v>2401</v>
      </c>
      <c r="F1013" t="s">
        <v>2401</v>
      </c>
      <c r="G1013" t="s">
        <v>2401</v>
      </c>
      <c r="H1013" t="s">
        <v>2401</v>
      </c>
      <c r="I1013" t="s">
        <v>2401</v>
      </c>
      <c r="J1013" t="s">
        <v>6380</v>
      </c>
      <c r="K1013" t="s">
        <v>2720</v>
      </c>
      <c r="L1013" t="s">
        <v>2401</v>
      </c>
      <c r="M1013" s="14">
        <v>45167.592361111114</v>
      </c>
      <c r="N1013" t="s">
        <v>6381</v>
      </c>
      <c r="O1013" t="s">
        <v>6378</v>
      </c>
      <c r="P1013" t="s">
        <v>2401</v>
      </c>
      <c r="Q1013" t="s">
        <v>2401</v>
      </c>
      <c r="R1013" t="s">
        <v>2401</v>
      </c>
      <c r="S1013" t="s">
        <v>2401</v>
      </c>
    </row>
    <row r="1014" spans="1:19">
      <c r="A1014" t="s">
        <v>6382</v>
      </c>
      <c r="B1014" t="s">
        <v>811</v>
      </c>
      <c r="C1014" t="s">
        <v>2401</v>
      </c>
      <c r="D1014" t="s">
        <v>2401</v>
      </c>
      <c r="E1014" t="s">
        <v>2401</v>
      </c>
      <c r="F1014" t="s">
        <v>2401</v>
      </c>
      <c r="G1014" t="s">
        <v>2401</v>
      </c>
      <c r="H1014" t="s">
        <v>2401</v>
      </c>
      <c r="I1014" t="s">
        <v>2401</v>
      </c>
      <c r="J1014" t="s">
        <v>2401</v>
      </c>
      <c r="K1014" t="s">
        <v>2455</v>
      </c>
      <c r="L1014" t="s">
        <v>2401</v>
      </c>
      <c r="M1014" s="14">
        <v>45390.607638888891</v>
      </c>
      <c r="N1014" t="s">
        <v>2401</v>
      </c>
      <c r="O1014" t="s">
        <v>6383</v>
      </c>
      <c r="P1014" t="s">
        <v>2401</v>
      </c>
      <c r="Q1014" t="s">
        <v>2401</v>
      </c>
      <c r="R1014" t="s">
        <v>2401</v>
      </c>
      <c r="S1014" t="s">
        <v>2401</v>
      </c>
    </row>
    <row r="1015" spans="1:19">
      <c r="A1015" t="s">
        <v>6384</v>
      </c>
      <c r="B1015" t="s">
        <v>811</v>
      </c>
      <c r="C1015" t="s">
        <v>2401</v>
      </c>
      <c r="D1015" t="s">
        <v>2401</v>
      </c>
      <c r="E1015" t="s">
        <v>2401</v>
      </c>
      <c r="F1015" t="s">
        <v>2401</v>
      </c>
      <c r="G1015" t="s">
        <v>2401</v>
      </c>
      <c r="H1015" t="s">
        <v>2401</v>
      </c>
      <c r="I1015" t="s">
        <v>2401</v>
      </c>
      <c r="J1015" t="s">
        <v>6385</v>
      </c>
      <c r="K1015" t="s">
        <v>2455</v>
      </c>
      <c r="L1015" t="s">
        <v>2401</v>
      </c>
      <c r="M1015" s="14">
        <v>45167.661805555559</v>
      </c>
      <c r="N1015" t="s">
        <v>6386</v>
      </c>
      <c r="O1015" t="s">
        <v>6383</v>
      </c>
      <c r="P1015" t="s">
        <v>2401</v>
      </c>
      <c r="Q1015" t="s">
        <v>2401</v>
      </c>
      <c r="R1015" t="s">
        <v>2401</v>
      </c>
      <c r="S1015" t="s">
        <v>2401</v>
      </c>
    </row>
    <row r="1016" spans="1:19">
      <c r="A1016" t="s">
        <v>6387</v>
      </c>
      <c r="B1016" t="s">
        <v>6388</v>
      </c>
      <c r="C1016" t="s">
        <v>2401</v>
      </c>
      <c r="D1016" t="s">
        <v>2401</v>
      </c>
      <c r="E1016" t="s">
        <v>2401</v>
      </c>
      <c r="F1016" t="s">
        <v>2401</v>
      </c>
      <c r="G1016" t="s">
        <v>2401</v>
      </c>
      <c r="H1016" t="s">
        <v>2401</v>
      </c>
      <c r="I1016" t="s">
        <v>2401</v>
      </c>
      <c r="J1016" t="s">
        <v>2401</v>
      </c>
      <c r="K1016" t="s">
        <v>2401</v>
      </c>
      <c r="L1016" t="s">
        <v>2401</v>
      </c>
      <c r="M1016" s="14">
        <v>45399.554861111108</v>
      </c>
      <c r="N1016" t="s">
        <v>2401</v>
      </c>
      <c r="O1016" t="s">
        <v>2401</v>
      </c>
      <c r="P1016" t="s">
        <v>2401</v>
      </c>
      <c r="Q1016" t="s">
        <v>2401</v>
      </c>
      <c r="R1016" t="s">
        <v>2401</v>
      </c>
      <c r="S1016" t="s">
        <v>2401</v>
      </c>
    </row>
    <row r="1017" spans="1:19">
      <c r="A1017" t="s">
        <v>6389</v>
      </c>
      <c r="B1017" t="s">
        <v>6390</v>
      </c>
      <c r="C1017" t="s">
        <v>2401</v>
      </c>
      <c r="D1017" t="s">
        <v>2401</v>
      </c>
      <c r="E1017" t="s">
        <v>2401</v>
      </c>
      <c r="F1017" t="s">
        <v>2401</v>
      </c>
      <c r="G1017" t="s">
        <v>2401</v>
      </c>
      <c r="H1017" t="s">
        <v>2401</v>
      </c>
      <c r="I1017" t="s">
        <v>2401</v>
      </c>
      <c r="J1017" t="s">
        <v>6390</v>
      </c>
      <c r="K1017" t="s">
        <v>2401</v>
      </c>
      <c r="L1017" t="s">
        <v>2401</v>
      </c>
      <c r="M1017" s="14">
        <v>45565.665972222225</v>
      </c>
      <c r="N1017" t="s">
        <v>6391</v>
      </c>
      <c r="O1017" t="s">
        <v>6392</v>
      </c>
      <c r="P1017" t="s">
        <v>2401</v>
      </c>
      <c r="Q1017" t="s">
        <v>2401</v>
      </c>
      <c r="R1017" t="s">
        <v>2401</v>
      </c>
      <c r="S1017" t="s">
        <v>2401</v>
      </c>
    </row>
    <row r="1018" spans="1:19">
      <c r="A1018" t="s">
        <v>6393</v>
      </c>
      <c r="B1018" t="s">
        <v>6394</v>
      </c>
      <c r="C1018" t="s">
        <v>2401</v>
      </c>
      <c r="D1018" t="s">
        <v>2401</v>
      </c>
      <c r="E1018" t="s">
        <v>2401</v>
      </c>
      <c r="F1018" t="s">
        <v>2401</v>
      </c>
      <c r="G1018" t="s">
        <v>2401</v>
      </c>
      <c r="H1018" t="s">
        <v>2401</v>
      </c>
      <c r="I1018" t="s">
        <v>2401</v>
      </c>
      <c r="J1018" t="s">
        <v>6395</v>
      </c>
      <c r="K1018" t="s">
        <v>2749</v>
      </c>
      <c r="L1018" t="s">
        <v>2401</v>
      </c>
      <c r="M1018" s="14">
        <v>45555.593055555553</v>
      </c>
      <c r="N1018" t="s">
        <v>6396</v>
      </c>
      <c r="O1018" t="s">
        <v>6397</v>
      </c>
      <c r="P1018" t="s">
        <v>2401</v>
      </c>
      <c r="Q1018" t="s">
        <v>2401</v>
      </c>
      <c r="R1018" t="s">
        <v>2401</v>
      </c>
      <c r="S1018" t="s">
        <v>2401</v>
      </c>
    </row>
    <row r="1019" spans="1:19">
      <c r="A1019" t="s">
        <v>6398</v>
      </c>
      <c r="B1019" t="s">
        <v>6399</v>
      </c>
      <c r="C1019" t="s">
        <v>2401</v>
      </c>
      <c r="D1019" t="s">
        <v>2401</v>
      </c>
      <c r="E1019" t="s">
        <v>2401</v>
      </c>
      <c r="F1019" t="s">
        <v>2401</v>
      </c>
      <c r="G1019" t="s">
        <v>2401</v>
      </c>
      <c r="H1019" t="s">
        <v>2401</v>
      </c>
      <c r="I1019" t="s">
        <v>2401</v>
      </c>
      <c r="J1019" t="s">
        <v>6400</v>
      </c>
      <c r="K1019" t="s">
        <v>3218</v>
      </c>
      <c r="L1019" t="s">
        <v>2401</v>
      </c>
      <c r="M1019" s="14">
        <v>45426.551388888889</v>
      </c>
      <c r="N1019" t="s">
        <v>6401</v>
      </c>
      <c r="O1019" t="s">
        <v>2401</v>
      </c>
      <c r="P1019" t="s">
        <v>6402</v>
      </c>
      <c r="Q1019">
        <v>1</v>
      </c>
      <c r="R1019" t="s">
        <v>2401</v>
      </c>
      <c r="S1019" t="s">
        <v>6403</v>
      </c>
    </row>
    <row r="1020" spans="1:19">
      <c r="A1020" t="s">
        <v>6404</v>
      </c>
      <c r="B1020" t="s">
        <v>6405</v>
      </c>
      <c r="C1020" t="s">
        <v>2401</v>
      </c>
      <c r="D1020" t="s">
        <v>2401</v>
      </c>
      <c r="E1020" t="s">
        <v>2401</v>
      </c>
      <c r="F1020" t="s">
        <v>2401</v>
      </c>
      <c r="G1020" t="s">
        <v>2401</v>
      </c>
      <c r="H1020" t="s">
        <v>2401</v>
      </c>
      <c r="I1020" t="s">
        <v>2401</v>
      </c>
      <c r="J1020" t="s">
        <v>2401</v>
      </c>
      <c r="K1020" t="s">
        <v>2401</v>
      </c>
      <c r="L1020" t="s">
        <v>2401</v>
      </c>
      <c r="M1020" s="14">
        <v>45399.554861111108</v>
      </c>
      <c r="N1020" t="s">
        <v>2401</v>
      </c>
      <c r="O1020" t="s">
        <v>2401</v>
      </c>
      <c r="P1020" t="s">
        <v>2401</v>
      </c>
      <c r="Q1020" t="s">
        <v>2401</v>
      </c>
      <c r="R1020" t="s">
        <v>2401</v>
      </c>
      <c r="S1020" t="s">
        <v>2401</v>
      </c>
    </row>
    <row r="1021" spans="1:19">
      <c r="A1021" t="s">
        <v>6406</v>
      </c>
      <c r="B1021" t="s">
        <v>6407</v>
      </c>
      <c r="C1021" t="s">
        <v>2401</v>
      </c>
      <c r="D1021" t="s">
        <v>2401</v>
      </c>
      <c r="E1021" t="s">
        <v>2401</v>
      </c>
      <c r="F1021" t="s">
        <v>2401</v>
      </c>
      <c r="G1021" t="s">
        <v>2401</v>
      </c>
      <c r="H1021" t="s">
        <v>2401</v>
      </c>
      <c r="I1021" t="s">
        <v>2401</v>
      </c>
      <c r="J1021" t="s">
        <v>6408</v>
      </c>
      <c r="K1021" t="s">
        <v>3071</v>
      </c>
      <c r="L1021" t="s">
        <v>2401</v>
      </c>
      <c r="M1021" s="14">
        <v>45565.656944444447</v>
      </c>
      <c r="N1021" t="s">
        <v>6409</v>
      </c>
      <c r="O1021" t="s">
        <v>6410</v>
      </c>
      <c r="P1021" t="s">
        <v>2401</v>
      </c>
      <c r="Q1021" t="s">
        <v>2401</v>
      </c>
      <c r="R1021" t="s">
        <v>2401</v>
      </c>
      <c r="S1021" t="s">
        <v>2401</v>
      </c>
    </row>
    <row r="1022" spans="1:19">
      <c r="A1022" t="s">
        <v>6411</v>
      </c>
      <c r="B1022" t="s">
        <v>6412</v>
      </c>
      <c r="C1022" t="s">
        <v>2401</v>
      </c>
      <c r="D1022" t="s">
        <v>2401</v>
      </c>
      <c r="E1022" t="s">
        <v>2401</v>
      </c>
      <c r="F1022" t="s">
        <v>2401</v>
      </c>
      <c r="G1022" t="s">
        <v>2401</v>
      </c>
      <c r="H1022" t="s">
        <v>2401</v>
      </c>
      <c r="I1022" t="s">
        <v>2401</v>
      </c>
      <c r="J1022" t="s">
        <v>2401</v>
      </c>
      <c r="K1022" t="s">
        <v>2401</v>
      </c>
      <c r="L1022" t="s">
        <v>2401</v>
      </c>
      <c r="M1022" s="14">
        <v>45390.607638888891</v>
      </c>
      <c r="N1022" t="s">
        <v>2401</v>
      </c>
      <c r="O1022" t="s">
        <v>6413</v>
      </c>
      <c r="P1022" t="s">
        <v>2401</v>
      </c>
      <c r="Q1022" t="s">
        <v>2401</v>
      </c>
      <c r="R1022" t="s">
        <v>2401</v>
      </c>
      <c r="S1022" t="s">
        <v>2401</v>
      </c>
    </row>
    <row r="1023" spans="1:19">
      <c r="A1023" t="s">
        <v>6414</v>
      </c>
      <c r="B1023" t="s">
        <v>6415</v>
      </c>
      <c r="C1023" t="s">
        <v>2401</v>
      </c>
      <c r="D1023" t="s">
        <v>2401</v>
      </c>
      <c r="E1023" t="s">
        <v>2401</v>
      </c>
      <c r="F1023" t="s">
        <v>2401</v>
      </c>
      <c r="G1023" t="s">
        <v>2401</v>
      </c>
      <c r="H1023" t="s">
        <v>2401</v>
      </c>
      <c r="I1023" t="s">
        <v>2401</v>
      </c>
      <c r="J1023" t="s">
        <v>2401</v>
      </c>
      <c r="K1023" t="s">
        <v>2401</v>
      </c>
      <c r="L1023" t="s">
        <v>2401</v>
      </c>
      <c r="M1023" s="14">
        <v>45399.554861111108</v>
      </c>
      <c r="N1023" t="s">
        <v>2401</v>
      </c>
      <c r="O1023" t="s">
        <v>2401</v>
      </c>
      <c r="P1023" t="s">
        <v>2401</v>
      </c>
      <c r="Q1023" t="s">
        <v>2401</v>
      </c>
      <c r="R1023" t="s">
        <v>2401</v>
      </c>
      <c r="S1023" t="s">
        <v>2401</v>
      </c>
    </row>
    <row r="1024" spans="1:19">
      <c r="A1024" t="s">
        <v>6416</v>
      </c>
      <c r="B1024" t="s">
        <v>6417</v>
      </c>
      <c r="C1024" t="s">
        <v>2401</v>
      </c>
      <c r="D1024" t="s">
        <v>2401</v>
      </c>
      <c r="E1024" t="s">
        <v>2401</v>
      </c>
      <c r="F1024" t="s">
        <v>2401</v>
      </c>
      <c r="G1024" t="s">
        <v>2401</v>
      </c>
      <c r="H1024" t="s">
        <v>2401</v>
      </c>
      <c r="I1024" t="s">
        <v>2401</v>
      </c>
      <c r="J1024" t="s">
        <v>2401</v>
      </c>
      <c r="K1024" t="s">
        <v>2401</v>
      </c>
      <c r="L1024" t="s">
        <v>2401</v>
      </c>
      <c r="M1024" s="14">
        <v>45390.607638888891</v>
      </c>
      <c r="N1024" t="s">
        <v>2401</v>
      </c>
      <c r="O1024" t="s">
        <v>6418</v>
      </c>
      <c r="P1024" t="s">
        <v>2401</v>
      </c>
      <c r="Q1024" t="s">
        <v>2401</v>
      </c>
      <c r="R1024" t="s">
        <v>2401</v>
      </c>
      <c r="S1024" t="s">
        <v>2401</v>
      </c>
    </row>
    <row r="1025" spans="1:19">
      <c r="A1025" t="s">
        <v>6419</v>
      </c>
      <c r="B1025" t="s">
        <v>6420</v>
      </c>
      <c r="C1025" t="s">
        <v>2401</v>
      </c>
      <c r="D1025" t="s">
        <v>2401</v>
      </c>
      <c r="E1025" t="s">
        <v>2401</v>
      </c>
      <c r="F1025" t="s">
        <v>2401</v>
      </c>
      <c r="G1025" t="s">
        <v>2401</v>
      </c>
      <c r="H1025" t="s">
        <v>2401</v>
      </c>
      <c r="I1025" t="s">
        <v>2401</v>
      </c>
      <c r="J1025" t="s">
        <v>2401</v>
      </c>
      <c r="K1025" t="s">
        <v>2401</v>
      </c>
      <c r="L1025" t="s">
        <v>2401</v>
      </c>
      <c r="M1025" s="14">
        <v>45399.554861111108</v>
      </c>
      <c r="N1025" t="s">
        <v>2401</v>
      </c>
      <c r="O1025" t="s">
        <v>2401</v>
      </c>
      <c r="P1025" t="s">
        <v>2401</v>
      </c>
      <c r="Q1025" t="s">
        <v>2401</v>
      </c>
      <c r="R1025" t="s">
        <v>2401</v>
      </c>
      <c r="S1025" t="s">
        <v>2401</v>
      </c>
    </row>
    <row r="1026" spans="1:19">
      <c r="A1026" t="s">
        <v>6421</v>
      </c>
      <c r="B1026" t="s">
        <v>1824</v>
      </c>
      <c r="C1026" t="s">
        <v>2401</v>
      </c>
      <c r="D1026" t="s">
        <v>2401</v>
      </c>
      <c r="E1026" t="s">
        <v>2401</v>
      </c>
      <c r="F1026" t="s">
        <v>2401</v>
      </c>
      <c r="G1026" t="s">
        <v>2401</v>
      </c>
      <c r="H1026" t="s">
        <v>2401</v>
      </c>
      <c r="I1026" t="s">
        <v>61</v>
      </c>
      <c r="J1026" t="s">
        <v>6422</v>
      </c>
      <c r="K1026" t="s">
        <v>3155</v>
      </c>
      <c r="L1026" t="s">
        <v>2401</v>
      </c>
      <c r="M1026" s="14">
        <v>45399.554861111108</v>
      </c>
      <c r="N1026" t="s">
        <v>6423</v>
      </c>
      <c r="O1026" t="s">
        <v>6424</v>
      </c>
      <c r="P1026" t="s">
        <v>2401</v>
      </c>
      <c r="Q1026" t="s">
        <v>2401</v>
      </c>
      <c r="R1026" t="s">
        <v>2401</v>
      </c>
      <c r="S1026" t="s">
        <v>2401</v>
      </c>
    </row>
    <row r="1027" spans="1:19">
      <c r="A1027" t="s">
        <v>6425</v>
      </c>
      <c r="B1027" t="s">
        <v>1824</v>
      </c>
      <c r="C1027" t="s">
        <v>2401</v>
      </c>
      <c r="D1027" t="s">
        <v>2401</v>
      </c>
      <c r="E1027" t="s">
        <v>2401</v>
      </c>
      <c r="F1027" t="s">
        <v>2401</v>
      </c>
      <c r="G1027" t="s">
        <v>2401</v>
      </c>
      <c r="H1027" t="s">
        <v>2401</v>
      </c>
      <c r="I1027" t="s">
        <v>2401</v>
      </c>
      <c r="J1027" t="s">
        <v>2401</v>
      </c>
      <c r="K1027" t="s">
        <v>2401</v>
      </c>
      <c r="L1027" t="s">
        <v>2401</v>
      </c>
      <c r="M1027" s="14">
        <v>45390.607638888891</v>
      </c>
      <c r="N1027" t="s">
        <v>2401</v>
      </c>
      <c r="O1027" t="s">
        <v>2586</v>
      </c>
      <c r="P1027" t="s">
        <v>2401</v>
      </c>
      <c r="Q1027" t="s">
        <v>2401</v>
      </c>
      <c r="R1027" t="s">
        <v>2401</v>
      </c>
      <c r="S1027" t="s">
        <v>2401</v>
      </c>
    </row>
    <row r="1028" spans="1:19">
      <c r="A1028" t="s">
        <v>6426</v>
      </c>
      <c r="B1028" t="s">
        <v>6427</v>
      </c>
      <c r="C1028" t="s">
        <v>2401</v>
      </c>
      <c r="D1028" t="s">
        <v>2401</v>
      </c>
      <c r="E1028" t="s">
        <v>2401</v>
      </c>
      <c r="F1028" t="s">
        <v>2401</v>
      </c>
      <c r="G1028" t="s">
        <v>2401</v>
      </c>
      <c r="H1028" t="s">
        <v>2401</v>
      </c>
      <c r="I1028" t="s">
        <v>2401</v>
      </c>
      <c r="J1028" t="s">
        <v>2401</v>
      </c>
      <c r="K1028" t="s">
        <v>2406</v>
      </c>
      <c r="L1028" t="s">
        <v>2401</v>
      </c>
      <c r="M1028" s="14">
        <v>45390.607638888891</v>
      </c>
      <c r="N1028" t="s">
        <v>2401</v>
      </c>
      <c r="O1028" t="s">
        <v>2401</v>
      </c>
      <c r="P1028" t="s">
        <v>2401</v>
      </c>
      <c r="Q1028" t="s">
        <v>2401</v>
      </c>
      <c r="R1028" t="s">
        <v>2401</v>
      </c>
      <c r="S1028" t="s">
        <v>2401</v>
      </c>
    </row>
    <row r="1029" spans="1:19">
      <c r="A1029" t="s">
        <v>6428</v>
      </c>
      <c r="B1029" t="s">
        <v>6429</v>
      </c>
      <c r="C1029" t="s">
        <v>2401</v>
      </c>
      <c r="D1029" t="s">
        <v>2401</v>
      </c>
      <c r="E1029" t="s">
        <v>2401</v>
      </c>
      <c r="F1029" t="s">
        <v>2401</v>
      </c>
      <c r="G1029" t="s">
        <v>2401</v>
      </c>
      <c r="H1029" t="s">
        <v>2401</v>
      </c>
      <c r="I1029" t="s">
        <v>2401</v>
      </c>
      <c r="J1029" t="s">
        <v>2401</v>
      </c>
      <c r="K1029" t="s">
        <v>2401</v>
      </c>
      <c r="L1029" t="s">
        <v>2401</v>
      </c>
      <c r="M1029" s="14">
        <v>45399.554861111108</v>
      </c>
      <c r="N1029" t="s">
        <v>2401</v>
      </c>
      <c r="O1029" t="s">
        <v>2401</v>
      </c>
      <c r="P1029" t="s">
        <v>2401</v>
      </c>
      <c r="Q1029" t="s">
        <v>2401</v>
      </c>
      <c r="R1029" t="s">
        <v>2401</v>
      </c>
      <c r="S1029" t="s">
        <v>2401</v>
      </c>
    </row>
    <row r="1030" spans="1:19">
      <c r="A1030" t="s">
        <v>6430</v>
      </c>
      <c r="B1030" t="s">
        <v>6431</v>
      </c>
      <c r="C1030" t="s">
        <v>2401</v>
      </c>
      <c r="D1030" t="s">
        <v>2401</v>
      </c>
      <c r="E1030" t="s">
        <v>2401</v>
      </c>
      <c r="F1030" t="s">
        <v>2401</v>
      </c>
      <c r="G1030" t="s">
        <v>2401</v>
      </c>
      <c r="H1030" t="s">
        <v>2401</v>
      </c>
      <c r="I1030" t="s">
        <v>61</v>
      </c>
      <c r="J1030" t="s">
        <v>6432</v>
      </c>
      <c r="K1030" t="s">
        <v>3049</v>
      </c>
      <c r="L1030" t="s">
        <v>2401</v>
      </c>
      <c r="M1030" s="14">
        <v>45399.554861111108</v>
      </c>
      <c r="N1030" t="s">
        <v>6433</v>
      </c>
      <c r="O1030" t="s">
        <v>6434</v>
      </c>
      <c r="P1030" t="s">
        <v>2401</v>
      </c>
      <c r="Q1030" t="s">
        <v>2401</v>
      </c>
      <c r="R1030" t="s">
        <v>2401</v>
      </c>
      <c r="S1030" t="s">
        <v>2401</v>
      </c>
    </row>
    <row r="1031" spans="1:19">
      <c r="A1031" t="s">
        <v>6435</v>
      </c>
      <c r="B1031" t="s">
        <v>6436</v>
      </c>
      <c r="C1031" t="s">
        <v>2401</v>
      </c>
      <c r="D1031" t="s">
        <v>2401</v>
      </c>
      <c r="E1031" t="s">
        <v>2401</v>
      </c>
      <c r="F1031" t="s">
        <v>2401</v>
      </c>
      <c r="G1031" t="s">
        <v>2401</v>
      </c>
      <c r="H1031" t="s">
        <v>2401</v>
      </c>
      <c r="I1031" t="s">
        <v>61</v>
      </c>
      <c r="J1031" t="s">
        <v>2401</v>
      </c>
      <c r="K1031" t="s">
        <v>2401</v>
      </c>
      <c r="L1031" t="s">
        <v>2401</v>
      </c>
      <c r="M1031" s="14">
        <v>45399.554861111108</v>
      </c>
      <c r="N1031" t="s">
        <v>2401</v>
      </c>
      <c r="O1031" t="s">
        <v>2401</v>
      </c>
      <c r="P1031" t="s">
        <v>2401</v>
      </c>
      <c r="Q1031" t="s">
        <v>2401</v>
      </c>
      <c r="R1031" t="s">
        <v>2401</v>
      </c>
      <c r="S1031" t="s">
        <v>2401</v>
      </c>
    </row>
    <row r="1032" spans="1:19">
      <c r="A1032" t="s">
        <v>6437</v>
      </c>
      <c r="B1032" t="s">
        <v>6438</v>
      </c>
      <c r="C1032" t="s">
        <v>2401</v>
      </c>
      <c r="D1032" t="s">
        <v>2401</v>
      </c>
      <c r="E1032" t="s">
        <v>2401</v>
      </c>
      <c r="F1032" t="s">
        <v>2401</v>
      </c>
      <c r="G1032" t="s">
        <v>2401</v>
      </c>
      <c r="H1032" t="s">
        <v>2401</v>
      </c>
      <c r="I1032" t="s">
        <v>2401</v>
      </c>
      <c r="J1032" t="s">
        <v>6439</v>
      </c>
      <c r="K1032" t="s">
        <v>2433</v>
      </c>
      <c r="L1032" t="s">
        <v>2401</v>
      </c>
      <c r="M1032" s="14">
        <v>45565.7</v>
      </c>
      <c r="N1032" t="s">
        <v>6440</v>
      </c>
      <c r="O1032" t="s">
        <v>6441</v>
      </c>
      <c r="P1032" t="s">
        <v>2401</v>
      </c>
      <c r="Q1032" t="s">
        <v>2401</v>
      </c>
      <c r="R1032" t="s">
        <v>2401</v>
      </c>
      <c r="S1032" t="s">
        <v>2401</v>
      </c>
    </row>
    <row r="1033" spans="1:19">
      <c r="A1033" t="s">
        <v>6442</v>
      </c>
      <c r="B1033" t="s">
        <v>6443</v>
      </c>
      <c r="C1033" t="s">
        <v>2401</v>
      </c>
      <c r="D1033" t="s">
        <v>2401</v>
      </c>
      <c r="E1033" t="s">
        <v>2401</v>
      </c>
      <c r="F1033" t="s">
        <v>2401</v>
      </c>
      <c r="G1033" t="s">
        <v>2401</v>
      </c>
      <c r="H1033" t="s">
        <v>2401</v>
      </c>
      <c r="I1033" t="s">
        <v>2401</v>
      </c>
      <c r="J1033" t="s">
        <v>2401</v>
      </c>
      <c r="K1033" t="s">
        <v>2401</v>
      </c>
      <c r="L1033" t="s">
        <v>2401</v>
      </c>
      <c r="M1033" s="14">
        <v>45390.607638888891</v>
      </c>
      <c r="N1033" t="s">
        <v>2401</v>
      </c>
      <c r="O1033" t="s">
        <v>6444</v>
      </c>
      <c r="P1033" t="s">
        <v>2401</v>
      </c>
      <c r="Q1033" t="s">
        <v>2401</v>
      </c>
      <c r="R1033" t="s">
        <v>2401</v>
      </c>
      <c r="S1033" t="s">
        <v>2401</v>
      </c>
    </row>
    <row r="1034" spans="1:19">
      <c r="A1034" t="s">
        <v>6445</v>
      </c>
      <c r="B1034" t="s">
        <v>6446</v>
      </c>
      <c r="C1034" t="s">
        <v>2401</v>
      </c>
      <c r="D1034" t="s">
        <v>2401</v>
      </c>
      <c r="E1034" t="s">
        <v>2401</v>
      </c>
      <c r="F1034" t="s">
        <v>2401</v>
      </c>
      <c r="G1034" t="s">
        <v>2401</v>
      </c>
      <c r="H1034" t="s">
        <v>2401</v>
      </c>
      <c r="I1034" t="s">
        <v>2401</v>
      </c>
      <c r="J1034" t="s">
        <v>6447</v>
      </c>
      <c r="K1034" t="s">
        <v>4989</v>
      </c>
      <c r="L1034" t="s">
        <v>2401</v>
      </c>
      <c r="M1034" s="14">
        <v>45565.705555555556</v>
      </c>
      <c r="N1034" t="s">
        <v>6448</v>
      </c>
      <c r="O1034" t="s">
        <v>6449</v>
      </c>
      <c r="P1034" t="s">
        <v>2401</v>
      </c>
      <c r="Q1034" t="s">
        <v>2401</v>
      </c>
      <c r="R1034" t="s">
        <v>2401</v>
      </c>
      <c r="S1034" t="s">
        <v>2401</v>
      </c>
    </row>
    <row r="1035" spans="1:19">
      <c r="A1035" t="s">
        <v>6450</v>
      </c>
      <c r="B1035" t="s">
        <v>6451</v>
      </c>
      <c r="C1035" t="s">
        <v>2401</v>
      </c>
      <c r="D1035" t="s">
        <v>2401</v>
      </c>
      <c r="E1035" t="s">
        <v>2401</v>
      </c>
      <c r="F1035" t="s">
        <v>2401</v>
      </c>
      <c r="G1035" t="s">
        <v>2401</v>
      </c>
      <c r="H1035" t="s">
        <v>2401</v>
      </c>
      <c r="I1035" t="s">
        <v>2401</v>
      </c>
      <c r="J1035" t="s">
        <v>6452</v>
      </c>
      <c r="K1035" t="s">
        <v>2499</v>
      </c>
      <c r="L1035" t="s">
        <v>2401</v>
      </c>
      <c r="M1035" s="14">
        <v>45565.676388888889</v>
      </c>
      <c r="N1035" t="s">
        <v>6453</v>
      </c>
      <c r="O1035" t="s">
        <v>2401</v>
      </c>
      <c r="P1035" t="s">
        <v>2401</v>
      </c>
      <c r="Q1035" t="s">
        <v>2401</v>
      </c>
      <c r="R1035" t="s">
        <v>2401</v>
      </c>
      <c r="S1035" t="s">
        <v>2401</v>
      </c>
    </row>
    <row r="1036" spans="1:19">
      <c r="A1036" t="s">
        <v>6454</v>
      </c>
      <c r="B1036" t="s">
        <v>1834</v>
      </c>
      <c r="C1036" t="s">
        <v>2401</v>
      </c>
      <c r="D1036" t="s">
        <v>2401</v>
      </c>
      <c r="E1036" t="s">
        <v>2401</v>
      </c>
      <c r="F1036" t="s">
        <v>2401</v>
      </c>
      <c r="G1036" t="s">
        <v>2401</v>
      </c>
      <c r="H1036" t="s">
        <v>2401</v>
      </c>
      <c r="I1036" t="s">
        <v>2401</v>
      </c>
      <c r="J1036" t="s">
        <v>6455</v>
      </c>
      <c r="K1036" t="s">
        <v>2492</v>
      </c>
      <c r="L1036" t="s">
        <v>2401</v>
      </c>
      <c r="M1036" s="14">
        <v>45565.692361111112</v>
      </c>
      <c r="N1036" t="s">
        <v>6456</v>
      </c>
      <c r="O1036" t="s">
        <v>6378</v>
      </c>
      <c r="P1036" t="s">
        <v>2401</v>
      </c>
      <c r="Q1036" t="s">
        <v>2401</v>
      </c>
      <c r="R1036" t="s">
        <v>2401</v>
      </c>
      <c r="S1036" t="s">
        <v>2401</v>
      </c>
    </row>
    <row r="1037" spans="1:19">
      <c r="A1037" t="s">
        <v>6457</v>
      </c>
      <c r="B1037" t="s">
        <v>1834</v>
      </c>
      <c r="C1037" t="s">
        <v>2401</v>
      </c>
      <c r="D1037" t="s">
        <v>2401</v>
      </c>
      <c r="E1037" t="s">
        <v>2401</v>
      </c>
      <c r="F1037" t="s">
        <v>2401</v>
      </c>
      <c r="G1037" t="s">
        <v>2401</v>
      </c>
      <c r="H1037" t="s">
        <v>2401</v>
      </c>
      <c r="I1037" t="s">
        <v>61</v>
      </c>
      <c r="J1037" t="s">
        <v>6458</v>
      </c>
      <c r="K1037" t="s">
        <v>2492</v>
      </c>
      <c r="L1037" t="s">
        <v>2401</v>
      </c>
      <c r="M1037" s="14">
        <v>45399.554861111108</v>
      </c>
      <c r="N1037" t="s">
        <v>6459</v>
      </c>
      <c r="O1037" t="s">
        <v>6378</v>
      </c>
      <c r="P1037" t="s">
        <v>2401</v>
      </c>
      <c r="Q1037" t="s">
        <v>2401</v>
      </c>
      <c r="R1037" t="s">
        <v>2401</v>
      </c>
      <c r="S1037" t="s">
        <v>2401</v>
      </c>
    </row>
    <row r="1038" spans="1:19">
      <c r="A1038" t="s">
        <v>6460</v>
      </c>
      <c r="B1038" t="s">
        <v>1834</v>
      </c>
      <c r="C1038" t="s">
        <v>2401</v>
      </c>
      <c r="D1038" t="s">
        <v>2401</v>
      </c>
      <c r="E1038" t="s">
        <v>2401</v>
      </c>
      <c r="F1038" t="s">
        <v>2401</v>
      </c>
      <c r="G1038" t="s">
        <v>2401</v>
      </c>
      <c r="H1038" t="s">
        <v>2401</v>
      </c>
      <c r="I1038" t="s">
        <v>2401</v>
      </c>
      <c r="J1038" t="s">
        <v>2401</v>
      </c>
      <c r="K1038" t="s">
        <v>2401</v>
      </c>
      <c r="L1038" t="s">
        <v>2401</v>
      </c>
      <c r="M1038" s="14">
        <v>45390.607638888891</v>
      </c>
      <c r="N1038" t="s">
        <v>2401</v>
      </c>
      <c r="O1038" t="s">
        <v>2586</v>
      </c>
      <c r="P1038" t="s">
        <v>2401</v>
      </c>
      <c r="Q1038" t="s">
        <v>2401</v>
      </c>
      <c r="R1038" t="s">
        <v>2401</v>
      </c>
      <c r="S1038" t="s">
        <v>2401</v>
      </c>
    </row>
    <row r="1039" spans="1:19">
      <c r="A1039" t="s">
        <v>6461</v>
      </c>
      <c r="B1039" t="s">
        <v>6462</v>
      </c>
      <c r="C1039" t="s">
        <v>2401</v>
      </c>
      <c r="D1039" t="s">
        <v>2401</v>
      </c>
      <c r="E1039" t="s">
        <v>2401</v>
      </c>
      <c r="F1039" t="s">
        <v>2401</v>
      </c>
      <c r="G1039" t="s">
        <v>2401</v>
      </c>
      <c r="H1039" t="s">
        <v>2401</v>
      </c>
      <c r="I1039" t="s">
        <v>2401</v>
      </c>
      <c r="J1039" t="s">
        <v>6463</v>
      </c>
      <c r="K1039" t="s">
        <v>2433</v>
      </c>
      <c r="L1039" t="s">
        <v>2401</v>
      </c>
      <c r="M1039" s="14">
        <v>45565.656944444447</v>
      </c>
      <c r="N1039" t="s">
        <v>6464</v>
      </c>
      <c r="O1039" t="s">
        <v>6465</v>
      </c>
      <c r="P1039" t="s">
        <v>2401</v>
      </c>
      <c r="Q1039" t="s">
        <v>2401</v>
      </c>
      <c r="R1039" t="s">
        <v>2401</v>
      </c>
      <c r="S1039" t="s">
        <v>2401</v>
      </c>
    </row>
    <row r="1040" spans="1:19">
      <c r="A1040" t="s">
        <v>6466</v>
      </c>
      <c r="B1040" t="s">
        <v>6467</v>
      </c>
      <c r="C1040" t="s">
        <v>2401</v>
      </c>
      <c r="D1040" t="s">
        <v>2401</v>
      </c>
      <c r="E1040" t="s">
        <v>2401</v>
      </c>
      <c r="F1040" t="s">
        <v>2401</v>
      </c>
      <c r="G1040" t="s">
        <v>2401</v>
      </c>
      <c r="H1040" t="s">
        <v>2401</v>
      </c>
      <c r="I1040" t="s">
        <v>2401</v>
      </c>
      <c r="J1040" t="s">
        <v>6468</v>
      </c>
      <c r="K1040" t="s">
        <v>2406</v>
      </c>
      <c r="L1040" t="s">
        <v>2401</v>
      </c>
      <c r="M1040" s="14">
        <v>45399.554861111108</v>
      </c>
      <c r="N1040" t="s">
        <v>6469</v>
      </c>
      <c r="O1040" t="s">
        <v>2401</v>
      </c>
      <c r="P1040" t="s">
        <v>2401</v>
      </c>
      <c r="Q1040" t="s">
        <v>2401</v>
      </c>
      <c r="R1040" t="s">
        <v>2401</v>
      </c>
      <c r="S1040" t="s">
        <v>2401</v>
      </c>
    </row>
    <row r="1041" spans="1:19">
      <c r="A1041" t="s">
        <v>6470</v>
      </c>
      <c r="B1041" t="s">
        <v>6471</v>
      </c>
      <c r="C1041" t="s">
        <v>2401</v>
      </c>
      <c r="D1041" t="s">
        <v>2401</v>
      </c>
      <c r="E1041" t="s">
        <v>2401</v>
      </c>
      <c r="F1041" t="s">
        <v>2401</v>
      </c>
      <c r="G1041" t="s">
        <v>2401</v>
      </c>
      <c r="H1041" t="s">
        <v>2401</v>
      </c>
      <c r="I1041" t="s">
        <v>2401</v>
      </c>
      <c r="J1041" t="s">
        <v>6472</v>
      </c>
      <c r="K1041" t="s">
        <v>3473</v>
      </c>
      <c r="L1041" t="s">
        <v>2401</v>
      </c>
      <c r="M1041" s="14">
        <v>45399.554861111108</v>
      </c>
      <c r="N1041" t="s">
        <v>6473</v>
      </c>
      <c r="O1041" t="s">
        <v>2401</v>
      </c>
      <c r="P1041" t="s">
        <v>2401</v>
      </c>
      <c r="Q1041" t="s">
        <v>2401</v>
      </c>
      <c r="R1041" t="s">
        <v>2401</v>
      </c>
      <c r="S1041" t="s">
        <v>2401</v>
      </c>
    </row>
    <row r="1042" spans="1:19">
      <c r="A1042" t="s">
        <v>6474</v>
      </c>
      <c r="B1042" t="s">
        <v>6475</v>
      </c>
      <c r="C1042" t="s">
        <v>2401</v>
      </c>
      <c r="D1042" t="s">
        <v>2401</v>
      </c>
      <c r="E1042" t="s">
        <v>2401</v>
      </c>
      <c r="F1042" t="s">
        <v>2401</v>
      </c>
      <c r="G1042" t="s">
        <v>2401</v>
      </c>
      <c r="H1042" t="s">
        <v>2401</v>
      </c>
      <c r="I1042" t="s">
        <v>2401</v>
      </c>
      <c r="J1042" t="s">
        <v>2401</v>
      </c>
      <c r="K1042" t="s">
        <v>2401</v>
      </c>
      <c r="L1042" t="s">
        <v>2401</v>
      </c>
      <c r="M1042" s="14">
        <v>45399.554861111108</v>
      </c>
      <c r="N1042" t="s">
        <v>2401</v>
      </c>
      <c r="O1042" t="s">
        <v>2401</v>
      </c>
      <c r="P1042" t="s">
        <v>2401</v>
      </c>
      <c r="Q1042" t="s">
        <v>2401</v>
      </c>
      <c r="R1042" t="s">
        <v>2401</v>
      </c>
      <c r="S1042" t="s">
        <v>2401</v>
      </c>
    </row>
    <row r="1043" spans="1:19">
      <c r="A1043" t="s">
        <v>6476</v>
      </c>
      <c r="B1043" t="s">
        <v>6477</v>
      </c>
      <c r="C1043" t="s">
        <v>2401</v>
      </c>
      <c r="D1043" t="s">
        <v>2401</v>
      </c>
      <c r="E1043" t="s">
        <v>2401</v>
      </c>
      <c r="F1043" t="s">
        <v>2401</v>
      </c>
      <c r="G1043" t="s">
        <v>2401</v>
      </c>
      <c r="H1043" t="s">
        <v>2401</v>
      </c>
      <c r="I1043" t="s">
        <v>2401</v>
      </c>
      <c r="J1043" t="s">
        <v>6478</v>
      </c>
      <c r="K1043" t="s">
        <v>3071</v>
      </c>
      <c r="L1043" t="s">
        <v>2401</v>
      </c>
      <c r="M1043" s="14">
        <v>45565.566666666666</v>
      </c>
      <c r="N1043" t="s">
        <v>6479</v>
      </c>
      <c r="O1043" t="s">
        <v>6480</v>
      </c>
      <c r="P1043" t="s">
        <v>2401</v>
      </c>
      <c r="Q1043" t="s">
        <v>2401</v>
      </c>
      <c r="R1043" t="s">
        <v>2401</v>
      </c>
      <c r="S1043" t="s">
        <v>2401</v>
      </c>
    </row>
    <row r="1044" spans="1:19">
      <c r="A1044" t="s">
        <v>6481</v>
      </c>
      <c r="B1044" t="s">
        <v>6482</v>
      </c>
      <c r="C1044" t="s">
        <v>2401</v>
      </c>
      <c r="D1044" t="s">
        <v>2401</v>
      </c>
      <c r="E1044" t="s">
        <v>2401</v>
      </c>
      <c r="F1044" t="s">
        <v>2401</v>
      </c>
      <c r="G1044" t="s">
        <v>2401</v>
      </c>
      <c r="H1044" t="s">
        <v>2401</v>
      </c>
      <c r="I1044" t="s">
        <v>61</v>
      </c>
      <c r="J1044" t="s">
        <v>6483</v>
      </c>
      <c r="K1044" t="s">
        <v>2709</v>
      </c>
      <c r="L1044" t="s">
        <v>2401</v>
      </c>
      <c r="M1044" s="14">
        <v>45390.607638888891</v>
      </c>
      <c r="N1044" t="s">
        <v>6484</v>
      </c>
      <c r="O1044" t="s">
        <v>6485</v>
      </c>
      <c r="P1044" t="s">
        <v>2401</v>
      </c>
      <c r="Q1044" t="s">
        <v>2401</v>
      </c>
      <c r="R1044" t="s">
        <v>2401</v>
      </c>
      <c r="S1044" t="s">
        <v>2401</v>
      </c>
    </row>
    <row r="1045" spans="1:19">
      <c r="A1045" t="s">
        <v>6486</v>
      </c>
      <c r="B1045" t="s">
        <v>6487</v>
      </c>
      <c r="C1045" t="s">
        <v>2401</v>
      </c>
      <c r="D1045" t="s">
        <v>2401</v>
      </c>
      <c r="E1045" t="s">
        <v>2401</v>
      </c>
      <c r="F1045" t="s">
        <v>2401</v>
      </c>
      <c r="G1045" t="s">
        <v>2401</v>
      </c>
      <c r="H1045" t="s">
        <v>2401</v>
      </c>
      <c r="I1045" t="s">
        <v>2401</v>
      </c>
      <c r="J1045" t="s">
        <v>6488</v>
      </c>
      <c r="K1045" t="s">
        <v>2709</v>
      </c>
      <c r="L1045" t="s">
        <v>2401</v>
      </c>
      <c r="M1045" s="14">
        <v>45390.607638888891</v>
      </c>
      <c r="N1045" t="s">
        <v>2401</v>
      </c>
      <c r="O1045" t="s">
        <v>6485</v>
      </c>
      <c r="P1045" t="s">
        <v>2401</v>
      </c>
      <c r="Q1045" t="s">
        <v>2401</v>
      </c>
      <c r="R1045" t="s">
        <v>2401</v>
      </c>
      <c r="S1045" t="s">
        <v>2401</v>
      </c>
    </row>
    <row r="1046" spans="1:19">
      <c r="A1046" t="s">
        <v>6489</v>
      </c>
      <c r="B1046" t="s">
        <v>6490</v>
      </c>
      <c r="C1046" t="s">
        <v>2401</v>
      </c>
      <c r="D1046" t="s">
        <v>2401</v>
      </c>
      <c r="E1046" t="s">
        <v>2401</v>
      </c>
      <c r="F1046" t="s">
        <v>2401</v>
      </c>
      <c r="G1046" t="s">
        <v>2401</v>
      </c>
      <c r="H1046" t="s">
        <v>2401</v>
      </c>
      <c r="I1046" t="s">
        <v>2401</v>
      </c>
      <c r="J1046" t="s">
        <v>6491</v>
      </c>
      <c r="K1046" t="s">
        <v>2406</v>
      </c>
      <c r="L1046" t="s">
        <v>2401</v>
      </c>
      <c r="M1046" s="14">
        <v>45565.697222222225</v>
      </c>
      <c r="N1046" t="s">
        <v>6492</v>
      </c>
      <c r="O1046" t="s">
        <v>6493</v>
      </c>
      <c r="P1046" t="s">
        <v>2401</v>
      </c>
      <c r="Q1046" t="s">
        <v>2401</v>
      </c>
      <c r="R1046" t="s">
        <v>2401</v>
      </c>
      <c r="S1046" t="s">
        <v>2401</v>
      </c>
    </row>
    <row r="1047" spans="1:19">
      <c r="A1047" t="s">
        <v>6494</v>
      </c>
      <c r="B1047" t="s">
        <v>6495</v>
      </c>
      <c r="C1047" t="s">
        <v>2401</v>
      </c>
      <c r="D1047" t="s">
        <v>2401</v>
      </c>
      <c r="E1047" t="s">
        <v>2401</v>
      </c>
      <c r="F1047" t="s">
        <v>2401</v>
      </c>
      <c r="G1047" t="s">
        <v>2401</v>
      </c>
      <c r="H1047" t="s">
        <v>2401</v>
      </c>
      <c r="I1047" t="s">
        <v>2401</v>
      </c>
      <c r="J1047" t="s">
        <v>2401</v>
      </c>
      <c r="K1047" t="s">
        <v>6496</v>
      </c>
      <c r="L1047" t="s">
        <v>2401</v>
      </c>
      <c r="M1047" s="14">
        <v>45390.607638888891</v>
      </c>
      <c r="N1047" t="s">
        <v>2401</v>
      </c>
      <c r="O1047" t="s">
        <v>2401</v>
      </c>
      <c r="P1047" t="s">
        <v>2401</v>
      </c>
      <c r="Q1047" t="s">
        <v>2401</v>
      </c>
      <c r="R1047" t="s">
        <v>2401</v>
      </c>
      <c r="S1047" t="s">
        <v>2401</v>
      </c>
    </row>
    <row r="1048" spans="1:19">
      <c r="A1048" t="s">
        <v>6497</v>
      </c>
      <c r="B1048" t="s">
        <v>6498</v>
      </c>
      <c r="C1048" t="s">
        <v>2401</v>
      </c>
      <c r="D1048" t="s">
        <v>2401</v>
      </c>
      <c r="E1048" t="s">
        <v>2401</v>
      </c>
      <c r="F1048" t="s">
        <v>2401</v>
      </c>
      <c r="G1048" t="s">
        <v>2401</v>
      </c>
      <c r="H1048" t="s">
        <v>2401</v>
      </c>
      <c r="I1048" t="s">
        <v>2401</v>
      </c>
      <c r="J1048" t="s">
        <v>6499</v>
      </c>
      <c r="K1048" t="s">
        <v>2499</v>
      </c>
      <c r="L1048" t="s">
        <v>2401</v>
      </c>
      <c r="M1048" s="14">
        <v>45565.699305555558</v>
      </c>
      <c r="N1048" t="s">
        <v>6500</v>
      </c>
      <c r="O1048" t="s">
        <v>6501</v>
      </c>
      <c r="P1048" t="s">
        <v>2401</v>
      </c>
      <c r="Q1048" t="s">
        <v>2401</v>
      </c>
      <c r="R1048" t="s">
        <v>2401</v>
      </c>
      <c r="S1048" t="s">
        <v>2401</v>
      </c>
    </row>
    <row r="1049" spans="1:19">
      <c r="A1049" t="s">
        <v>6502</v>
      </c>
      <c r="B1049" t="s">
        <v>6503</v>
      </c>
      <c r="C1049" t="s">
        <v>2401</v>
      </c>
      <c r="D1049" t="s">
        <v>2401</v>
      </c>
      <c r="E1049" t="s">
        <v>2401</v>
      </c>
      <c r="F1049" t="s">
        <v>2401</v>
      </c>
      <c r="G1049" t="s">
        <v>2401</v>
      </c>
      <c r="H1049" t="s">
        <v>2401</v>
      </c>
      <c r="I1049" t="s">
        <v>2401</v>
      </c>
      <c r="J1049" t="s">
        <v>6504</v>
      </c>
      <c r="K1049" t="s">
        <v>2448</v>
      </c>
      <c r="L1049" t="s">
        <v>2401</v>
      </c>
      <c r="M1049" s="14">
        <v>45399.506249999999</v>
      </c>
      <c r="N1049" t="s">
        <v>6505</v>
      </c>
      <c r="O1049" t="s">
        <v>6506</v>
      </c>
      <c r="P1049" t="s">
        <v>2401</v>
      </c>
      <c r="Q1049" t="s">
        <v>2401</v>
      </c>
      <c r="R1049" t="s">
        <v>2401</v>
      </c>
      <c r="S1049" t="s">
        <v>2401</v>
      </c>
    </row>
    <row r="1050" spans="1:19">
      <c r="A1050" t="s">
        <v>6507</v>
      </c>
      <c r="B1050" t="s">
        <v>6508</v>
      </c>
      <c r="C1050" t="s">
        <v>2401</v>
      </c>
      <c r="D1050" t="s">
        <v>2401</v>
      </c>
      <c r="E1050" t="s">
        <v>2401</v>
      </c>
      <c r="F1050" t="s">
        <v>2401</v>
      </c>
      <c r="G1050" t="s">
        <v>2401</v>
      </c>
      <c r="H1050" t="s">
        <v>2401</v>
      </c>
      <c r="I1050" t="s">
        <v>2401</v>
      </c>
      <c r="J1050" t="s">
        <v>6509</v>
      </c>
      <c r="K1050" t="s">
        <v>3088</v>
      </c>
      <c r="L1050" t="s">
        <v>2401</v>
      </c>
      <c r="M1050" s="14">
        <v>45399.554861111108</v>
      </c>
      <c r="N1050" t="s">
        <v>6510</v>
      </c>
      <c r="O1050" t="s">
        <v>6511</v>
      </c>
      <c r="P1050" t="s">
        <v>2401</v>
      </c>
      <c r="Q1050" t="s">
        <v>2401</v>
      </c>
      <c r="R1050" t="s">
        <v>2401</v>
      </c>
      <c r="S1050" t="s">
        <v>2401</v>
      </c>
    </row>
    <row r="1051" spans="1:19">
      <c r="A1051" t="s">
        <v>6512</v>
      </c>
      <c r="B1051" t="s">
        <v>6513</v>
      </c>
      <c r="C1051" t="s">
        <v>2401</v>
      </c>
      <c r="D1051" t="s">
        <v>2401</v>
      </c>
      <c r="E1051" t="s">
        <v>2401</v>
      </c>
      <c r="F1051" t="s">
        <v>2401</v>
      </c>
      <c r="G1051" t="s">
        <v>2401</v>
      </c>
      <c r="H1051" t="s">
        <v>2401</v>
      </c>
      <c r="I1051" t="s">
        <v>2401</v>
      </c>
      <c r="J1051" t="s">
        <v>2401</v>
      </c>
      <c r="K1051" t="s">
        <v>2401</v>
      </c>
      <c r="L1051" t="s">
        <v>2401</v>
      </c>
      <c r="M1051" s="14">
        <v>45390.607638888891</v>
      </c>
      <c r="N1051" t="s">
        <v>2401</v>
      </c>
      <c r="O1051" t="s">
        <v>6514</v>
      </c>
      <c r="P1051" t="s">
        <v>2401</v>
      </c>
      <c r="Q1051" t="s">
        <v>2401</v>
      </c>
      <c r="R1051" t="s">
        <v>2401</v>
      </c>
      <c r="S1051" t="s">
        <v>2401</v>
      </c>
    </row>
    <row r="1052" spans="1:19">
      <c r="A1052" t="s">
        <v>6515</v>
      </c>
      <c r="B1052" t="s">
        <v>6516</v>
      </c>
      <c r="C1052" t="s">
        <v>2401</v>
      </c>
      <c r="D1052" t="s">
        <v>2401</v>
      </c>
      <c r="E1052" t="s">
        <v>2401</v>
      </c>
      <c r="F1052" t="s">
        <v>2401</v>
      </c>
      <c r="G1052" t="s">
        <v>2401</v>
      </c>
      <c r="H1052" t="s">
        <v>2401</v>
      </c>
      <c r="I1052" t="s">
        <v>2401</v>
      </c>
      <c r="J1052" t="s">
        <v>2401</v>
      </c>
      <c r="K1052" t="s">
        <v>2401</v>
      </c>
      <c r="L1052" t="s">
        <v>2401</v>
      </c>
      <c r="M1052" s="14">
        <v>45390.607638888891</v>
      </c>
      <c r="N1052" t="s">
        <v>6517</v>
      </c>
      <c r="O1052" t="s">
        <v>2401</v>
      </c>
      <c r="P1052" t="s">
        <v>2401</v>
      </c>
      <c r="Q1052" t="s">
        <v>2401</v>
      </c>
      <c r="R1052" t="s">
        <v>2401</v>
      </c>
      <c r="S1052" t="s">
        <v>2401</v>
      </c>
    </row>
    <row r="1053" spans="1:19">
      <c r="A1053" t="s">
        <v>6518</v>
      </c>
      <c r="B1053" t="s">
        <v>1844</v>
      </c>
      <c r="C1053" t="s">
        <v>2401</v>
      </c>
      <c r="D1053" t="s">
        <v>2401</v>
      </c>
      <c r="E1053" t="s">
        <v>2401</v>
      </c>
      <c r="F1053" t="s">
        <v>2401</v>
      </c>
      <c r="G1053" t="s">
        <v>2401</v>
      </c>
      <c r="H1053" t="s">
        <v>2401</v>
      </c>
      <c r="I1053" t="s">
        <v>61</v>
      </c>
      <c r="J1053" t="s">
        <v>6519</v>
      </c>
      <c r="K1053" t="s">
        <v>2401</v>
      </c>
      <c r="L1053" t="s">
        <v>2401</v>
      </c>
      <c r="M1053" s="14">
        <v>45399.554861111108</v>
      </c>
      <c r="N1053" t="s">
        <v>6520</v>
      </c>
      <c r="O1053" t="s">
        <v>6521</v>
      </c>
      <c r="P1053" t="s">
        <v>2401</v>
      </c>
      <c r="Q1053" t="s">
        <v>2401</v>
      </c>
      <c r="R1053" t="s">
        <v>2401</v>
      </c>
      <c r="S1053" t="s">
        <v>2401</v>
      </c>
    </row>
    <row r="1054" spans="1:19">
      <c r="A1054" t="s">
        <v>6522</v>
      </c>
      <c r="B1054" t="s">
        <v>1844</v>
      </c>
      <c r="C1054" t="s">
        <v>2401</v>
      </c>
      <c r="D1054" t="s">
        <v>2401</v>
      </c>
      <c r="E1054" t="s">
        <v>2401</v>
      </c>
      <c r="F1054" t="s">
        <v>2401</v>
      </c>
      <c r="G1054" t="s">
        <v>2401</v>
      </c>
      <c r="H1054" t="s">
        <v>2401</v>
      </c>
      <c r="I1054" t="s">
        <v>2401</v>
      </c>
      <c r="J1054" t="s">
        <v>2401</v>
      </c>
      <c r="K1054" t="s">
        <v>2401</v>
      </c>
      <c r="L1054" t="s">
        <v>2401</v>
      </c>
      <c r="M1054" s="14">
        <v>45390.607638888891</v>
      </c>
      <c r="N1054" t="s">
        <v>2401</v>
      </c>
      <c r="O1054" t="s">
        <v>2586</v>
      </c>
      <c r="P1054" t="s">
        <v>2401</v>
      </c>
      <c r="Q1054" t="s">
        <v>2401</v>
      </c>
      <c r="R1054" t="s">
        <v>2401</v>
      </c>
      <c r="S1054" t="s">
        <v>2401</v>
      </c>
    </row>
    <row r="1055" spans="1:19">
      <c r="A1055" t="s">
        <v>6523</v>
      </c>
      <c r="B1055" t="s">
        <v>6524</v>
      </c>
      <c r="C1055" t="s">
        <v>2401</v>
      </c>
      <c r="D1055" t="s">
        <v>2401</v>
      </c>
      <c r="E1055" t="s">
        <v>2401</v>
      </c>
      <c r="F1055" t="s">
        <v>2401</v>
      </c>
      <c r="G1055" t="s">
        <v>2401</v>
      </c>
      <c r="H1055" t="s">
        <v>2401</v>
      </c>
      <c r="I1055" t="s">
        <v>2401</v>
      </c>
      <c r="J1055" t="s">
        <v>6525</v>
      </c>
      <c r="K1055" t="s">
        <v>2433</v>
      </c>
      <c r="L1055" t="s">
        <v>2401</v>
      </c>
      <c r="M1055" s="14">
        <v>45565.68472222222</v>
      </c>
      <c r="N1055" t="s">
        <v>6526</v>
      </c>
      <c r="O1055" t="s">
        <v>6527</v>
      </c>
      <c r="P1055" t="s">
        <v>2401</v>
      </c>
      <c r="Q1055" t="s">
        <v>2401</v>
      </c>
      <c r="R1055" t="s">
        <v>2401</v>
      </c>
      <c r="S1055" t="s">
        <v>2401</v>
      </c>
    </row>
    <row r="1056" spans="1:19">
      <c r="A1056" t="s">
        <v>6528</v>
      </c>
      <c r="B1056" t="s">
        <v>6529</v>
      </c>
      <c r="C1056" t="s">
        <v>2401</v>
      </c>
      <c r="D1056" t="s">
        <v>2401</v>
      </c>
      <c r="E1056" t="s">
        <v>2401</v>
      </c>
      <c r="F1056" t="s">
        <v>2401</v>
      </c>
      <c r="G1056" t="s">
        <v>2401</v>
      </c>
      <c r="H1056" t="s">
        <v>2401</v>
      </c>
      <c r="I1056" t="s">
        <v>2401</v>
      </c>
      <c r="J1056" t="s">
        <v>6530</v>
      </c>
      <c r="K1056" t="s">
        <v>2427</v>
      </c>
      <c r="L1056" t="s">
        <v>2401</v>
      </c>
      <c r="M1056" s="14">
        <v>45399.554861111108</v>
      </c>
      <c r="N1056" t="s">
        <v>6531</v>
      </c>
      <c r="O1056" t="s">
        <v>2401</v>
      </c>
      <c r="P1056" t="s">
        <v>2401</v>
      </c>
      <c r="Q1056" t="s">
        <v>2401</v>
      </c>
      <c r="R1056" t="s">
        <v>2401</v>
      </c>
      <c r="S1056" t="s">
        <v>2401</v>
      </c>
    </row>
    <row r="1057" spans="1:19">
      <c r="A1057" t="s">
        <v>6532</v>
      </c>
      <c r="B1057" t="s">
        <v>6533</v>
      </c>
      <c r="C1057" t="s">
        <v>2401</v>
      </c>
      <c r="D1057" t="s">
        <v>2401</v>
      </c>
      <c r="E1057" t="s">
        <v>2401</v>
      </c>
      <c r="F1057" t="s">
        <v>2401</v>
      </c>
      <c r="G1057" t="s">
        <v>2401</v>
      </c>
      <c r="H1057" t="s">
        <v>2401</v>
      </c>
      <c r="I1057" t="s">
        <v>61</v>
      </c>
      <c r="J1057" t="s">
        <v>6534</v>
      </c>
      <c r="K1057" t="s">
        <v>2433</v>
      </c>
      <c r="L1057" t="s">
        <v>2401</v>
      </c>
      <c r="M1057" s="14">
        <v>45399.554861111108</v>
      </c>
      <c r="N1057" t="s">
        <v>6535</v>
      </c>
      <c r="O1057" t="s">
        <v>3926</v>
      </c>
      <c r="P1057" t="s">
        <v>2401</v>
      </c>
      <c r="Q1057" t="s">
        <v>2401</v>
      </c>
      <c r="R1057" t="s">
        <v>2401</v>
      </c>
      <c r="S1057" t="s">
        <v>2401</v>
      </c>
    </row>
    <row r="1058" spans="1:19">
      <c r="A1058" t="s">
        <v>6536</v>
      </c>
      <c r="B1058" t="s">
        <v>6533</v>
      </c>
      <c r="C1058" t="s">
        <v>2401</v>
      </c>
      <c r="D1058" t="s">
        <v>2401</v>
      </c>
      <c r="E1058" t="s">
        <v>2401</v>
      </c>
      <c r="F1058" t="s">
        <v>2401</v>
      </c>
      <c r="G1058" t="s">
        <v>2401</v>
      </c>
      <c r="H1058" t="s">
        <v>2401</v>
      </c>
      <c r="I1058" t="s">
        <v>2401</v>
      </c>
      <c r="J1058" t="s">
        <v>2401</v>
      </c>
      <c r="K1058" t="s">
        <v>2401</v>
      </c>
      <c r="L1058" t="s">
        <v>2401</v>
      </c>
      <c r="M1058" s="14">
        <v>45390.607638888891</v>
      </c>
      <c r="N1058" t="s">
        <v>2401</v>
      </c>
      <c r="O1058" t="s">
        <v>2586</v>
      </c>
      <c r="P1058" t="s">
        <v>2401</v>
      </c>
      <c r="Q1058" t="s">
        <v>2401</v>
      </c>
      <c r="R1058" t="s">
        <v>2401</v>
      </c>
      <c r="S1058" t="s">
        <v>2401</v>
      </c>
    </row>
    <row r="1059" spans="1:19">
      <c r="A1059" t="s">
        <v>6537</v>
      </c>
      <c r="B1059" t="s">
        <v>6538</v>
      </c>
      <c r="C1059" t="s">
        <v>2401</v>
      </c>
      <c r="D1059" t="s">
        <v>2401</v>
      </c>
      <c r="E1059" t="s">
        <v>2401</v>
      </c>
      <c r="F1059" t="s">
        <v>2401</v>
      </c>
      <c r="G1059" t="s">
        <v>2401</v>
      </c>
      <c r="H1059" t="s">
        <v>2401</v>
      </c>
      <c r="I1059" t="s">
        <v>2401</v>
      </c>
      <c r="J1059" t="s">
        <v>6539</v>
      </c>
      <c r="K1059" t="s">
        <v>2448</v>
      </c>
      <c r="L1059" t="s">
        <v>2401</v>
      </c>
      <c r="M1059" s="14">
        <v>45534.874305555553</v>
      </c>
      <c r="N1059" t="s">
        <v>6540</v>
      </c>
      <c r="O1059" t="s">
        <v>2401</v>
      </c>
      <c r="P1059" t="s">
        <v>2401</v>
      </c>
      <c r="Q1059" t="s">
        <v>2401</v>
      </c>
      <c r="R1059" t="s">
        <v>2401</v>
      </c>
      <c r="S1059" t="s">
        <v>2401</v>
      </c>
    </row>
    <row r="1060" spans="1:19">
      <c r="A1060" t="s">
        <v>6541</v>
      </c>
      <c r="B1060" t="s">
        <v>6542</v>
      </c>
      <c r="C1060" t="s">
        <v>2401</v>
      </c>
      <c r="D1060" t="s">
        <v>2401</v>
      </c>
      <c r="E1060" t="s">
        <v>2401</v>
      </c>
      <c r="F1060" t="s">
        <v>2401</v>
      </c>
      <c r="G1060" t="s">
        <v>2401</v>
      </c>
      <c r="H1060" t="s">
        <v>2401</v>
      </c>
      <c r="I1060" t="s">
        <v>2401</v>
      </c>
      <c r="J1060" t="s">
        <v>2401</v>
      </c>
      <c r="K1060" t="s">
        <v>2548</v>
      </c>
      <c r="L1060" t="s">
        <v>2401</v>
      </c>
      <c r="M1060" s="14">
        <v>45390.607638888891</v>
      </c>
      <c r="N1060" t="s">
        <v>2401</v>
      </c>
      <c r="O1060" t="s">
        <v>2401</v>
      </c>
      <c r="P1060" t="s">
        <v>2401</v>
      </c>
      <c r="Q1060" t="s">
        <v>2401</v>
      </c>
      <c r="R1060" t="s">
        <v>2401</v>
      </c>
      <c r="S1060" t="s">
        <v>2401</v>
      </c>
    </row>
    <row r="1061" spans="1:19">
      <c r="A1061" t="s">
        <v>6543</v>
      </c>
      <c r="B1061" t="s">
        <v>6542</v>
      </c>
      <c r="C1061" t="s">
        <v>2401</v>
      </c>
      <c r="D1061" t="s">
        <v>2401</v>
      </c>
      <c r="E1061" t="s">
        <v>2401</v>
      </c>
      <c r="F1061" t="s">
        <v>2401</v>
      </c>
      <c r="G1061" t="s">
        <v>2401</v>
      </c>
      <c r="H1061" t="s">
        <v>2401</v>
      </c>
      <c r="I1061" t="s">
        <v>2401</v>
      </c>
      <c r="J1061" t="s">
        <v>6544</v>
      </c>
      <c r="K1061" t="s">
        <v>2548</v>
      </c>
      <c r="L1061" t="s">
        <v>2401</v>
      </c>
      <c r="M1061" s="14">
        <v>45384.568749999999</v>
      </c>
      <c r="N1061" t="s">
        <v>6545</v>
      </c>
      <c r="O1061" t="s">
        <v>2401</v>
      </c>
      <c r="P1061" t="s">
        <v>2401</v>
      </c>
      <c r="Q1061" t="s">
        <v>2401</v>
      </c>
      <c r="R1061" t="s">
        <v>2401</v>
      </c>
      <c r="S1061" t="s">
        <v>2401</v>
      </c>
    </row>
    <row r="1062" spans="1:19">
      <c r="A1062" t="s">
        <v>6546</v>
      </c>
      <c r="B1062" t="s">
        <v>6542</v>
      </c>
      <c r="C1062" t="s">
        <v>2401</v>
      </c>
      <c r="D1062" t="s">
        <v>2401</v>
      </c>
      <c r="E1062" t="s">
        <v>2401</v>
      </c>
      <c r="F1062" t="s">
        <v>2401</v>
      </c>
      <c r="G1062" t="s">
        <v>2401</v>
      </c>
      <c r="H1062" t="s">
        <v>2401</v>
      </c>
      <c r="I1062" t="s">
        <v>2401</v>
      </c>
      <c r="J1062" t="s">
        <v>6544</v>
      </c>
      <c r="K1062" t="s">
        <v>2548</v>
      </c>
      <c r="L1062" t="s">
        <v>2401</v>
      </c>
      <c r="M1062" s="14">
        <v>45384.5625</v>
      </c>
      <c r="N1062" t="s">
        <v>6545</v>
      </c>
      <c r="O1062" t="s">
        <v>2401</v>
      </c>
      <c r="P1062" t="s">
        <v>6547</v>
      </c>
      <c r="Q1062">
        <v>1</v>
      </c>
      <c r="R1062" t="s">
        <v>2401</v>
      </c>
      <c r="S1062" t="s">
        <v>6548</v>
      </c>
    </row>
    <row r="1063" spans="1:19">
      <c r="A1063" t="s">
        <v>6549</v>
      </c>
      <c r="B1063" t="s">
        <v>6542</v>
      </c>
      <c r="C1063" t="s">
        <v>2401</v>
      </c>
      <c r="D1063" t="s">
        <v>2401</v>
      </c>
      <c r="E1063" t="s">
        <v>2401</v>
      </c>
      <c r="F1063" t="s">
        <v>2401</v>
      </c>
      <c r="G1063" t="s">
        <v>2401</v>
      </c>
      <c r="H1063" t="s">
        <v>2401</v>
      </c>
      <c r="I1063" t="s">
        <v>2401</v>
      </c>
      <c r="J1063" t="s">
        <v>6544</v>
      </c>
      <c r="K1063" t="s">
        <v>2460</v>
      </c>
      <c r="L1063" t="s">
        <v>2401</v>
      </c>
      <c r="M1063" s="14">
        <v>45383.612500000003</v>
      </c>
      <c r="N1063" t="s">
        <v>6545</v>
      </c>
      <c r="O1063" t="s">
        <v>2401</v>
      </c>
      <c r="P1063" t="s">
        <v>2401</v>
      </c>
      <c r="Q1063" t="s">
        <v>2401</v>
      </c>
      <c r="R1063" t="s">
        <v>2401</v>
      </c>
      <c r="S1063" t="s">
        <v>2401</v>
      </c>
    </row>
    <row r="1064" spans="1:19">
      <c r="A1064" t="s">
        <v>6550</v>
      </c>
      <c r="B1064" t="s">
        <v>6551</v>
      </c>
      <c r="C1064" t="s">
        <v>2401</v>
      </c>
      <c r="D1064" t="s">
        <v>2401</v>
      </c>
      <c r="E1064" t="s">
        <v>2401</v>
      </c>
      <c r="F1064" t="s">
        <v>2401</v>
      </c>
      <c r="G1064" t="s">
        <v>2401</v>
      </c>
      <c r="H1064" t="s">
        <v>2401</v>
      </c>
      <c r="I1064" t="s">
        <v>2401</v>
      </c>
      <c r="J1064" t="s">
        <v>2401</v>
      </c>
      <c r="K1064" t="s">
        <v>3473</v>
      </c>
      <c r="L1064" t="s">
        <v>2401</v>
      </c>
      <c r="M1064" s="14">
        <v>45390.607638888891</v>
      </c>
      <c r="N1064" t="s">
        <v>2401</v>
      </c>
      <c r="O1064" t="s">
        <v>2401</v>
      </c>
      <c r="P1064" t="s">
        <v>2401</v>
      </c>
      <c r="Q1064" t="s">
        <v>2401</v>
      </c>
      <c r="R1064" t="s">
        <v>2401</v>
      </c>
      <c r="S1064" t="s">
        <v>2401</v>
      </c>
    </row>
    <row r="1065" spans="1:19">
      <c r="A1065" t="s">
        <v>6552</v>
      </c>
      <c r="B1065" t="s">
        <v>6551</v>
      </c>
      <c r="C1065" t="s">
        <v>2401</v>
      </c>
      <c r="D1065" t="s">
        <v>2401</v>
      </c>
      <c r="E1065" t="s">
        <v>2401</v>
      </c>
      <c r="F1065" t="s">
        <v>2401</v>
      </c>
      <c r="G1065" t="s">
        <v>2401</v>
      </c>
      <c r="H1065" t="s">
        <v>2401</v>
      </c>
      <c r="I1065" t="s">
        <v>2401</v>
      </c>
      <c r="J1065" t="s">
        <v>6553</v>
      </c>
      <c r="K1065" t="s">
        <v>3473</v>
      </c>
      <c r="L1065" t="s">
        <v>2401</v>
      </c>
      <c r="M1065" s="14">
        <v>45384.560416666667</v>
      </c>
      <c r="N1065" t="s">
        <v>6554</v>
      </c>
      <c r="O1065" t="s">
        <v>2401</v>
      </c>
      <c r="P1065" t="s">
        <v>6555</v>
      </c>
      <c r="Q1065">
        <v>2</v>
      </c>
      <c r="R1065" t="s">
        <v>2401</v>
      </c>
      <c r="S1065" t="s">
        <v>6556</v>
      </c>
    </row>
    <row r="1066" spans="1:19">
      <c r="A1066" t="s">
        <v>6557</v>
      </c>
      <c r="B1066" t="s">
        <v>6558</v>
      </c>
      <c r="C1066" t="s">
        <v>2401</v>
      </c>
      <c r="D1066" t="s">
        <v>2401</v>
      </c>
      <c r="E1066" t="s">
        <v>2401</v>
      </c>
      <c r="F1066" t="s">
        <v>2401</v>
      </c>
      <c r="G1066" t="s">
        <v>2401</v>
      </c>
      <c r="H1066" t="s">
        <v>2401</v>
      </c>
      <c r="I1066" t="s">
        <v>2401</v>
      </c>
      <c r="J1066" t="s">
        <v>6559</v>
      </c>
      <c r="K1066" t="s">
        <v>6560</v>
      </c>
      <c r="L1066" t="s">
        <v>2401</v>
      </c>
      <c r="M1066" s="14">
        <v>45391.34652777778</v>
      </c>
      <c r="N1066" t="s">
        <v>6561</v>
      </c>
      <c r="O1066" t="s">
        <v>2401</v>
      </c>
      <c r="P1066" t="s">
        <v>6562</v>
      </c>
      <c r="Q1066">
        <v>1</v>
      </c>
      <c r="R1066" t="s">
        <v>2401</v>
      </c>
      <c r="S1066" t="s">
        <v>6563</v>
      </c>
    </row>
    <row r="1067" spans="1:19">
      <c r="A1067" t="s">
        <v>6564</v>
      </c>
      <c r="B1067" t="s">
        <v>6565</v>
      </c>
      <c r="C1067" t="s">
        <v>2401</v>
      </c>
      <c r="D1067" t="s">
        <v>2401</v>
      </c>
      <c r="E1067" t="s">
        <v>2401</v>
      </c>
      <c r="F1067" t="s">
        <v>2401</v>
      </c>
      <c r="G1067" t="s">
        <v>2401</v>
      </c>
      <c r="H1067" t="s">
        <v>2401</v>
      </c>
      <c r="I1067" t="s">
        <v>2401</v>
      </c>
      <c r="J1067" t="s">
        <v>6566</v>
      </c>
      <c r="K1067" t="s">
        <v>3308</v>
      </c>
      <c r="L1067" t="s">
        <v>2401</v>
      </c>
      <c r="M1067" s="14">
        <v>45426.587500000001</v>
      </c>
      <c r="N1067" t="s">
        <v>6567</v>
      </c>
      <c r="O1067" t="s">
        <v>6568</v>
      </c>
      <c r="P1067" t="s">
        <v>6569</v>
      </c>
      <c r="Q1067">
        <v>1</v>
      </c>
      <c r="R1067" t="s">
        <v>2401</v>
      </c>
      <c r="S1067" t="s">
        <v>6570</v>
      </c>
    </row>
    <row r="1068" spans="1:19">
      <c r="A1068" t="s">
        <v>6571</v>
      </c>
      <c r="B1068" t="s">
        <v>6565</v>
      </c>
      <c r="C1068" t="s">
        <v>2401</v>
      </c>
      <c r="D1068" t="s">
        <v>2401</v>
      </c>
      <c r="E1068" t="s">
        <v>2401</v>
      </c>
      <c r="F1068" t="s">
        <v>2401</v>
      </c>
      <c r="G1068" t="s">
        <v>2401</v>
      </c>
      <c r="H1068" t="s">
        <v>2401</v>
      </c>
      <c r="I1068" t="s">
        <v>2401</v>
      </c>
      <c r="J1068" t="s">
        <v>2401</v>
      </c>
      <c r="K1068" t="s">
        <v>3308</v>
      </c>
      <c r="L1068" t="s">
        <v>2401</v>
      </c>
      <c r="M1068" s="14">
        <v>45390.607638888891</v>
      </c>
      <c r="N1068" t="s">
        <v>2401</v>
      </c>
      <c r="O1068" t="s">
        <v>6568</v>
      </c>
      <c r="P1068" t="s">
        <v>2401</v>
      </c>
      <c r="Q1068" t="s">
        <v>2401</v>
      </c>
      <c r="R1068" t="s">
        <v>2401</v>
      </c>
      <c r="S1068" t="s">
        <v>2401</v>
      </c>
    </row>
    <row r="1069" spans="1:19">
      <c r="A1069" t="s">
        <v>6572</v>
      </c>
      <c r="B1069" t="s">
        <v>6565</v>
      </c>
      <c r="C1069" t="s">
        <v>2401</v>
      </c>
      <c r="D1069" t="s">
        <v>2401</v>
      </c>
      <c r="E1069" t="s">
        <v>2401</v>
      </c>
      <c r="F1069" t="s">
        <v>2401</v>
      </c>
      <c r="G1069" t="s">
        <v>2401</v>
      </c>
      <c r="H1069" t="s">
        <v>2401</v>
      </c>
      <c r="I1069" t="s">
        <v>2401</v>
      </c>
      <c r="J1069" t="s">
        <v>6566</v>
      </c>
      <c r="K1069" t="s">
        <v>3308</v>
      </c>
      <c r="L1069" t="s">
        <v>2401</v>
      </c>
      <c r="M1069" s="14">
        <v>45384.564583333333</v>
      </c>
      <c r="N1069" t="s">
        <v>6573</v>
      </c>
      <c r="O1069" t="s">
        <v>6568</v>
      </c>
      <c r="P1069" t="s">
        <v>6574</v>
      </c>
      <c r="Q1069">
        <v>1</v>
      </c>
      <c r="R1069" t="s">
        <v>2401</v>
      </c>
      <c r="S1069" t="s">
        <v>6575</v>
      </c>
    </row>
    <row r="1070" spans="1:19">
      <c r="A1070" t="s">
        <v>6576</v>
      </c>
      <c r="B1070" t="s">
        <v>6577</v>
      </c>
      <c r="C1070" t="s">
        <v>2401</v>
      </c>
      <c r="D1070" t="s">
        <v>2401</v>
      </c>
      <c r="E1070" t="s">
        <v>2401</v>
      </c>
      <c r="F1070" t="s">
        <v>2401</v>
      </c>
      <c r="G1070" t="s">
        <v>2401</v>
      </c>
      <c r="H1070" t="s">
        <v>2401</v>
      </c>
      <c r="I1070" t="s">
        <v>2401</v>
      </c>
      <c r="J1070" t="s">
        <v>6578</v>
      </c>
      <c r="K1070" t="s">
        <v>2720</v>
      </c>
      <c r="L1070" t="s">
        <v>2401</v>
      </c>
      <c r="M1070" s="14">
        <v>45391.344444444447</v>
      </c>
      <c r="N1070" t="s">
        <v>6579</v>
      </c>
      <c r="O1070" t="s">
        <v>6580</v>
      </c>
      <c r="P1070" t="s">
        <v>6581</v>
      </c>
      <c r="Q1070">
        <v>1</v>
      </c>
      <c r="R1070" t="s">
        <v>2401</v>
      </c>
      <c r="S1070" t="s">
        <v>6582</v>
      </c>
    </row>
    <row r="1071" spans="1:19">
      <c r="A1071" t="s">
        <v>6583</v>
      </c>
      <c r="B1071" t="s">
        <v>6577</v>
      </c>
      <c r="C1071" t="s">
        <v>2401</v>
      </c>
      <c r="D1071" t="s">
        <v>2401</v>
      </c>
      <c r="E1071" t="s">
        <v>2401</v>
      </c>
      <c r="F1071" t="s">
        <v>2401</v>
      </c>
      <c r="G1071" t="s">
        <v>2401</v>
      </c>
      <c r="H1071" t="s">
        <v>2401</v>
      </c>
      <c r="I1071" t="s">
        <v>2401</v>
      </c>
      <c r="J1071" t="s">
        <v>2401</v>
      </c>
      <c r="K1071" t="s">
        <v>2720</v>
      </c>
      <c r="L1071" t="s">
        <v>2401</v>
      </c>
      <c r="M1071" s="14">
        <v>45390.607638888891</v>
      </c>
      <c r="N1071" t="s">
        <v>2401</v>
      </c>
      <c r="O1071" t="s">
        <v>6580</v>
      </c>
      <c r="P1071" t="s">
        <v>6584</v>
      </c>
      <c r="Q1071">
        <v>1</v>
      </c>
      <c r="R1071" t="s">
        <v>2401</v>
      </c>
      <c r="S1071" t="s">
        <v>6585</v>
      </c>
    </row>
    <row r="1072" spans="1:19">
      <c r="A1072" t="s">
        <v>6586</v>
      </c>
      <c r="B1072" t="s">
        <v>6587</v>
      </c>
      <c r="C1072" t="s">
        <v>2401</v>
      </c>
      <c r="D1072" t="s">
        <v>2401</v>
      </c>
      <c r="E1072" t="s">
        <v>2401</v>
      </c>
      <c r="F1072" t="s">
        <v>2401</v>
      </c>
      <c r="G1072" t="s">
        <v>2401</v>
      </c>
      <c r="H1072" t="s">
        <v>2401</v>
      </c>
      <c r="I1072" t="s">
        <v>2401</v>
      </c>
      <c r="J1072" t="s">
        <v>2401</v>
      </c>
      <c r="K1072" t="s">
        <v>2548</v>
      </c>
      <c r="L1072" t="s">
        <v>2538</v>
      </c>
      <c r="M1072" s="14">
        <v>45390.607638888891</v>
      </c>
      <c r="N1072" t="s">
        <v>2401</v>
      </c>
      <c r="O1072" t="s">
        <v>6588</v>
      </c>
      <c r="P1072" t="s">
        <v>6589</v>
      </c>
      <c r="Q1072">
        <v>1</v>
      </c>
      <c r="R1072" t="s">
        <v>2401</v>
      </c>
      <c r="S1072" t="s">
        <v>6590</v>
      </c>
    </row>
    <row r="1073" spans="1:19">
      <c r="A1073" t="s">
        <v>6591</v>
      </c>
      <c r="B1073" t="s">
        <v>6592</v>
      </c>
      <c r="C1073" t="s">
        <v>2401</v>
      </c>
      <c r="D1073" t="s">
        <v>2401</v>
      </c>
      <c r="E1073" t="s">
        <v>2401</v>
      </c>
      <c r="F1073" t="s">
        <v>2401</v>
      </c>
      <c r="G1073" t="s">
        <v>2401</v>
      </c>
      <c r="H1073" t="s">
        <v>2401</v>
      </c>
      <c r="I1073" t="s">
        <v>2401</v>
      </c>
      <c r="J1073" t="s">
        <v>5320</v>
      </c>
      <c r="K1073" t="s">
        <v>2548</v>
      </c>
      <c r="L1073" t="s">
        <v>2401</v>
      </c>
      <c r="M1073" s="14">
        <v>45426.590277777781</v>
      </c>
      <c r="N1073" t="s">
        <v>5321</v>
      </c>
      <c r="O1073" t="s">
        <v>5315</v>
      </c>
      <c r="P1073" t="s">
        <v>6593</v>
      </c>
      <c r="Q1073">
        <v>1</v>
      </c>
      <c r="R1073" t="s">
        <v>2401</v>
      </c>
      <c r="S1073" t="s">
        <v>6594</v>
      </c>
    </row>
    <row r="1074" spans="1:19">
      <c r="A1074" t="s">
        <v>6595</v>
      </c>
      <c r="B1074" t="s">
        <v>6592</v>
      </c>
      <c r="C1074" t="s">
        <v>2401</v>
      </c>
      <c r="D1074" t="s">
        <v>2401</v>
      </c>
      <c r="E1074" t="s">
        <v>2401</v>
      </c>
      <c r="F1074" t="s">
        <v>2401</v>
      </c>
      <c r="G1074" t="s">
        <v>2401</v>
      </c>
      <c r="H1074" t="s">
        <v>2401</v>
      </c>
      <c r="I1074" t="s">
        <v>2401</v>
      </c>
      <c r="J1074" t="s">
        <v>6596</v>
      </c>
      <c r="K1074" t="s">
        <v>2548</v>
      </c>
      <c r="L1074" t="s">
        <v>2401</v>
      </c>
      <c r="M1074" s="14">
        <v>45399.504166666666</v>
      </c>
      <c r="N1074" t="s">
        <v>5314</v>
      </c>
      <c r="O1074" t="s">
        <v>5315</v>
      </c>
      <c r="P1074" t="s">
        <v>6597</v>
      </c>
      <c r="Q1074">
        <v>1</v>
      </c>
      <c r="R1074" t="s">
        <v>2401</v>
      </c>
      <c r="S1074" t="s">
        <v>6598</v>
      </c>
    </row>
    <row r="1075" spans="1:19">
      <c r="A1075" t="s">
        <v>6599</v>
      </c>
      <c r="B1075" t="s">
        <v>6592</v>
      </c>
      <c r="C1075" t="s">
        <v>2401</v>
      </c>
      <c r="D1075" t="s">
        <v>2401</v>
      </c>
      <c r="E1075" t="s">
        <v>2401</v>
      </c>
      <c r="F1075" t="s">
        <v>2401</v>
      </c>
      <c r="G1075" t="s">
        <v>2401</v>
      </c>
      <c r="H1075" t="s">
        <v>2401</v>
      </c>
      <c r="I1075" t="s">
        <v>2401</v>
      </c>
      <c r="J1075" t="s">
        <v>6600</v>
      </c>
      <c r="K1075" t="s">
        <v>2548</v>
      </c>
      <c r="L1075" t="s">
        <v>2401</v>
      </c>
      <c r="M1075" s="14">
        <v>45391.347916666666</v>
      </c>
      <c r="N1075" t="s">
        <v>5314</v>
      </c>
      <c r="O1075" t="s">
        <v>5315</v>
      </c>
      <c r="P1075" t="s">
        <v>6601</v>
      </c>
      <c r="Q1075">
        <v>1</v>
      </c>
      <c r="R1075" t="s">
        <v>2401</v>
      </c>
      <c r="S1075" t="s">
        <v>6602</v>
      </c>
    </row>
    <row r="1076" spans="1:19">
      <c r="A1076" t="s">
        <v>6603</v>
      </c>
      <c r="B1076" t="s">
        <v>6604</v>
      </c>
      <c r="C1076" t="s">
        <v>2401</v>
      </c>
      <c r="D1076" t="s">
        <v>2401</v>
      </c>
      <c r="E1076" t="s">
        <v>2401</v>
      </c>
      <c r="F1076" t="s">
        <v>2401</v>
      </c>
      <c r="G1076" t="s">
        <v>2401</v>
      </c>
      <c r="H1076" t="s">
        <v>2401</v>
      </c>
      <c r="I1076" t="s">
        <v>2401</v>
      </c>
      <c r="J1076" t="s">
        <v>6605</v>
      </c>
      <c r="K1076" t="s">
        <v>2548</v>
      </c>
      <c r="L1076" t="s">
        <v>2401</v>
      </c>
      <c r="M1076" s="14">
        <v>45489.665972222225</v>
      </c>
      <c r="N1076" t="s">
        <v>5321</v>
      </c>
      <c r="O1076" t="s">
        <v>5315</v>
      </c>
      <c r="P1076" t="s">
        <v>2401</v>
      </c>
      <c r="Q1076" t="s">
        <v>2401</v>
      </c>
      <c r="R1076" t="s">
        <v>2401</v>
      </c>
      <c r="S1076" t="s">
        <v>2401</v>
      </c>
    </row>
    <row r="1077" spans="1:19">
      <c r="A1077" t="s">
        <v>6606</v>
      </c>
      <c r="B1077" t="s">
        <v>6607</v>
      </c>
      <c r="C1077" t="s">
        <v>2401</v>
      </c>
      <c r="D1077" t="s">
        <v>2401</v>
      </c>
      <c r="E1077" t="s">
        <v>2401</v>
      </c>
      <c r="F1077" t="s">
        <v>2401</v>
      </c>
      <c r="G1077" t="s">
        <v>2401</v>
      </c>
      <c r="H1077" t="s">
        <v>2401</v>
      </c>
      <c r="I1077" t="s">
        <v>2401</v>
      </c>
      <c r="J1077" t="s">
        <v>6608</v>
      </c>
      <c r="K1077" t="s">
        <v>2548</v>
      </c>
      <c r="L1077" t="s">
        <v>2401</v>
      </c>
      <c r="M1077" s="14">
        <v>45450.609027777777</v>
      </c>
      <c r="N1077" t="s">
        <v>5321</v>
      </c>
      <c r="O1077" t="s">
        <v>5315</v>
      </c>
      <c r="P1077" t="s">
        <v>6609</v>
      </c>
      <c r="Q1077">
        <v>2</v>
      </c>
      <c r="R1077" t="s">
        <v>2401</v>
      </c>
      <c r="S1077" t="s">
        <v>6610</v>
      </c>
    </row>
    <row r="1078" spans="1:19">
      <c r="A1078" t="s">
        <v>6611</v>
      </c>
      <c r="B1078" t="s">
        <v>6612</v>
      </c>
      <c r="C1078" t="s">
        <v>2401</v>
      </c>
      <c r="D1078" t="s">
        <v>2401</v>
      </c>
      <c r="E1078" t="s">
        <v>2401</v>
      </c>
      <c r="F1078" t="s">
        <v>2401</v>
      </c>
      <c r="G1078" t="s">
        <v>2401</v>
      </c>
      <c r="H1078" t="s">
        <v>2401</v>
      </c>
      <c r="I1078" t="s">
        <v>2401</v>
      </c>
      <c r="J1078" t="s">
        <v>6613</v>
      </c>
      <c r="K1078" t="s">
        <v>2548</v>
      </c>
      <c r="L1078" t="s">
        <v>2401</v>
      </c>
      <c r="M1078" s="14">
        <v>45390.607638888891</v>
      </c>
      <c r="N1078" t="s">
        <v>5314</v>
      </c>
      <c r="O1078" t="s">
        <v>6614</v>
      </c>
      <c r="P1078" t="s">
        <v>2401</v>
      </c>
      <c r="Q1078" t="s">
        <v>2401</v>
      </c>
      <c r="R1078" t="s">
        <v>2401</v>
      </c>
      <c r="S1078" t="s">
        <v>2401</v>
      </c>
    </row>
    <row r="1079" spans="1:19">
      <c r="A1079" t="s">
        <v>6615</v>
      </c>
      <c r="B1079" t="s">
        <v>6616</v>
      </c>
      <c r="C1079" t="s">
        <v>2401</v>
      </c>
      <c r="D1079" t="s">
        <v>2401</v>
      </c>
      <c r="E1079" t="s">
        <v>2401</v>
      </c>
      <c r="F1079" t="s">
        <v>2401</v>
      </c>
      <c r="G1079" t="s">
        <v>2401</v>
      </c>
      <c r="H1079" t="s">
        <v>2401</v>
      </c>
      <c r="I1079" t="s">
        <v>2401</v>
      </c>
      <c r="J1079" t="s">
        <v>6617</v>
      </c>
      <c r="K1079" t="s">
        <v>2448</v>
      </c>
      <c r="L1079" t="s">
        <v>2401</v>
      </c>
      <c r="M1079" s="14">
        <v>45390.607638888891</v>
      </c>
      <c r="N1079" t="s">
        <v>6618</v>
      </c>
      <c r="O1079" t="s">
        <v>2401</v>
      </c>
      <c r="P1079" t="s">
        <v>2401</v>
      </c>
      <c r="Q1079" t="s">
        <v>2401</v>
      </c>
      <c r="R1079" t="s">
        <v>2401</v>
      </c>
      <c r="S1079" t="s">
        <v>2401</v>
      </c>
    </row>
    <row r="1080" spans="1:19">
      <c r="A1080" t="s">
        <v>6619</v>
      </c>
      <c r="B1080" t="s">
        <v>6620</v>
      </c>
      <c r="C1080" t="s">
        <v>2401</v>
      </c>
      <c r="D1080" t="s">
        <v>2401</v>
      </c>
      <c r="E1080" t="s">
        <v>2401</v>
      </c>
      <c r="F1080" t="s">
        <v>2401</v>
      </c>
      <c r="G1080" t="s">
        <v>2401</v>
      </c>
      <c r="H1080" t="s">
        <v>2401</v>
      </c>
      <c r="I1080" t="s">
        <v>2401</v>
      </c>
      <c r="J1080" t="s">
        <v>6621</v>
      </c>
      <c r="K1080" t="s">
        <v>2877</v>
      </c>
      <c r="L1080" t="s">
        <v>2401</v>
      </c>
      <c r="M1080" s="14">
        <v>45476.488888888889</v>
      </c>
      <c r="N1080" t="s">
        <v>6622</v>
      </c>
      <c r="O1080" t="s">
        <v>6623</v>
      </c>
      <c r="P1080" t="s">
        <v>2401</v>
      </c>
      <c r="Q1080" t="s">
        <v>2401</v>
      </c>
      <c r="R1080" t="s">
        <v>2401</v>
      </c>
      <c r="S1080" t="s">
        <v>2401</v>
      </c>
    </row>
    <row r="1081" spans="1:19">
      <c r="A1081" t="s">
        <v>6624</v>
      </c>
      <c r="B1081" t="s">
        <v>6625</v>
      </c>
      <c r="C1081" t="s">
        <v>2401</v>
      </c>
      <c r="D1081" t="s">
        <v>2401</v>
      </c>
      <c r="E1081" t="s">
        <v>2401</v>
      </c>
      <c r="F1081" t="s">
        <v>2401</v>
      </c>
      <c r="G1081" t="s">
        <v>2401</v>
      </c>
      <c r="H1081" t="s">
        <v>2401</v>
      </c>
      <c r="I1081" t="s">
        <v>2401</v>
      </c>
      <c r="J1081" t="s">
        <v>6626</v>
      </c>
      <c r="K1081" t="s">
        <v>3218</v>
      </c>
      <c r="L1081" t="s">
        <v>2401</v>
      </c>
      <c r="M1081" s="14">
        <v>45390.607638888891</v>
      </c>
      <c r="N1081" t="s">
        <v>6627</v>
      </c>
      <c r="O1081" t="s">
        <v>6628</v>
      </c>
      <c r="P1081" t="s">
        <v>2401</v>
      </c>
      <c r="Q1081" t="s">
        <v>2401</v>
      </c>
      <c r="R1081" t="s">
        <v>2401</v>
      </c>
      <c r="S1081" t="s">
        <v>2401</v>
      </c>
    </row>
    <row r="1082" spans="1:19">
      <c r="A1082" t="s">
        <v>6629</v>
      </c>
      <c r="B1082" t="s">
        <v>6630</v>
      </c>
      <c r="C1082" t="s">
        <v>2401</v>
      </c>
      <c r="D1082" t="s">
        <v>2401</v>
      </c>
      <c r="E1082" t="s">
        <v>2401</v>
      </c>
      <c r="F1082" t="s">
        <v>2401</v>
      </c>
      <c r="G1082" t="s">
        <v>2401</v>
      </c>
      <c r="H1082" t="s">
        <v>2401</v>
      </c>
      <c r="I1082" t="s">
        <v>2401</v>
      </c>
      <c r="J1082" t="s">
        <v>6631</v>
      </c>
      <c r="K1082" t="s">
        <v>2433</v>
      </c>
      <c r="L1082" t="s">
        <v>2401</v>
      </c>
      <c r="M1082" s="14">
        <v>45399.554861111108</v>
      </c>
      <c r="N1082" t="s">
        <v>6632</v>
      </c>
      <c r="O1082" t="s">
        <v>2401</v>
      </c>
      <c r="P1082" t="s">
        <v>2401</v>
      </c>
      <c r="Q1082" t="s">
        <v>2401</v>
      </c>
      <c r="R1082" t="s">
        <v>2401</v>
      </c>
      <c r="S1082" t="s">
        <v>2401</v>
      </c>
    </row>
    <row r="1083" spans="1:19">
      <c r="A1083" t="s">
        <v>6633</v>
      </c>
      <c r="B1083" t="s">
        <v>6634</v>
      </c>
      <c r="C1083" t="s">
        <v>2401</v>
      </c>
      <c r="D1083" t="s">
        <v>2401</v>
      </c>
      <c r="E1083" t="s">
        <v>2401</v>
      </c>
      <c r="F1083" t="s">
        <v>2401</v>
      </c>
      <c r="G1083" t="s">
        <v>2401</v>
      </c>
      <c r="H1083" t="s">
        <v>2401</v>
      </c>
      <c r="I1083" t="s">
        <v>2401</v>
      </c>
      <c r="J1083" t="s">
        <v>6635</v>
      </c>
      <c r="K1083" t="s">
        <v>2749</v>
      </c>
      <c r="L1083" t="s">
        <v>2538</v>
      </c>
      <c r="M1083" s="14">
        <v>45524.804166666669</v>
      </c>
      <c r="N1083" t="s">
        <v>6636</v>
      </c>
      <c r="O1083" t="s">
        <v>6637</v>
      </c>
      <c r="P1083" t="s">
        <v>2401</v>
      </c>
      <c r="Q1083" t="s">
        <v>2401</v>
      </c>
      <c r="R1083" t="s">
        <v>2401</v>
      </c>
      <c r="S1083" t="s">
        <v>2401</v>
      </c>
    </row>
    <row r="1084" spans="1:19">
      <c r="A1084" t="s">
        <v>6638</v>
      </c>
      <c r="B1084" t="s">
        <v>6639</v>
      </c>
      <c r="C1084" t="s">
        <v>2401</v>
      </c>
      <c r="D1084" t="s">
        <v>2401</v>
      </c>
      <c r="E1084" t="s">
        <v>2401</v>
      </c>
      <c r="F1084" t="s">
        <v>2401</v>
      </c>
      <c r="G1084" t="s">
        <v>2401</v>
      </c>
      <c r="H1084" t="s">
        <v>2401</v>
      </c>
      <c r="I1084" t="s">
        <v>2401</v>
      </c>
      <c r="J1084" t="s">
        <v>6640</v>
      </c>
      <c r="K1084" t="s">
        <v>2877</v>
      </c>
      <c r="L1084" t="s">
        <v>2401</v>
      </c>
      <c r="M1084" s="14">
        <v>45390.607638888891</v>
      </c>
      <c r="N1084" t="s">
        <v>6641</v>
      </c>
      <c r="O1084" t="s">
        <v>6642</v>
      </c>
      <c r="P1084" t="s">
        <v>2401</v>
      </c>
      <c r="Q1084" t="s">
        <v>2401</v>
      </c>
      <c r="R1084" t="s">
        <v>2401</v>
      </c>
      <c r="S1084" t="s">
        <v>2401</v>
      </c>
    </row>
    <row r="1085" spans="1:19">
      <c r="A1085" t="s">
        <v>6643</v>
      </c>
      <c r="B1085" t="s">
        <v>6644</v>
      </c>
      <c r="C1085" t="s">
        <v>2401</v>
      </c>
      <c r="D1085" t="s">
        <v>2401</v>
      </c>
      <c r="E1085" t="s">
        <v>2401</v>
      </c>
      <c r="F1085" t="s">
        <v>2401</v>
      </c>
      <c r="G1085" t="s">
        <v>2401</v>
      </c>
      <c r="H1085" t="s">
        <v>2401</v>
      </c>
      <c r="I1085" t="s">
        <v>2401</v>
      </c>
      <c r="J1085" t="s">
        <v>6645</v>
      </c>
      <c r="K1085" t="s">
        <v>3049</v>
      </c>
      <c r="L1085" t="s">
        <v>2401</v>
      </c>
      <c r="M1085" s="14">
        <v>45399.554861111108</v>
      </c>
      <c r="N1085" t="s">
        <v>6646</v>
      </c>
      <c r="O1085" t="s">
        <v>6647</v>
      </c>
      <c r="P1085" t="s">
        <v>2401</v>
      </c>
      <c r="Q1085" t="s">
        <v>2401</v>
      </c>
      <c r="R1085" t="s">
        <v>2401</v>
      </c>
      <c r="S1085" t="s">
        <v>2401</v>
      </c>
    </row>
    <row r="1086" spans="1:19">
      <c r="A1086" t="s">
        <v>6648</v>
      </c>
      <c r="B1086" t="s">
        <v>6649</v>
      </c>
      <c r="C1086" t="s">
        <v>2401</v>
      </c>
      <c r="D1086" t="s">
        <v>2401</v>
      </c>
      <c r="E1086" t="s">
        <v>2401</v>
      </c>
      <c r="F1086" t="s">
        <v>2401</v>
      </c>
      <c r="G1086" t="s">
        <v>2401</v>
      </c>
      <c r="H1086" t="s">
        <v>2401</v>
      </c>
      <c r="I1086" t="s">
        <v>2401</v>
      </c>
      <c r="J1086" t="s">
        <v>6650</v>
      </c>
      <c r="K1086" t="s">
        <v>2401</v>
      </c>
      <c r="L1086" t="s">
        <v>2401</v>
      </c>
      <c r="M1086" s="14">
        <v>45565.552777777775</v>
      </c>
      <c r="N1086" t="s">
        <v>2401</v>
      </c>
      <c r="O1086" t="s">
        <v>2401</v>
      </c>
      <c r="P1086" t="s">
        <v>2401</v>
      </c>
      <c r="Q1086" t="s">
        <v>2401</v>
      </c>
      <c r="R1086" t="s">
        <v>2401</v>
      </c>
      <c r="S1086" t="s">
        <v>2401</v>
      </c>
    </row>
    <row r="1087" spans="1:19">
      <c r="A1087" t="s">
        <v>6651</v>
      </c>
      <c r="B1087" t="s">
        <v>6652</v>
      </c>
      <c r="C1087" t="s">
        <v>2401</v>
      </c>
      <c r="D1087" t="s">
        <v>2401</v>
      </c>
      <c r="E1087" t="s">
        <v>2401</v>
      </c>
      <c r="F1087" t="s">
        <v>2401</v>
      </c>
      <c r="G1087" t="s">
        <v>2401</v>
      </c>
      <c r="H1087" t="s">
        <v>2401</v>
      </c>
      <c r="I1087" t="s">
        <v>2401</v>
      </c>
      <c r="J1087" t="s">
        <v>6653</v>
      </c>
      <c r="K1087" t="s">
        <v>2401</v>
      </c>
      <c r="L1087" t="s">
        <v>2401</v>
      </c>
      <c r="M1087" s="14">
        <v>45399.554861111108</v>
      </c>
      <c r="N1087" t="s">
        <v>6654</v>
      </c>
      <c r="O1087" t="s">
        <v>2401</v>
      </c>
      <c r="P1087" t="s">
        <v>2401</v>
      </c>
      <c r="Q1087" t="s">
        <v>2401</v>
      </c>
      <c r="R1087" t="s">
        <v>2401</v>
      </c>
      <c r="S1087" t="s">
        <v>2401</v>
      </c>
    </row>
    <row r="1088" spans="1:19">
      <c r="A1088" t="s">
        <v>6655</v>
      </c>
      <c r="B1088" t="s">
        <v>6656</v>
      </c>
      <c r="C1088" t="s">
        <v>2401</v>
      </c>
      <c r="D1088" t="s">
        <v>2401</v>
      </c>
      <c r="E1088" t="s">
        <v>2401</v>
      </c>
      <c r="F1088" t="s">
        <v>2401</v>
      </c>
      <c r="G1088" t="s">
        <v>2401</v>
      </c>
      <c r="H1088" t="s">
        <v>2401</v>
      </c>
      <c r="I1088" t="s">
        <v>2401</v>
      </c>
      <c r="J1088" t="s">
        <v>2401</v>
      </c>
      <c r="K1088" t="s">
        <v>2401</v>
      </c>
      <c r="L1088" t="s">
        <v>2401</v>
      </c>
      <c r="M1088" s="14">
        <v>45399.554861111108</v>
      </c>
      <c r="N1088" t="s">
        <v>6657</v>
      </c>
      <c r="O1088" t="s">
        <v>2401</v>
      </c>
      <c r="P1088" t="s">
        <v>2401</v>
      </c>
      <c r="Q1088" t="s">
        <v>2401</v>
      </c>
      <c r="R1088" t="s">
        <v>2401</v>
      </c>
      <c r="S1088" t="s">
        <v>2401</v>
      </c>
    </row>
    <row r="1089" spans="1:19">
      <c r="A1089" t="s">
        <v>6658</v>
      </c>
      <c r="B1089" t="s">
        <v>6659</v>
      </c>
      <c r="C1089" t="s">
        <v>2401</v>
      </c>
      <c r="D1089" t="s">
        <v>2401</v>
      </c>
      <c r="E1089" t="s">
        <v>2401</v>
      </c>
      <c r="F1089" t="s">
        <v>2401</v>
      </c>
      <c r="G1089" t="s">
        <v>2401</v>
      </c>
      <c r="H1089" t="s">
        <v>2401</v>
      </c>
      <c r="I1089" t="s">
        <v>2401</v>
      </c>
      <c r="J1089" t="s">
        <v>6660</v>
      </c>
      <c r="K1089" t="s">
        <v>3364</v>
      </c>
      <c r="L1089" t="s">
        <v>2401</v>
      </c>
      <c r="M1089" s="14">
        <v>45390.607638888891</v>
      </c>
      <c r="N1089" t="s">
        <v>6661</v>
      </c>
      <c r="O1089" t="s">
        <v>6662</v>
      </c>
      <c r="P1089" t="s">
        <v>2401</v>
      </c>
      <c r="Q1089" t="s">
        <v>2401</v>
      </c>
      <c r="R1089" t="s">
        <v>2401</v>
      </c>
      <c r="S1089" t="s">
        <v>2401</v>
      </c>
    </row>
    <row r="1090" spans="1:19">
      <c r="A1090" t="s">
        <v>6663</v>
      </c>
      <c r="B1090" t="s">
        <v>6664</v>
      </c>
      <c r="C1090" t="s">
        <v>2401</v>
      </c>
      <c r="D1090" t="s">
        <v>2401</v>
      </c>
      <c r="E1090" t="s">
        <v>2401</v>
      </c>
      <c r="F1090" t="s">
        <v>2401</v>
      </c>
      <c r="G1090" t="s">
        <v>2401</v>
      </c>
      <c r="H1090" t="s">
        <v>2401</v>
      </c>
      <c r="I1090" t="s">
        <v>2401</v>
      </c>
      <c r="J1090" t="s">
        <v>6665</v>
      </c>
      <c r="K1090" t="s">
        <v>2448</v>
      </c>
      <c r="L1090" t="s">
        <v>2401</v>
      </c>
      <c r="M1090" s="14">
        <v>45534.874305555553</v>
      </c>
      <c r="N1090" t="s">
        <v>2449</v>
      </c>
      <c r="O1090" t="s">
        <v>2401</v>
      </c>
      <c r="P1090" t="s">
        <v>2401</v>
      </c>
      <c r="Q1090" t="s">
        <v>2401</v>
      </c>
      <c r="R1090" t="s">
        <v>2401</v>
      </c>
      <c r="S1090" t="s">
        <v>2401</v>
      </c>
    </row>
    <row r="1091" spans="1:19">
      <c r="A1091" t="s">
        <v>6666</v>
      </c>
      <c r="B1091" t="s">
        <v>6664</v>
      </c>
      <c r="C1091" t="s">
        <v>2401</v>
      </c>
      <c r="D1091" t="s">
        <v>2401</v>
      </c>
      <c r="E1091" t="s">
        <v>2401</v>
      </c>
      <c r="F1091" t="s">
        <v>2401</v>
      </c>
      <c r="G1091" t="s">
        <v>2401</v>
      </c>
      <c r="H1091" t="s">
        <v>2401</v>
      </c>
      <c r="I1091" t="s">
        <v>2401</v>
      </c>
      <c r="J1091" t="s">
        <v>2589</v>
      </c>
      <c r="K1091" t="s">
        <v>2448</v>
      </c>
      <c r="L1091" t="s">
        <v>2401</v>
      </c>
      <c r="M1091" s="14">
        <v>45426.585416666669</v>
      </c>
      <c r="N1091" t="s">
        <v>2449</v>
      </c>
      <c r="O1091" t="s">
        <v>2401</v>
      </c>
      <c r="P1091" t="s">
        <v>6667</v>
      </c>
      <c r="Q1091">
        <v>1</v>
      </c>
      <c r="R1091" t="s">
        <v>2401</v>
      </c>
      <c r="S1091" t="s">
        <v>6668</v>
      </c>
    </row>
    <row r="1092" spans="1:19">
      <c r="A1092" t="s">
        <v>6669</v>
      </c>
      <c r="B1092" t="s">
        <v>6664</v>
      </c>
      <c r="C1092" t="s">
        <v>2401</v>
      </c>
      <c r="D1092" t="s">
        <v>2401</v>
      </c>
      <c r="E1092" t="s">
        <v>2401</v>
      </c>
      <c r="F1092" t="s">
        <v>2401</v>
      </c>
      <c r="G1092" t="s">
        <v>2401</v>
      </c>
      <c r="H1092" t="s">
        <v>2401</v>
      </c>
      <c r="I1092" t="s">
        <v>2401</v>
      </c>
      <c r="J1092" t="s">
        <v>6670</v>
      </c>
      <c r="K1092" t="s">
        <v>2448</v>
      </c>
      <c r="L1092" t="s">
        <v>2401</v>
      </c>
      <c r="M1092" s="14">
        <v>45426.584027777775</v>
      </c>
      <c r="N1092" t="s">
        <v>2449</v>
      </c>
      <c r="O1092" t="s">
        <v>2401</v>
      </c>
      <c r="P1092" t="s">
        <v>6671</v>
      </c>
      <c r="Q1092">
        <v>1</v>
      </c>
      <c r="R1092" t="s">
        <v>2401</v>
      </c>
      <c r="S1092" t="s">
        <v>6672</v>
      </c>
    </row>
    <row r="1093" spans="1:19">
      <c r="A1093" t="s">
        <v>6673</v>
      </c>
      <c r="B1093" t="s">
        <v>6664</v>
      </c>
      <c r="C1093" t="s">
        <v>2401</v>
      </c>
      <c r="D1093" t="s">
        <v>2401</v>
      </c>
      <c r="E1093" t="s">
        <v>2401</v>
      </c>
      <c r="F1093" t="s">
        <v>2401</v>
      </c>
      <c r="G1093" t="s">
        <v>2401</v>
      </c>
      <c r="H1093" t="s">
        <v>2401</v>
      </c>
      <c r="I1093" t="s">
        <v>2401</v>
      </c>
      <c r="J1093" t="s">
        <v>6674</v>
      </c>
      <c r="K1093" t="s">
        <v>2448</v>
      </c>
      <c r="L1093" t="s">
        <v>2538</v>
      </c>
      <c r="M1093" s="14">
        <v>45390.607638888891</v>
      </c>
      <c r="N1093" t="s">
        <v>2401</v>
      </c>
      <c r="O1093" t="s">
        <v>2540</v>
      </c>
      <c r="P1093" t="s">
        <v>2401</v>
      </c>
      <c r="Q1093" t="s">
        <v>2401</v>
      </c>
      <c r="R1093" t="s">
        <v>2401</v>
      </c>
      <c r="S1093" t="s">
        <v>2401</v>
      </c>
    </row>
    <row r="1094" spans="1:19">
      <c r="A1094" t="s">
        <v>6675</v>
      </c>
      <c r="B1094" t="s">
        <v>6676</v>
      </c>
      <c r="C1094" t="s">
        <v>2401</v>
      </c>
      <c r="D1094" t="s">
        <v>2401</v>
      </c>
      <c r="E1094" t="s">
        <v>2401</v>
      </c>
      <c r="F1094" t="s">
        <v>2401</v>
      </c>
      <c r="G1094" t="s">
        <v>2401</v>
      </c>
      <c r="H1094" t="s">
        <v>2401</v>
      </c>
      <c r="I1094" t="s">
        <v>2401</v>
      </c>
      <c r="J1094" t="s">
        <v>6677</v>
      </c>
      <c r="K1094" t="s">
        <v>2448</v>
      </c>
      <c r="L1094" t="s">
        <v>2538</v>
      </c>
      <c r="M1094" s="14">
        <v>45503.665277777778</v>
      </c>
      <c r="N1094" t="s">
        <v>2449</v>
      </c>
      <c r="O1094" t="s">
        <v>2401</v>
      </c>
      <c r="P1094" t="s">
        <v>2401</v>
      </c>
      <c r="Q1094" t="s">
        <v>2401</v>
      </c>
      <c r="R1094" t="s">
        <v>2401</v>
      </c>
      <c r="S1094" t="s">
        <v>2401</v>
      </c>
    </row>
    <row r="1095" spans="1:19">
      <c r="A1095" t="s">
        <v>6678</v>
      </c>
      <c r="B1095" t="s">
        <v>6679</v>
      </c>
      <c r="C1095" t="s">
        <v>2401</v>
      </c>
      <c r="D1095" t="s">
        <v>2401</v>
      </c>
      <c r="E1095" t="s">
        <v>2401</v>
      </c>
      <c r="F1095" t="s">
        <v>2401</v>
      </c>
      <c r="G1095" t="s">
        <v>2401</v>
      </c>
      <c r="H1095" t="s">
        <v>2401</v>
      </c>
      <c r="I1095" t="s">
        <v>2401</v>
      </c>
      <c r="J1095" t="s">
        <v>6680</v>
      </c>
      <c r="K1095" t="s">
        <v>2401</v>
      </c>
      <c r="L1095" t="s">
        <v>2401</v>
      </c>
      <c r="M1095" s="14">
        <v>45391.351388888892</v>
      </c>
      <c r="N1095" t="s">
        <v>6681</v>
      </c>
      <c r="O1095" t="s">
        <v>6682</v>
      </c>
      <c r="P1095" t="s">
        <v>6683</v>
      </c>
      <c r="Q1095">
        <v>4</v>
      </c>
      <c r="R1095" t="s">
        <v>2401</v>
      </c>
      <c r="S1095" t="s">
        <v>6684</v>
      </c>
    </row>
    <row r="1096" spans="1:19">
      <c r="A1096" t="s">
        <v>6685</v>
      </c>
      <c r="B1096" t="s">
        <v>6686</v>
      </c>
      <c r="C1096" t="s">
        <v>2401</v>
      </c>
      <c r="D1096" t="s">
        <v>2401</v>
      </c>
      <c r="E1096" t="s">
        <v>2401</v>
      </c>
      <c r="F1096" t="s">
        <v>2401</v>
      </c>
      <c r="G1096" t="s">
        <v>2401</v>
      </c>
      <c r="H1096" t="s">
        <v>2401</v>
      </c>
      <c r="I1096" t="s">
        <v>2401</v>
      </c>
      <c r="J1096" t="s">
        <v>6687</v>
      </c>
      <c r="K1096" t="s">
        <v>3663</v>
      </c>
      <c r="L1096" t="s">
        <v>2401</v>
      </c>
      <c r="M1096" s="14">
        <v>45539.930555555555</v>
      </c>
      <c r="N1096" t="s">
        <v>6688</v>
      </c>
      <c r="O1096" t="s">
        <v>6689</v>
      </c>
      <c r="P1096" t="s">
        <v>2401</v>
      </c>
      <c r="Q1096" t="s">
        <v>2401</v>
      </c>
      <c r="R1096" t="s">
        <v>2401</v>
      </c>
      <c r="S1096" t="s">
        <v>2401</v>
      </c>
    </row>
    <row r="1097" spans="1:19">
      <c r="A1097" t="s">
        <v>6690</v>
      </c>
      <c r="B1097" t="s">
        <v>6691</v>
      </c>
      <c r="C1097" t="s">
        <v>2401</v>
      </c>
      <c r="D1097" t="s">
        <v>2401</v>
      </c>
      <c r="E1097" t="s">
        <v>2401</v>
      </c>
      <c r="F1097" t="s">
        <v>2401</v>
      </c>
      <c r="G1097" t="s">
        <v>2401</v>
      </c>
      <c r="H1097" t="s">
        <v>2401</v>
      </c>
      <c r="I1097" t="s">
        <v>2401</v>
      </c>
      <c r="J1097" t="s">
        <v>6692</v>
      </c>
      <c r="K1097" t="s">
        <v>2406</v>
      </c>
      <c r="L1097" t="s">
        <v>2401</v>
      </c>
      <c r="M1097" s="14">
        <v>45525.813888888886</v>
      </c>
      <c r="N1097" t="s">
        <v>6693</v>
      </c>
      <c r="O1097" t="s">
        <v>2401</v>
      </c>
      <c r="P1097" t="s">
        <v>2401</v>
      </c>
      <c r="Q1097" t="s">
        <v>2401</v>
      </c>
      <c r="R1097" t="s">
        <v>2401</v>
      </c>
      <c r="S1097" t="s">
        <v>2401</v>
      </c>
    </row>
    <row r="1098" spans="1:19">
      <c r="A1098" t="s">
        <v>6694</v>
      </c>
      <c r="B1098" t="s">
        <v>6695</v>
      </c>
      <c r="C1098" t="s">
        <v>2401</v>
      </c>
      <c r="D1098" t="s">
        <v>2401</v>
      </c>
      <c r="E1098" t="s">
        <v>2401</v>
      </c>
      <c r="F1098" t="s">
        <v>2401</v>
      </c>
      <c r="G1098" t="s">
        <v>2401</v>
      </c>
      <c r="H1098" t="s">
        <v>2401</v>
      </c>
      <c r="I1098" t="s">
        <v>2401</v>
      </c>
      <c r="J1098" t="s">
        <v>6696</v>
      </c>
      <c r="K1098" t="s">
        <v>2448</v>
      </c>
      <c r="L1098" t="s">
        <v>2401</v>
      </c>
      <c r="M1098" s="14">
        <v>45399.554861111108</v>
      </c>
      <c r="N1098" t="s">
        <v>5973</v>
      </c>
      <c r="O1098" t="s">
        <v>3479</v>
      </c>
      <c r="P1098" t="s">
        <v>2401</v>
      </c>
      <c r="Q1098" t="s">
        <v>2401</v>
      </c>
      <c r="R1098" t="s">
        <v>2401</v>
      </c>
      <c r="S1098" t="s">
        <v>2401</v>
      </c>
    </row>
    <row r="1099" spans="1:19">
      <c r="A1099" t="s">
        <v>6697</v>
      </c>
      <c r="B1099" t="s">
        <v>6698</v>
      </c>
      <c r="C1099" t="s">
        <v>2401</v>
      </c>
      <c r="D1099" t="s">
        <v>2401</v>
      </c>
      <c r="E1099" t="s">
        <v>2401</v>
      </c>
      <c r="F1099" t="s">
        <v>2401</v>
      </c>
      <c r="G1099" t="s">
        <v>2401</v>
      </c>
      <c r="H1099" t="s">
        <v>2401</v>
      </c>
      <c r="I1099" t="s">
        <v>61</v>
      </c>
      <c r="J1099" t="s">
        <v>6699</v>
      </c>
      <c r="K1099" t="s">
        <v>2492</v>
      </c>
      <c r="L1099" t="s">
        <v>2401</v>
      </c>
      <c r="M1099" s="14">
        <v>45390.607638888891</v>
      </c>
      <c r="N1099" t="s">
        <v>6700</v>
      </c>
      <c r="O1099" t="s">
        <v>6701</v>
      </c>
      <c r="P1099" t="s">
        <v>2401</v>
      </c>
      <c r="Q1099" t="s">
        <v>2401</v>
      </c>
      <c r="R1099" t="s">
        <v>2401</v>
      </c>
      <c r="S1099" t="s">
        <v>2401</v>
      </c>
    </row>
    <row r="1100" spans="1:19">
      <c r="A1100" t="s">
        <v>6702</v>
      </c>
      <c r="B1100" t="s">
        <v>6703</v>
      </c>
      <c r="C1100" t="s">
        <v>2401</v>
      </c>
      <c r="D1100" t="s">
        <v>2401</v>
      </c>
      <c r="E1100" t="s">
        <v>2401</v>
      </c>
      <c r="F1100" t="s">
        <v>2401</v>
      </c>
      <c r="G1100" t="s">
        <v>2401</v>
      </c>
      <c r="H1100" t="s">
        <v>2401</v>
      </c>
      <c r="I1100" t="s">
        <v>2401</v>
      </c>
      <c r="J1100" t="s">
        <v>6704</v>
      </c>
      <c r="K1100" t="s">
        <v>2499</v>
      </c>
      <c r="L1100" t="s">
        <v>2401</v>
      </c>
      <c r="M1100" s="14">
        <v>45565.656944444447</v>
      </c>
      <c r="N1100" t="s">
        <v>6705</v>
      </c>
      <c r="O1100" t="s">
        <v>6706</v>
      </c>
      <c r="P1100" t="s">
        <v>2401</v>
      </c>
      <c r="Q1100" t="s">
        <v>2401</v>
      </c>
      <c r="R1100" t="s">
        <v>2401</v>
      </c>
      <c r="S1100" t="s">
        <v>2401</v>
      </c>
    </row>
    <row r="1101" spans="1:19">
      <c r="A1101" t="s">
        <v>6707</v>
      </c>
      <c r="B1101" t="s">
        <v>6708</v>
      </c>
      <c r="C1101" t="s">
        <v>2401</v>
      </c>
      <c r="D1101" t="s">
        <v>2401</v>
      </c>
      <c r="E1101" t="s">
        <v>2401</v>
      </c>
      <c r="F1101" t="s">
        <v>2401</v>
      </c>
      <c r="G1101" t="s">
        <v>2401</v>
      </c>
      <c r="H1101" t="s">
        <v>2401</v>
      </c>
      <c r="I1101" t="s">
        <v>2401</v>
      </c>
      <c r="J1101" t="s">
        <v>6709</v>
      </c>
      <c r="K1101" t="s">
        <v>2433</v>
      </c>
      <c r="L1101" t="s">
        <v>2401</v>
      </c>
      <c r="M1101" s="14">
        <v>45399.554861111108</v>
      </c>
      <c r="N1101" t="s">
        <v>6710</v>
      </c>
      <c r="O1101" t="s">
        <v>6711</v>
      </c>
      <c r="P1101" t="s">
        <v>2401</v>
      </c>
      <c r="Q1101" t="s">
        <v>2401</v>
      </c>
      <c r="R1101" t="s">
        <v>2401</v>
      </c>
      <c r="S1101" t="s">
        <v>2401</v>
      </c>
    </row>
    <row r="1102" spans="1:19">
      <c r="A1102" t="s">
        <v>6712</v>
      </c>
      <c r="B1102" t="s">
        <v>6713</v>
      </c>
      <c r="C1102" t="s">
        <v>2401</v>
      </c>
      <c r="D1102" t="s">
        <v>2401</v>
      </c>
      <c r="E1102" t="s">
        <v>2401</v>
      </c>
      <c r="F1102" t="s">
        <v>2401</v>
      </c>
      <c r="G1102" t="s">
        <v>2401</v>
      </c>
      <c r="H1102" t="s">
        <v>2401</v>
      </c>
      <c r="I1102" t="s">
        <v>2401</v>
      </c>
      <c r="J1102" t="s">
        <v>6714</v>
      </c>
      <c r="K1102" t="s">
        <v>2548</v>
      </c>
      <c r="L1102" t="s">
        <v>2538</v>
      </c>
      <c r="M1102" s="14">
        <v>45390.607638888891</v>
      </c>
      <c r="N1102" t="s">
        <v>2820</v>
      </c>
      <c r="O1102" t="s">
        <v>2821</v>
      </c>
      <c r="P1102" t="s">
        <v>6715</v>
      </c>
      <c r="Q1102">
        <v>1</v>
      </c>
      <c r="R1102" t="s">
        <v>2401</v>
      </c>
      <c r="S1102" t="s">
        <v>6716</v>
      </c>
    </row>
    <row r="1103" spans="1:19">
      <c r="A1103" t="s">
        <v>6717</v>
      </c>
      <c r="B1103" t="s">
        <v>6718</v>
      </c>
      <c r="C1103" t="s">
        <v>2401</v>
      </c>
      <c r="D1103" t="s">
        <v>2401</v>
      </c>
      <c r="E1103" t="s">
        <v>2401</v>
      </c>
      <c r="F1103" t="s">
        <v>2401</v>
      </c>
      <c r="G1103" t="s">
        <v>2401</v>
      </c>
      <c r="H1103" t="s">
        <v>2401</v>
      </c>
      <c r="I1103" t="s">
        <v>2401</v>
      </c>
      <c r="J1103" t="s">
        <v>2401</v>
      </c>
      <c r="K1103" t="s">
        <v>2401</v>
      </c>
      <c r="L1103" t="s">
        <v>2401</v>
      </c>
      <c r="M1103" s="14">
        <v>45426.496527777781</v>
      </c>
      <c r="N1103" t="s">
        <v>2401</v>
      </c>
      <c r="O1103" t="s">
        <v>2401</v>
      </c>
      <c r="P1103" t="s">
        <v>2401</v>
      </c>
      <c r="Q1103" t="s">
        <v>2401</v>
      </c>
      <c r="R1103" t="s">
        <v>2401</v>
      </c>
      <c r="S1103" t="s">
        <v>2401</v>
      </c>
    </row>
    <row r="1104" spans="1:19">
      <c r="A1104" t="s">
        <v>6719</v>
      </c>
      <c r="B1104" t="s">
        <v>6720</v>
      </c>
      <c r="C1104" t="s">
        <v>2401</v>
      </c>
      <c r="D1104" t="s">
        <v>2401</v>
      </c>
      <c r="E1104" t="s">
        <v>2401</v>
      </c>
      <c r="F1104" t="s">
        <v>2401</v>
      </c>
      <c r="G1104" t="s">
        <v>2401</v>
      </c>
      <c r="H1104" t="s">
        <v>2401</v>
      </c>
      <c r="I1104" t="s">
        <v>2401</v>
      </c>
      <c r="J1104" t="s">
        <v>6721</v>
      </c>
      <c r="K1104" t="s">
        <v>3155</v>
      </c>
      <c r="L1104" t="s">
        <v>2401</v>
      </c>
      <c r="M1104" s="14">
        <v>45399.554861111108</v>
      </c>
      <c r="N1104" t="s">
        <v>6722</v>
      </c>
      <c r="O1104" t="s">
        <v>6723</v>
      </c>
      <c r="P1104" t="s">
        <v>2401</v>
      </c>
      <c r="Q1104" t="s">
        <v>2401</v>
      </c>
      <c r="R1104" t="s">
        <v>2401</v>
      </c>
      <c r="S1104" t="s">
        <v>2401</v>
      </c>
    </row>
    <row r="1105" spans="1:19">
      <c r="A1105" t="s">
        <v>6724</v>
      </c>
      <c r="B1105" t="s">
        <v>6725</v>
      </c>
      <c r="C1105" t="s">
        <v>2401</v>
      </c>
      <c r="D1105" t="s">
        <v>2401</v>
      </c>
      <c r="E1105" t="s">
        <v>2401</v>
      </c>
      <c r="F1105" t="s">
        <v>2401</v>
      </c>
      <c r="G1105" t="s">
        <v>2401</v>
      </c>
      <c r="H1105" t="s">
        <v>2401</v>
      </c>
      <c r="I1105" t="s">
        <v>2401</v>
      </c>
      <c r="J1105" t="s">
        <v>6726</v>
      </c>
      <c r="K1105" t="s">
        <v>2406</v>
      </c>
      <c r="L1105" t="s">
        <v>2401</v>
      </c>
      <c r="M1105" s="14">
        <v>45554.470138888886</v>
      </c>
      <c r="N1105" t="s">
        <v>6727</v>
      </c>
      <c r="O1105" t="s">
        <v>2401</v>
      </c>
      <c r="P1105" t="s">
        <v>2401</v>
      </c>
      <c r="Q1105" t="s">
        <v>2401</v>
      </c>
      <c r="R1105" t="s">
        <v>2401</v>
      </c>
      <c r="S1105" t="s">
        <v>2401</v>
      </c>
    </row>
    <row r="1106" spans="1:19">
      <c r="A1106" t="s">
        <v>6728</v>
      </c>
      <c r="B1106" t="s">
        <v>6729</v>
      </c>
      <c r="C1106" t="s">
        <v>2401</v>
      </c>
      <c r="D1106" t="s">
        <v>2401</v>
      </c>
      <c r="E1106" t="s">
        <v>2401</v>
      </c>
      <c r="F1106" t="s">
        <v>2401</v>
      </c>
      <c r="G1106" t="s">
        <v>2401</v>
      </c>
      <c r="H1106" t="s">
        <v>2401</v>
      </c>
      <c r="I1106" t="s">
        <v>2401</v>
      </c>
      <c r="J1106" t="s">
        <v>6730</v>
      </c>
      <c r="K1106" t="s">
        <v>3364</v>
      </c>
      <c r="L1106" t="s">
        <v>2401</v>
      </c>
      <c r="M1106" s="14">
        <v>45391.35</v>
      </c>
      <c r="N1106" t="s">
        <v>6731</v>
      </c>
      <c r="O1106" t="s">
        <v>6732</v>
      </c>
      <c r="P1106" t="s">
        <v>6733</v>
      </c>
      <c r="Q1106">
        <v>1</v>
      </c>
      <c r="R1106" t="s">
        <v>2401</v>
      </c>
      <c r="S1106" t="s">
        <v>6734</v>
      </c>
    </row>
    <row r="1107" spans="1:19">
      <c r="A1107" t="s">
        <v>6735</v>
      </c>
      <c r="B1107" t="s">
        <v>874</v>
      </c>
      <c r="C1107" t="s">
        <v>2401</v>
      </c>
      <c r="D1107" t="s">
        <v>2401</v>
      </c>
      <c r="E1107" t="s">
        <v>2401</v>
      </c>
      <c r="F1107" t="s">
        <v>2401</v>
      </c>
      <c r="G1107" t="s">
        <v>2401</v>
      </c>
      <c r="H1107" t="s">
        <v>2401</v>
      </c>
      <c r="I1107" t="s">
        <v>2401</v>
      </c>
      <c r="J1107" t="s">
        <v>6736</v>
      </c>
      <c r="K1107" t="s">
        <v>2499</v>
      </c>
      <c r="L1107" t="s">
        <v>2401</v>
      </c>
      <c r="M1107" s="14">
        <v>45565.570833333331</v>
      </c>
      <c r="N1107" t="s">
        <v>6737</v>
      </c>
      <c r="O1107" t="s">
        <v>6738</v>
      </c>
      <c r="P1107" t="s">
        <v>2401</v>
      </c>
      <c r="Q1107" t="s">
        <v>2401</v>
      </c>
      <c r="R1107" t="s">
        <v>2401</v>
      </c>
      <c r="S1107" t="s">
        <v>2401</v>
      </c>
    </row>
    <row r="1108" spans="1:19">
      <c r="A1108" t="s">
        <v>6739</v>
      </c>
      <c r="B1108" t="s">
        <v>874</v>
      </c>
      <c r="C1108" t="s">
        <v>2401</v>
      </c>
      <c r="D1108" t="s">
        <v>2401</v>
      </c>
      <c r="E1108" t="s">
        <v>2401</v>
      </c>
      <c r="F1108" t="s">
        <v>2401</v>
      </c>
      <c r="G1108" t="s">
        <v>2401</v>
      </c>
      <c r="H1108" t="s">
        <v>2401</v>
      </c>
      <c r="I1108" t="s">
        <v>2401</v>
      </c>
      <c r="J1108" t="s">
        <v>6740</v>
      </c>
      <c r="K1108" t="s">
        <v>2720</v>
      </c>
      <c r="L1108" t="s">
        <v>2401</v>
      </c>
      <c r="M1108" s="14">
        <v>45399.554861111108</v>
      </c>
      <c r="N1108" t="s">
        <v>6741</v>
      </c>
      <c r="O1108" t="s">
        <v>6738</v>
      </c>
      <c r="P1108" t="s">
        <v>2401</v>
      </c>
      <c r="Q1108" t="s">
        <v>2401</v>
      </c>
      <c r="R1108" t="s">
        <v>2401</v>
      </c>
      <c r="S1108" t="s">
        <v>2401</v>
      </c>
    </row>
    <row r="1109" spans="1:19">
      <c r="A1109" t="s">
        <v>6742</v>
      </c>
      <c r="B1109" t="s">
        <v>6743</v>
      </c>
      <c r="C1109" t="s">
        <v>2401</v>
      </c>
      <c r="D1109" t="s">
        <v>2401</v>
      </c>
      <c r="E1109" t="s">
        <v>2401</v>
      </c>
      <c r="F1109" t="s">
        <v>2401</v>
      </c>
      <c r="G1109" t="s">
        <v>2401</v>
      </c>
      <c r="H1109" t="s">
        <v>2401</v>
      </c>
      <c r="I1109" t="s">
        <v>2401</v>
      </c>
      <c r="J1109" t="s">
        <v>6744</v>
      </c>
      <c r="K1109" t="s">
        <v>4025</v>
      </c>
      <c r="L1109" t="s">
        <v>2401</v>
      </c>
      <c r="M1109" s="14">
        <v>45399.554861111108</v>
      </c>
      <c r="N1109" t="s">
        <v>6745</v>
      </c>
      <c r="O1109" t="s">
        <v>6746</v>
      </c>
      <c r="P1109" t="s">
        <v>2401</v>
      </c>
      <c r="Q1109" t="s">
        <v>2401</v>
      </c>
      <c r="R1109" t="s">
        <v>2401</v>
      </c>
      <c r="S1109" t="s">
        <v>2401</v>
      </c>
    </row>
    <row r="1110" spans="1:19">
      <c r="A1110" t="s">
        <v>6747</v>
      </c>
      <c r="B1110" t="s">
        <v>905</v>
      </c>
      <c r="C1110" t="s">
        <v>2401</v>
      </c>
      <c r="D1110" t="s">
        <v>2401</v>
      </c>
      <c r="E1110" t="s">
        <v>2401</v>
      </c>
      <c r="F1110" t="s">
        <v>2401</v>
      </c>
      <c r="G1110" t="s">
        <v>2401</v>
      </c>
      <c r="H1110" t="s">
        <v>2401</v>
      </c>
      <c r="I1110" t="s">
        <v>2401</v>
      </c>
      <c r="J1110" t="s">
        <v>6748</v>
      </c>
      <c r="K1110" t="s">
        <v>2448</v>
      </c>
      <c r="L1110" t="s">
        <v>2401</v>
      </c>
      <c r="M1110" s="14">
        <v>45391.348611111112</v>
      </c>
      <c r="N1110" t="s">
        <v>6749</v>
      </c>
      <c r="O1110" t="s">
        <v>6750</v>
      </c>
      <c r="P1110" t="s">
        <v>6751</v>
      </c>
      <c r="Q1110">
        <v>1</v>
      </c>
      <c r="R1110" t="s">
        <v>2401</v>
      </c>
      <c r="S1110" t="s">
        <v>6752</v>
      </c>
    </row>
    <row r="1111" spans="1:19">
      <c r="A1111" t="s">
        <v>6753</v>
      </c>
      <c r="B1111" t="s">
        <v>905</v>
      </c>
      <c r="C1111" t="s">
        <v>2401</v>
      </c>
      <c r="D1111" t="s">
        <v>2401</v>
      </c>
      <c r="E1111" t="s">
        <v>2401</v>
      </c>
      <c r="F1111" t="s">
        <v>2401</v>
      </c>
      <c r="G1111" t="s">
        <v>2401</v>
      </c>
      <c r="H1111" t="s">
        <v>2401</v>
      </c>
      <c r="I1111" t="s">
        <v>2401</v>
      </c>
      <c r="J1111" t="s">
        <v>6754</v>
      </c>
      <c r="K1111" t="s">
        <v>2448</v>
      </c>
      <c r="L1111" t="s">
        <v>2401</v>
      </c>
      <c r="M1111" s="14">
        <v>45390.607638888891</v>
      </c>
      <c r="N1111" t="s">
        <v>6755</v>
      </c>
      <c r="O1111" t="s">
        <v>6750</v>
      </c>
      <c r="P1111" t="s">
        <v>2401</v>
      </c>
      <c r="Q1111" t="s">
        <v>2401</v>
      </c>
      <c r="R1111" t="s">
        <v>2401</v>
      </c>
      <c r="S1111" t="s">
        <v>2401</v>
      </c>
    </row>
    <row r="1112" spans="1:19">
      <c r="A1112" t="s">
        <v>6756</v>
      </c>
      <c r="B1112" t="s">
        <v>6757</v>
      </c>
      <c r="C1112" t="s">
        <v>2401</v>
      </c>
      <c r="D1112" t="s">
        <v>2401</v>
      </c>
      <c r="E1112" t="s">
        <v>2401</v>
      </c>
      <c r="F1112" t="s">
        <v>2401</v>
      </c>
      <c r="G1112" t="s">
        <v>2401</v>
      </c>
      <c r="H1112" t="s">
        <v>2401</v>
      </c>
      <c r="I1112" t="s">
        <v>2401</v>
      </c>
      <c r="J1112" t="s">
        <v>6758</v>
      </c>
      <c r="K1112" t="s">
        <v>3155</v>
      </c>
      <c r="L1112" t="s">
        <v>2401</v>
      </c>
      <c r="M1112" s="14">
        <v>45534.874305555553</v>
      </c>
      <c r="N1112" t="s">
        <v>6759</v>
      </c>
      <c r="O1112" t="s">
        <v>6760</v>
      </c>
      <c r="P1112" t="s">
        <v>6761</v>
      </c>
      <c r="Q1112">
        <v>5</v>
      </c>
      <c r="R1112" t="s">
        <v>2401</v>
      </c>
      <c r="S1112" t="s">
        <v>6762</v>
      </c>
    </row>
    <row r="1113" spans="1:19">
      <c r="A1113" t="s">
        <v>6763</v>
      </c>
      <c r="B1113" t="s">
        <v>6764</v>
      </c>
      <c r="C1113" t="s">
        <v>2564</v>
      </c>
      <c r="D1113" t="s">
        <v>2401</v>
      </c>
      <c r="E1113" t="s">
        <v>6765</v>
      </c>
      <c r="F1113" t="s">
        <v>2401</v>
      </c>
      <c r="G1113" t="s">
        <v>6766</v>
      </c>
      <c r="H1113" t="s">
        <v>6767</v>
      </c>
      <c r="I1113" t="s">
        <v>2401</v>
      </c>
      <c r="J1113" t="s">
        <v>6768</v>
      </c>
      <c r="K1113" t="s">
        <v>2406</v>
      </c>
      <c r="L1113" t="s">
        <v>2401</v>
      </c>
      <c r="M1113" s="14">
        <v>45426.555555555555</v>
      </c>
      <c r="N1113" t="s">
        <v>6769</v>
      </c>
      <c r="O1113" t="s">
        <v>6770</v>
      </c>
      <c r="P1113" t="s">
        <v>6771</v>
      </c>
      <c r="Q1113">
        <v>1</v>
      </c>
      <c r="R1113" t="s">
        <v>2401</v>
      </c>
      <c r="S1113" t="s">
        <v>6772</v>
      </c>
    </row>
    <row r="1114" spans="1:19">
      <c r="A1114" t="s">
        <v>6773</v>
      </c>
      <c r="B1114" t="s">
        <v>6774</v>
      </c>
      <c r="C1114" t="s">
        <v>2401</v>
      </c>
      <c r="D1114" t="s">
        <v>2401</v>
      </c>
      <c r="E1114" t="s">
        <v>2401</v>
      </c>
      <c r="F1114" t="s">
        <v>2401</v>
      </c>
      <c r="G1114" t="s">
        <v>2401</v>
      </c>
      <c r="H1114" t="s">
        <v>2401</v>
      </c>
      <c r="I1114" t="s">
        <v>2401</v>
      </c>
      <c r="J1114" t="s">
        <v>6775</v>
      </c>
      <c r="K1114" t="s">
        <v>2433</v>
      </c>
      <c r="L1114" t="s">
        <v>2401</v>
      </c>
      <c r="M1114" s="14">
        <v>45565.701388888891</v>
      </c>
      <c r="N1114" t="s">
        <v>6776</v>
      </c>
      <c r="O1114" t="s">
        <v>6777</v>
      </c>
      <c r="P1114" t="s">
        <v>2401</v>
      </c>
      <c r="Q1114" t="s">
        <v>2401</v>
      </c>
      <c r="R1114" t="s">
        <v>2401</v>
      </c>
      <c r="S1114" t="s">
        <v>2401</v>
      </c>
    </row>
    <row r="1115" spans="1:19">
      <c r="A1115" t="s">
        <v>6778</v>
      </c>
      <c r="B1115" t="s">
        <v>6779</v>
      </c>
      <c r="C1115" t="s">
        <v>2401</v>
      </c>
      <c r="D1115" t="s">
        <v>2401</v>
      </c>
      <c r="E1115" t="s">
        <v>2401</v>
      </c>
      <c r="F1115" t="s">
        <v>2401</v>
      </c>
      <c r="G1115" t="s">
        <v>2401</v>
      </c>
      <c r="H1115" t="s">
        <v>2401</v>
      </c>
      <c r="I1115" t="s">
        <v>2401</v>
      </c>
      <c r="J1115" t="s">
        <v>6780</v>
      </c>
      <c r="K1115" t="s">
        <v>2492</v>
      </c>
      <c r="L1115" t="s">
        <v>2401</v>
      </c>
      <c r="M1115" s="14">
        <v>45565.56527777778</v>
      </c>
      <c r="N1115" t="s">
        <v>6781</v>
      </c>
      <c r="O1115" t="s">
        <v>6782</v>
      </c>
      <c r="P1115" t="s">
        <v>2401</v>
      </c>
      <c r="Q1115" t="s">
        <v>2401</v>
      </c>
      <c r="R1115" t="s">
        <v>2401</v>
      </c>
      <c r="S1115" t="s">
        <v>2401</v>
      </c>
    </row>
    <row r="1116" spans="1:19">
      <c r="A1116" t="s">
        <v>6783</v>
      </c>
      <c r="B1116" t="s">
        <v>6784</v>
      </c>
      <c r="C1116" t="s">
        <v>2401</v>
      </c>
      <c r="D1116" t="s">
        <v>2401</v>
      </c>
      <c r="E1116" t="s">
        <v>2401</v>
      </c>
      <c r="F1116" t="s">
        <v>2401</v>
      </c>
      <c r="G1116" t="s">
        <v>2401</v>
      </c>
      <c r="H1116" t="s">
        <v>2401</v>
      </c>
      <c r="I1116" t="s">
        <v>2401</v>
      </c>
      <c r="J1116" t="s">
        <v>6785</v>
      </c>
      <c r="K1116" t="s">
        <v>5463</v>
      </c>
      <c r="L1116" t="s">
        <v>2401</v>
      </c>
      <c r="M1116" s="14">
        <v>45565.65</v>
      </c>
      <c r="N1116" t="s">
        <v>6786</v>
      </c>
      <c r="O1116" t="s">
        <v>2401</v>
      </c>
      <c r="P1116" t="s">
        <v>2401</v>
      </c>
      <c r="Q1116" t="s">
        <v>2401</v>
      </c>
      <c r="R1116" t="s">
        <v>2401</v>
      </c>
      <c r="S1116" t="s">
        <v>2401</v>
      </c>
    </row>
    <row r="1117" spans="1:19">
      <c r="A1117" t="s">
        <v>6787</v>
      </c>
      <c r="B1117" t="s">
        <v>6788</v>
      </c>
      <c r="C1117" t="s">
        <v>2401</v>
      </c>
      <c r="D1117" t="s">
        <v>2401</v>
      </c>
      <c r="E1117" t="s">
        <v>2401</v>
      </c>
      <c r="F1117" t="s">
        <v>2401</v>
      </c>
      <c r="G1117" t="s">
        <v>2401</v>
      </c>
      <c r="H1117" t="s">
        <v>2401</v>
      </c>
      <c r="I1117" t="s">
        <v>61</v>
      </c>
      <c r="J1117" t="s">
        <v>6789</v>
      </c>
      <c r="K1117" t="s">
        <v>2567</v>
      </c>
      <c r="L1117" t="s">
        <v>2401</v>
      </c>
      <c r="M1117" s="14">
        <v>45390.607638888891</v>
      </c>
      <c r="N1117" t="s">
        <v>6790</v>
      </c>
      <c r="O1117" t="s">
        <v>6791</v>
      </c>
      <c r="P1117" t="s">
        <v>2401</v>
      </c>
      <c r="Q1117" t="s">
        <v>2401</v>
      </c>
      <c r="R1117" t="s">
        <v>2401</v>
      </c>
      <c r="S1117" t="s">
        <v>2401</v>
      </c>
    </row>
    <row r="1118" spans="1:19">
      <c r="A1118" t="s">
        <v>6792</v>
      </c>
      <c r="B1118" t="s">
        <v>6793</v>
      </c>
      <c r="C1118" t="s">
        <v>2401</v>
      </c>
      <c r="D1118" t="s">
        <v>2401</v>
      </c>
      <c r="E1118" t="s">
        <v>2401</v>
      </c>
      <c r="F1118" t="s">
        <v>2401</v>
      </c>
      <c r="G1118" t="s">
        <v>2401</v>
      </c>
      <c r="H1118" t="s">
        <v>2401</v>
      </c>
      <c r="I1118" t="s">
        <v>2401</v>
      </c>
      <c r="J1118" t="s">
        <v>6794</v>
      </c>
      <c r="K1118" t="s">
        <v>2460</v>
      </c>
      <c r="L1118" t="s">
        <v>2401</v>
      </c>
      <c r="M1118" s="14">
        <v>45534.874305555553</v>
      </c>
      <c r="N1118" t="s">
        <v>6795</v>
      </c>
      <c r="O1118" t="s">
        <v>6588</v>
      </c>
      <c r="P1118" t="s">
        <v>2401</v>
      </c>
      <c r="Q1118" t="s">
        <v>2401</v>
      </c>
      <c r="R1118" t="s">
        <v>2401</v>
      </c>
      <c r="S1118" t="s">
        <v>2401</v>
      </c>
    </row>
    <row r="1119" spans="1:19">
      <c r="A1119" t="s">
        <v>6796</v>
      </c>
      <c r="B1119" t="s">
        <v>6797</v>
      </c>
      <c r="C1119" t="s">
        <v>2401</v>
      </c>
      <c r="D1119" t="s">
        <v>2401</v>
      </c>
      <c r="E1119" t="s">
        <v>2401</v>
      </c>
      <c r="F1119" t="s">
        <v>2401</v>
      </c>
      <c r="G1119" t="s">
        <v>2401</v>
      </c>
      <c r="H1119" t="s">
        <v>2401</v>
      </c>
      <c r="I1119" t="s">
        <v>2401</v>
      </c>
      <c r="J1119" t="s">
        <v>6798</v>
      </c>
      <c r="K1119" t="s">
        <v>2635</v>
      </c>
      <c r="L1119" t="s">
        <v>2401</v>
      </c>
      <c r="M1119" s="14">
        <v>45399.554861111108</v>
      </c>
      <c r="N1119" t="s">
        <v>6799</v>
      </c>
      <c r="O1119" t="s">
        <v>2981</v>
      </c>
      <c r="P1119" t="s">
        <v>2401</v>
      </c>
      <c r="Q1119" t="s">
        <v>2401</v>
      </c>
      <c r="R1119" t="s">
        <v>2401</v>
      </c>
      <c r="S1119" t="s">
        <v>2401</v>
      </c>
    </row>
    <row r="1120" spans="1:19">
      <c r="A1120" t="s">
        <v>6800</v>
      </c>
      <c r="B1120" t="s">
        <v>6801</v>
      </c>
      <c r="C1120" t="s">
        <v>2401</v>
      </c>
      <c r="D1120" t="s">
        <v>2401</v>
      </c>
      <c r="E1120" t="s">
        <v>2401</v>
      </c>
      <c r="F1120" t="s">
        <v>2401</v>
      </c>
      <c r="G1120" t="s">
        <v>2401</v>
      </c>
      <c r="H1120" t="s">
        <v>2401</v>
      </c>
      <c r="I1120" t="s">
        <v>2401</v>
      </c>
      <c r="J1120" t="s">
        <v>6802</v>
      </c>
      <c r="K1120" t="s">
        <v>2720</v>
      </c>
      <c r="L1120" t="s">
        <v>2401</v>
      </c>
      <c r="M1120" s="14">
        <v>45399.554861111108</v>
      </c>
      <c r="N1120" t="s">
        <v>6803</v>
      </c>
      <c r="O1120" t="s">
        <v>6804</v>
      </c>
      <c r="P1120" t="s">
        <v>2401</v>
      </c>
      <c r="Q1120" t="s">
        <v>2401</v>
      </c>
      <c r="R1120" t="s">
        <v>2401</v>
      </c>
      <c r="S1120" t="s">
        <v>2401</v>
      </c>
    </row>
    <row r="1121" spans="1:19">
      <c r="A1121" t="s">
        <v>6805</v>
      </c>
      <c r="B1121" t="s">
        <v>6806</v>
      </c>
      <c r="C1121" t="s">
        <v>2401</v>
      </c>
      <c r="D1121" t="s">
        <v>2401</v>
      </c>
      <c r="E1121" t="s">
        <v>2401</v>
      </c>
      <c r="F1121" t="s">
        <v>2401</v>
      </c>
      <c r="G1121" t="s">
        <v>2401</v>
      </c>
      <c r="H1121" t="s">
        <v>2401</v>
      </c>
      <c r="I1121" t="s">
        <v>2401</v>
      </c>
      <c r="J1121" t="s">
        <v>6807</v>
      </c>
      <c r="K1121" t="s">
        <v>2438</v>
      </c>
      <c r="L1121" t="s">
        <v>2401</v>
      </c>
      <c r="M1121" s="14">
        <v>45399.554861111108</v>
      </c>
      <c r="N1121" t="s">
        <v>6808</v>
      </c>
      <c r="O1121" t="s">
        <v>6809</v>
      </c>
      <c r="P1121" t="s">
        <v>2401</v>
      </c>
      <c r="Q1121" t="s">
        <v>2401</v>
      </c>
      <c r="R1121" t="s">
        <v>2401</v>
      </c>
      <c r="S1121" t="s">
        <v>2401</v>
      </c>
    </row>
    <row r="1122" spans="1:19">
      <c r="A1122" t="s">
        <v>6810</v>
      </c>
      <c r="B1122" t="s">
        <v>6811</v>
      </c>
      <c r="C1122" t="s">
        <v>2401</v>
      </c>
      <c r="D1122" t="s">
        <v>2401</v>
      </c>
      <c r="E1122" t="s">
        <v>2401</v>
      </c>
      <c r="F1122" t="s">
        <v>2401</v>
      </c>
      <c r="G1122" t="s">
        <v>2401</v>
      </c>
      <c r="H1122" t="s">
        <v>2401</v>
      </c>
      <c r="I1122" t="s">
        <v>2401</v>
      </c>
      <c r="J1122" t="s">
        <v>6812</v>
      </c>
      <c r="K1122" t="s">
        <v>2406</v>
      </c>
      <c r="L1122" t="s">
        <v>2401</v>
      </c>
      <c r="M1122" s="14">
        <v>45399.554861111108</v>
      </c>
      <c r="N1122" t="s">
        <v>6813</v>
      </c>
      <c r="O1122" t="s">
        <v>6814</v>
      </c>
      <c r="P1122" t="s">
        <v>2401</v>
      </c>
      <c r="Q1122" t="s">
        <v>2401</v>
      </c>
      <c r="R1122" t="s">
        <v>2401</v>
      </c>
      <c r="S1122" t="s">
        <v>2401</v>
      </c>
    </row>
    <row r="1123" spans="1:19">
      <c r="A1123" t="s">
        <v>6815</v>
      </c>
      <c r="B1123" t="s">
        <v>6816</v>
      </c>
      <c r="C1123" t="s">
        <v>2401</v>
      </c>
      <c r="D1123" t="s">
        <v>2401</v>
      </c>
      <c r="E1123" t="s">
        <v>2401</v>
      </c>
      <c r="F1123" t="s">
        <v>2401</v>
      </c>
      <c r="G1123" t="s">
        <v>2401</v>
      </c>
      <c r="H1123" t="s">
        <v>2401</v>
      </c>
      <c r="I1123" t="s">
        <v>2401</v>
      </c>
      <c r="J1123" t="s">
        <v>6817</v>
      </c>
      <c r="K1123" t="s">
        <v>2492</v>
      </c>
      <c r="L1123" t="s">
        <v>2401</v>
      </c>
      <c r="M1123" s="14">
        <v>45399.554861111108</v>
      </c>
      <c r="N1123" t="s">
        <v>6818</v>
      </c>
      <c r="O1123" t="s">
        <v>6819</v>
      </c>
      <c r="P1123" t="s">
        <v>2401</v>
      </c>
      <c r="Q1123" t="s">
        <v>2401</v>
      </c>
      <c r="R1123" t="s">
        <v>2401</v>
      </c>
      <c r="S1123" t="s">
        <v>2401</v>
      </c>
    </row>
    <row r="1124" spans="1:19">
      <c r="A1124" t="s">
        <v>6820</v>
      </c>
      <c r="B1124" t="s">
        <v>6821</v>
      </c>
      <c r="C1124" t="s">
        <v>2401</v>
      </c>
      <c r="D1124" t="s">
        <v>2401</v>
      </c>
      <c r="E1124" t="s">
        <v>2401</v>
      </c>
      <c r="F1124" t="s">
        <v>2401</v>
      </c>
      <c r="G1124" t="s">
        <v>2401</v>
      </c>
      <c r="H1124" t="s">
        <v>2401</v>
      </c>
      <c r="I1124" t="s">
        <v>2401</v>
      </c>
      <c r="J1124" t="s">
        <v>6822</v>
      </c>
      <c r="K1124" t="s">
        <v>2438</v>
      </c>
      <c r="L1124" t="s">
        <v>2401</v>
      </c>
      <c r="M1124" s="14">
        <v>45565.656944444447</v>
      </c>
      <c r="N1124" t="s">
        <v>2401</v>
      </c>
      <c r="O1124" t="s">
        <v>2401</v>
      </c>
      <c r="P1124" t="s">
        <v>2401</v>
      </c>
      <c r="Q1124" t="s">
        <v>2401</v>
      </c>
      <c r="R1124" t="s">
        <v>2401</v>
      </c>
      <c r="S1124" t="s">
        <v>2401</v>
      </c>
    </row>
    <row r="1125" spans="1:19">
      <c r="A1125" t="s">
        <v>6823</v>
      </c>
      <c r="B1125" t="s">
        <v>6824</v>
      </c>
      <c r="C1125" t="s">
        <v>2401</v>
      </c>
      <c r="D1125" t="s">
        <v>2401</v>
      </c>
      <c r="E1125" t="s">
        <v>2401</v>
      </c>
      <c r="F1125" t="s">
        <v>2401</v>
      </c>
      <c r="G1125" t="s">
        <v>2401</v>
      </c>
      <c r="H1125" t="s">
        <v>2401</v>
      </c>
      <c r="I1125" t="s">
        <v>2401</v>
      </c>
      <c r="J1125" t="s">
        <v>6825</v>
      </c>
      <c r="K1125" t="s">
        <v>2406</v>
      </c>
      <c r="L1125" t="s">
        <v>2401</v>
      </c>
      <c r="M1125" s="14">
        <v>45565.566666666666</v>
      </c>
      <c r="N1125" t="s">
        <v>6826</v>
      </c>
      <c r="O1125" t="s">
        <v>2401</v>
      </c>
      <c r="P1125" t="s">
        <v>2401</v>
      </c>
      <c r="Q1125" t="s">
        <v>2401</v>
      </c>
      <c r="R1125" t="s">
        <v>2401</v>
      </c>
      <c r="S1125" t="s">
        <v>2401</v>
      </c>
    </row>
    <row r="1126" spans="1:19">
      <c r="A1126" t="s">
        <v>6827</v>
      </c>
      <c r="B1126" t="s">
        <v>6828</v>
      </c>
      <c r="C1126" t="s">
        <v>2401</v>
      </c>
      <c r="D1126" t="s">
        <v>2401</v>
      </c>
      <c r="E1126" t="s">
        <v>2401</v>
      </c>
      <c r="F1126" t="s">
        <v>2401</v>
      </c>
      <c r="G1126" t="s">
        <v>2401</v>
      </c>
      <c r="H1126" t="s">
        <v>2401</v>
      </c>
      <c r="I1126" t="s">
        <v>61</v>
      </c>
      <c r="J1126" t="s">
        <v>2401</v>
      </c>
      <c r="K1126" t="s">
        <v>2401</v>
      </c>
      <c r="L1126" t="s">
        <v>2401</v>
      </c>
      <c r="M1126" s="14">
        <v>45399.554861111108</v>
      </c>
      <c r="N1126" t="s">
        <v>2401</v>
      </c>
      <c r="O1126" t="s">
        <v>2401</v>
      </c>
      <c r="P1126" t="s">
        <v>2401</v>
      </c>
      <c r="Q1126" t="s">
        <v>2401</v>
      </c>
      <c r="R1126" t="s">
        <v>2401</v>
      </c>
      <c r="S1126" t="s">
        <v>2401</v>
      </c>
    </row>
    <row r="1127" spans="1:19">
      <c r="A1127" t="s">
        <v>6829</v>
      </c>
      <c r="B1127" t="s">
        <v>6828</v>
      </c>
      <c r="C1127" t="s">
        <v>2401</v>
      </c>
      <c r="D1127" t="s">
        <v>2401</v>
      </c>
      <c r="E1127" t="s">
        <v>2401</v>
      </c>
      <c r="F1127" t="s">
        <v>2401</v>
      </c>
      <c r="G1127" t="s">
        <v>2401</v>
      </c>
      <c r="H1127" t="s">
        <v>2401</v>
      </c>
      <c r="I1127" t="s">
        <v>2401</v>
      </c>
      <c r="J1127" t="s">
        <v>6830</v>
      </c>
      <c r="K1127" t="s">
        <v>3049</v>
      </c>
      <c r="L1127" t="s">
        <v>2401</v>
      </c>
      <c r="M1127" s="14">
        <v>45390.607638888891</v>
      </c>
      <c r="N1127" t="s">
        <v>6831</v>
      </c>
      <c r="O1127" t="s">
        <v>6832</v>
      </c>
      <c r="P1127" t="s">
        <v>2401</v>
      </c>
      <c r="Q1127" t="s">
        <v>2401</v>
      </c>
      <c r="R1127" t="s">
        <v>2401</v>
      </c>
      <c r="S1127" t="s">
        <v>2401</v>
      </c>
    </row>
    <row r="1128" spans="1:19">
      <c r="A1128" t="s">
        <v>6833</v>
      </c>
      <c r="B1128" t="s">
        <v>6834</v>
      </c>
      <c r="C1128" t="s">
        <v>2401</v>
      </c>
      <c r="D1128" t="s">
        <v>2401</v>
      </c>
      <c r="E1128" t="s">
        <v>2401</v>
      </c>
      <c r="F1128" t="s">
        <v>2401</v>
      </c>
      <c r="G1128" t="s">
        <v>2401</v>
      </c>
      <c r="H1128" t="s">
        <v>2401</v>
      </c>
      <c r="I1128" t="s">
        <v>2401</v>
      </c>
      <c r="J1128" t="s">
        <v>6835</v>
      </c>
      <c r="K1128" t="s">
        <v>2486</v>
      </c>
      <c r="L1128" t="s">
        <v>2401</v>
      </c>
      <c r="M1128" s="14">
        <v>45390.607638888891</v>
      </c>
      <c r="N1128" t="s">
        <v>6836</v>
      </c>
      <c r="O1128" t="s">
        <v>6444</v>
      </c>
      <c r="P1128" t="s">
        <v>2401</v>
      </c>
      <c r="Q1128" t="s">
        <v>2401</v>
      </c>
      <c r="R1128" t="s">
        <v>2401</v>
      </c>
      <c r="S1128" t="s">
        <v>2401</v>
      </c>
    </row>
    <row r="1129" spans="1:19">
      <c r="A1129" t="s">
        <v>6837</v>
      </c>
      <c r="B1129" t="s">
        <v>6838</v>
      </c>
      <c r="C1129" t="s">
        <v>2401</v>
      </c>
      <c r="D1129" t="s">
        <v>2401</v>
      </c>
      <c r="E1129" t="s">
        <v>2401</v>
      </c>
      <c r="F1129" t="s">
        <v>2401</v>
      </c>
      <c r="G1129" t="s">
        <v>2401</v>
      </c>
      <c r="H1129" t="s">
        <v>2401</v>
      </c>
      <c r="I1129" t="s">
        <v>2401</v>
      </c>
      <c r="J1129" t="s">
        <v>6839</v>
      </c>
      <c r="K1129" t="s">
        <v>2486</v>
      </c>
      <c r="L1129" t="s">
        <v>2401</v>
      </c>
      <c r="M1129" s="14">
        <v>45390.607638888891</v>
      </c>
      <c r="N1129" t="s">
        <v>6840</v>
      </c>
      <c r="O1129" t="s">
        <v>6841</v>
      </c>
      <c r="P1129" t="s">
        <v>2401</v>
      </c>
      <c r="Q1129" t="s">
        <v>2401</v>
      </c>
      <c r="R1129" t="s">
        <v>2401</v>
      </c>
      <c r="S1129" t="s">
        <v>2401</v>
      </c>
    </row>
    <row r="1130" spans="1:19">
      <c r="A1130" t="s">
        <v>6842</v>
      </c>
      <c r="B1130" t="s">
        <v>6843</v>
      </c>
      <c r="C1130" t="s">
        <v>2401</v>
      </c>
      <c r="D1130" t="s">
        <v>2401</v>
      </c>
      <c r="E1130" t="s">
        <v>2401</v>
      </c>
      <c r="F1130" t="s">
        <v>2401</v>
      </c>
      <c r="G1130" t="s">
        <v>2401</v>
      </c>
      <c r="H1130" t="s">
        <v>2401</v>
      </c>
      <c r="I1130" t="s">
        <v>61</v>
      </c>
      <c r="J1130" t="s">
        <v>2401</v>
      </c>
      <c r="K1130" t="s">
        <v>2401</v>
      </c>
      <c r="L1130" t="s">
        <v>2401</v>
      </c>
      <c r="M1130" s="14">
        <v>45399.554861111108</v>
      </c>
      <c r="N1130" t="s">
        <v>2401</v>
      </c>
      <c r="O1130" t="s">
        <v>2401</v>
      </c>
      <c r="P1130" t="s">
        <v>2401</v>
      </c>
      <c r="Q1130" t="s">
        <v>2401</v>
      </c>
      <c r="R1130" t="s">
        <v>2401</v>
      </c>
      <c r="S1130" t="s">
        <v>2401</v>
      </c>
    </row>
    <row r="1131" spans="1:19">
      <c r="A1131" t="s">
        <v>6844</v>
      </c>
      <c r="B1131" t="s">
        <v>6845</v>
      </c>
      <c r="C1131" t="s">
        <v>2401</v>
      </c>
      <c r="D1131" t="s">
        <v>2401</v>
      </c>
      <c r="E1131" t="s">
        <v>2401</v>
      </c>
      <c r="F1131" t="s">
        <v>2401</v>
      </c>
      <c r="G1131" t="s">
        <v>2401</v>
      </c>
      <c r="H1131" t="s">
        <v>2401</v>
      </c>
      <c r="I1131" t="s">
        <v>2401</v>
      </c>
      <c r="J1131" t="s">
        <v>6846</v>
      </c>
      <c r="K1131" t="s">
        <v>3308</v>
      </c>
      <c r="L1131" t="s">
        <v>2401</v>
      </c>
      <c r="M1131" s="14">
        <v>45534.874305555553</v>
      </c>
      <c r="N1131" t="s">
        <v>6847</v>
      </c>
      <c r="O1131" t="s">
        <v>6848</v>
      </c>
      <c r="P1131" t="s">
        <v>2401</v>
      </c>
      <c r="Q1131" t="s">
        <v>2401</v>
      </c>
      <c r="R1131" t="s">
        <v>2401</v>
      </c>
      <c r="S1131" t="s">
        <v>2401</v>
      </c>
    </row>
    <row r="1132" spans="1:19">
      <c r="A1132" t="s">
        <v>6849</v>
      </c>
      <c r="B1132" t="s">
        <v>6850</v>
      </c>
      <c r="C1132" t="s">
        <v>2401</v>
      </c>
      <c r="D1132" t="s">
        <v>2401</v>
      </c>
      <c r="E1132" t="s">
        <v>2401</v>
      </c>
      <c r="F1132" t="s">
        <v>2401</v>
      </c>
      <c r="G1132" t="s">
        <v>2401</v>
      </c>
      <c r="H1132" t="s">
        <v>2401</v>
      </c>
      <c r="I1132" t="s">
        <v>2401</v>
      </c>
      <c r="J1132" t="s">
        <v>6851</v>
      </c>
      <c r="K1132" t="s">
        <v>2401</v>
      </c>
      <c r="L1132" t="s">
        <v>2401</v>
      </c>
      <c r="M1132" s="14">
        <v>45399.554861111108</v>
      </c>
      <c r="N1132" t="s">
        <v>6852</v>
      </c>
      <c r="O1132" t="s">
        <v>6853</v>
      </c>
      <c r="P1132" t="s">
        <v>2401</v>
      </c>
      <c r="Q1132" t="s">
        <v>2401</v>
      </c>
      <c r="R1132" t="s">
        <v>2401</v>
      </c>
      <c r="S1132" t="s">
        <v>2401</v>
      </c>
    </row>
    <row r="1133" spans="1:19">
      <c r="A1133" t="s">
        <v>6854</v>
      </c>
      <c r="B1133" t="s">
        <v>6855</v>
      </c>
      <c r="C1133" t="s">
        <v>2401</v>
      </c>
      <c r="D1133" t="s">
        <v>2401</v>
      </c>
      <c r="E1133" t="s">
        <v>2401</v>
      </c>
      <c r="F1133" t="s">
        <v>2401</v>
      </c>
      <c r="G1133" t="s">
        <v>2401</v>
      </c>
      <c r="H1133" t="s">
        <v>2401</v>
      </c>
      <c r="I1133" t="s">
        <v>2401</v>
      </c>
      <c r="J1133" t="s">
        <v>6856</v>
      </c>
      <c r="K1133" t="s">
        <v>2433</v>
      </c>
      <c r="L1133" t="s">
        <v>2401</v>
      </c>
      <c r="M1133" s="14">
        <v>45565.706250000003</v>
      </c>
      <c r="N1133" t="s">
        <v>6857</v>
      </c>
      <c r="O1133" t="s">
        <v>6858</v>
      </c>
      <c r="P1133" t="s">
        <v>2401</v>
      </c>
      <c r="Q1133" t="s">
        <v>2401</v>
      </c>
      <c r="R1133" t="s">
        <v>2401</v>
      </c>
      <c r="S1133" t="s">
        <v>2401</v>
      </c>
    </row>
    <row r="1134" spans="1:19">
      <c r="A1134" t="s">
        <v>6859</v>
      </c>
      <c r="B1134" t="s">
        <v>6860</v>
      </c>
      <c r="C1134" t="s">
        <v>2401</v>
      </c>
      <c r="D1134" t="s">
        <v>2401</v>
      </c>
      <c r="E1134" t="s">
        <v>2401</v>
      </c>
      <c r="F1134" t="s">
        <v>2401</v>
      </c>
      <c r="G1134" t="s">
        <v>2401</v>
      </c>
      <c r="H1134" t="s">
        <v>2401</v>
      </c>
      <c r="I1134" t="s">
        <v>2401</v>
      </c>
      <c r="J1134" t="s">
        <v>6861</v>
      </c>
      <c r="K1134" t="s">
        <v>2433</v>
      </c>
      <c r="L1134" t="s">
        <v>2401</v>
      </c>
      <c r="M1134" s="14">
        <v>45390.607638888891</v>
      </c>
      <c r="N1134" t="s">
        <v>6862</v>
      </c>
      <c r="O1134" t="s">
        <v>6863</v>
      </c>
      <c r="P1134" t="s">
        <v>2401</v>
      </c>
      <c r="Q1134" t="s">
        <v>2401</v>
      </c>
      <c r="R1134" t="s">
        <v>2401</v>
      </c>
      <c r="S1134" t="s">
        <v>2401</v>
      </c>
    </row>
    <row r="1135" spans="1:19">
      <c r="A1135" t="s">
        <v>6864</v>
      </c>
      <c r="B1135" t="s">
        <v>6865</v>
      </c>
      <c r="C1135" t="s">
        <v>2401</v>
      </c>
      <c r="D1135" t="s">
        <v>2401</v>
      </c>
      <c r="E1135" t="s">
        <v>2401</v>
      </c>
      <c r="F1135" t="s">
        <v>2401</v>
      </c>
      <c r="G1135" t="s">
        <v>2401</v>
      </c>
      <c r="H1135" t="s">
        <v>2401</v>
      </c>
      <c r="I1135" t="s">
        <v>2401</v>
      </c>
      <c r="J1135" t="s">
        <v>6866</v>
      </c>
      <c r="K1135" t="s">
        <v>3071</v>
      </c>
      <c r="L1135" t="s">
        <v>2401</v>
      </c>
      <c r="M1135" s="14">
        <v>45565.645138888889</v>
      </c>
      <c r="N1135" t="s">
        <v>6867</v>
      </c>
      <c r="O1135" t="s">
        <v>6868</v>
      </c>
      <c r="P1135" t="s">
        <v>2401</v>
      </c>
      <c r="Q1135" t="s">
        <v>2401</v>
      </c>
      <c r="R1135" t="s">
        <v>2401</v>
      </c>
      <c r="S1135" t="s">
        <v>2401</v>
      </c>
    </row>
    <row r="1136" spans="1:19">
      <c r="A1136" t="s">
        <v>6869</v>
      </c>
      <c r="B1136" t="s">
        <v>6870</v>
      </c>
      <c r="C1136" t="s">
        <v>2401</v>
      </c>
      <c r="D1136" t="s">
        <v>2401</v>
      </c>
      <c r="E1136" t="s">
        <v>2401</v>
      </c>
      <c r="F1136" t="s">
        <v>2401</v>
      </c>
      <c r="G1136" t="s">
        <v>2401</v>
      </c>
      <c r="H1136" t="s">
        <v>2401</v>
      </c>
      <c r="I1136" t="s">
        <v>2401</v>
      </c>
      <c r="J1136" t="s">
        <v>6871</v>
      </c>
      <c r="K1136" t="s">
        <v>2433</v>
      </c>
      <c r="L1136" t="s">
        <v>2401</v>
      </c>
      <c r="M1136" s="14">
        <v>45390.607638888891</v>
      </c>
      <c r="N1136" t="s">
        <v>6872</v>
      </c>
      <c r="O1136" t="s">
        <v>2586</v>
      </c>
      <c r="P1136" t="s">
        <v>2401</v>
      </c>
      <c r="Q1136" t="s">
        <v>2401</v>
      </c>
      <c r="R1136" t="s">
        <v>2401</v>
      </c>
      <c r="S1136" t="s">
        <v>2401</v>
      </c>
    </row>
    <row r="1137" spans="1:19">
      <c r="A1137" t="s">
        <v>6873</v>
      </c>
      <c r="B1137" t="s">
        <v>6874</v>
      </c>
      <c r="C1137" t="s">
        <v>2401</v>
      </c>
      <c r="D1137" t="s">
        <v>2401</v>
      </c>
      <c r="E1137" t="s">
        <v>2401</v>
      </c>
      <c r="F1137" t="s">
        <v>2401</v>
      </c>
      <c r="G1137" t="s">
        <v>2401</v>
      </c>
      <c r="H1137" t="s">
        <v>2401</v>
      </c>
      <c r="I1137" t="s">
        <v>2401</v>
      </c>
      <c r="J1137" t="s">
        <v>6875</v>
      </c>
      <c r="K1137" t="s">
        <v>2492</v>
      </c>
      <c r="L1137" t="s">
        <v>2401</v>
      </c>
      <c r="M1137" s="14">
        <v>45565.564583333333</v>
      </c>
      <c r="N1137" t="s">
        <v>6876</v>
      </c>
      <c r="O1137" t="s">
        <v>6877</v>
      </c>
      <c r="P1137" t="s">
        <v>2401</v>
      </c>
      <c r="Q1137" t="s">
        <v>2401</v>
      </c>
      <c r="R1137" t="s">
        <v>2401</v>
      </c>
      <c r="S1137" t="s">
        <v>2401</v>
      </c>
    </row>
    <row r="1138" spans="1:19">
      <c r="A1138" t="s">
        <v>6878</v>
      </c>
      <c r="B1138" t="s">
        <v>6879</v>
      </c>
      <c r="C1138" t="s">
        <v>2401</v>
      </c>
      <c r="D1138" t="s">
        <v>2401</v>
      </c>
      <c r="E1138" t="s">
        <v>2401</v>
      </c>
      <c r="F1138" t="s">
        <v>2401</v>
      </c>
      <c r="G1138" t="s">
        <v>2401</v>
      </c>
      <c r="H1138" t="s">
        <v>2401</v>
      </c>
      <c r="I1138" t="s">
        <v>2401</v>
      </c>
      <c r="J1138" t="s">
        <v>6880</v>
      </c>
      <c r="K1138" t="s">
        <v>2401</v>
      </c>
      <c r="L1138" t="s">
        <v>2401</v>
      </c>
      <c r="M1138" s="14">
        <v>45565.664583333331</v>
      </c>
      <c r="N1138" t="s">
        <v>6881</v>
      </c>
      <c r="O1138" t="s">
        <v>2401</v>
      </c>
      <c r="P1138" t="s">
        <v>2401</v>
      </c>
      <c r="Q1138" t="s">
        <v>2401</v>
      </c>
      <c r="R1138" t="s">
        <v>2401</v>
      </c>
      <c r="S1138" t="s">
        <v>2401</v>
      </c>
    </row>
    <row r="1139" spans="1:19">
      <c r="A1139" t="s">
        <v>6882</v>
      </c>
      <c r="B1139" t="s">
        <v>6883</v>
      </c>
      <c r="C1139" t="s">
        <v>2401</v>
      </c>
      <c r="D1139" t="s">
        <v>2401</v>
      </c>
      <c r="E1139" t="s">
        <v>2401</v>
      </c>
      <c r="F1139" t="s">
        <v>2401</v>
      </c>
      <c r="G1139" t="s">
        <v>2401</v>
      </c>
      <c r="H1139" t="s">
        <v>2401</v>
      </c>
      <c r="I1139" t="s">
        <v>2401</v>
      </c>
      <c r="J1139" t="s">
        <v>6884</v>
      </c>
      <c r="K1139" t="s">
        <v>2720</v>
      </c>
      <c r="L1139" t="s">
        <v>2401</v>
      </c>
      <c r="M1139" s="14">
        <v>45565.645138888889</v>
      </c>
      <c r="N1139" t="s">
        <v>6885</v>
      </c>
      <c r="O1139" t="s">
        <v>2401</v>
      </c>
      <c r="P1139" t="s">
        <v>2401</v>
      </c>
      <c r="Q1139" t="s">
        <v>2401</v>
      </c>
      <c r="R1139" t="s">
        <v>2401</v>
      </c>
      <c r="S1139" t="s">
        <v>2401</v>
      </c>
    </row>
    <row r="1140" spans="1:19">
      <c r="A1140" t="s">
        <v>6886</v>
      </c>
      <c r="B1140" t="s">
        <v>6887</v>
      </c>
      <c r="C1140" t="s">
        <v>2401</v>
      </c>
      <c r="D1140" t="s">
        <v>2401</v>
      </c>
      <c r="E1140" t="s">
        <v>2401</v>
      </c>
      <c r="F1140" t="s">
        <v>2401</v>
      </c>
      <c r="G1140" t="s">
        <v>2401</v>
      </c>
      <c r="H1140" t="s">
        <v>2401</v>
      </c>
      <c r="I1140" t="s">
        <v>2401</v>
      </c>
      <c r="J1140" t="s">
        <v>6888</v>
      </c>
      <c r="K1140" t="s">
        <v>3663</v>
      </c>
      <c r="L1140" t="s">
        <v>2401</v>
      </c>
      <c r="M1140" s="14">
        <v>45399.554861111108</v>
      </c>
      <c r="N1140" t="s">
        <v>6889</v>
      </c>
      <c r="O1140" t="s">
        <v>6890</v>
      </c>
      <c r="P1140" t="s">
        <v>2401</v>
      </c>
      <c r="Q1140" t="s">
        <v>2401</v>
      </c>
      <c r="R1140" t="s">
        <v>2401</v>
      </c>
      <c r="S1140" t="s">
        <v>2401</v>
      </c>
    </row>
    <row r="1141" spans="1:19">
      <c r="A1141" t="s">
        <v>6891</v>
      </c>
      <c r="B1141" t="s">
        <v>6892</v>
      </c>
      <c r="C1141" t="s">
        <v>2401</v>
      </c>
      <c r="D1141" t="s">
        <v>2401</v>
      </c>
      <c r="E1141" t="s">
        <v>2401</v>
      </c>
      <c r="F1141" t="s">
        <v>2401</v>
      </c>
      <c r="G1141" t="s">
        <v>2401</v>
      </c>
      <c r="H1141" t="s">
        <v>2401</v>
      </c>
      <c r="I1141" t="s">
        <v>2401</v>
      </c>
      <c r="J1141" t="s">
        <v>6893</v>
      </c>
      <c r="K1141" t="s">
        <v>2720</v>
      </c>
      <c r="L1141" t="s">
        <v>2401</v>
      </c>
      <c r="M1141" s="14">
        <v>45565.65</v>
      </c>
      <c r="N1141" t="s">
        <v>6894</v>
      </c>
      <c r="O1141" t="s">
        <v>6895</v>
      </c>
      <c r="P1141" t="s">
        <v>2401</v>
      </c>
      <c r="Q1141" t="s">
        <v>2401</v>
      </c>
      <c r="R1141" t="s">
        <v>2401</v>
      </c>
      <c r="S1141" t="s">
        <v>2401</v>
      </c>
    </row>
    <row r="1142" spans="1:19">
      <c r="A1142" t="s">
        <v>6896</v>
      </c>
      <c r="B1142" t="s">
        <v>6897</v>
      </c>
      <c r="C1142" t="s">
        <v>2401</v>
      </c>
      <c r="D1142" t="s">
        <v>2401</v>
      </c>
      <c r="E1142" t="s">
        <v>2401</v>
      </c>
      <c r="F1142" t="s">
        <v>2401</v>
      </c>
      <c r="G1142" t="s">
        <v>2401</v>
      </c>
      <c r="H1142" t="s">
        <v>2401</v>
      </c>
      <c r="I1142" t="s">
        <v>2401</v>
      </c>
      <c r="J1142" t="s">
        <v>6898</v>
      </c>
      <c r="K1142" t="s">
        <v>2720</v>
      </c>
      <c r="L1142" t="s">
        <v>2401</v>
      </c>
      <c r="M1142" s="14">
        <v>45399.554861111108</v>
      </c>
      <c r="N1142" t="s">
        <v>6899</v>
      </c>
      <c r="O1142" t="s">
        <v>6900</v>
      </c>
      <c r="P1142" t="s">
        <v>2401</v>
      </c>
      <c r="Q1142" t="s">
        <v>2401</v>
      </c>
      <c r="R1142" t="s">
        <v>2401</v>
      </c>
      <c r="S1142" t="s">
        <v>2401</v>
      </c>
    </row>
    <row r="1143" spans="1:19">
      <c r="A1143" t="s">
        <v>6901</v>
      </c>
      <c r="B1143" t="s">
        <v>6902</v>
      </c>
      <c r="C1143" t="s">
        <v>2401</v>
      </c>
      <c r="D1143" t="s">
        <v>2401</v>
      </c>
      <c r="E1143" t="s">
        <v>2401</v>
      </c>
      <c r="F1143" t="s">
        <v>2401</v>
      </c>
      <c r="G1143" t="s">
        <v>2401</v>
      </c>
      <c r="H1143" t="s">
        <v>2401</v>
      </c>
      <c r="I1143" t="s">
        <v>2401</v>
      </c>
      <c r="J1143" t="s">
        <v>6903</v>
      </c>
      <c r="K1143" t="s">
        <v>3218</v>
      </c>
      <c r="L1143" t="s">
        <v>2401</v>
      </c>
      <c r="M1143" s="14">
        <v>45565.683333333334</v>
      </c>
      <c r="N1143" t="s">
        <v>6904</v>
      </c>
      <c r="O1143" t="s">
        <v>6905</v>
      </c>
      <c r="P1143" t="s">
        <v>2401</v>
      </c>
      <c r="Q1143" t="s">
        <v>2401</v>
      </c>
      <c r="R1143" t="s">
        <v>2401</v>
      </c>
      <c r="S1143" t="s">
        <v>2401</v>
      </c>
    </row>
    <row r="1144" spans="1:19">
      <c r="A1144" t="s">
        <v>6906</v>
      </c>
      <c r="B1144" t="s">
        <v>6907</v>
      </c>
      <c r="C1144" t="s">
        <v>2401</v>
      </c>
      <c r="D1144" t="s">
        <v>2401</v>
      </c>
      <c r="E1144" t="s">
        <v>2401</v>
      </c>
      <c r="F1144" t="s">
        <v>2401</v>
      </c>
      <c r="G1144" t="s">
        <v>2401</v>
      </c>
      <c r="H1144" t="s">
        <v>2401</v>
      </c>
      <c r="I1144" t="s">
        <v>2401</v>
      </c>
      <c r="J1144" t="s">
        <v>6908</v>
      </c>
      <c r="K1144" t="s">
        <v>2460</v>
      </c>
      <c r="L1144" t="s">
        <v>2401</v>
      </c>
      <c r="M1144" s="14">
        <v>45399.554861111108</v>
      </c>
      <c r="N1144" t="s">
        <v>6909</v>
      </c>
      <c r="O1144" t="s">
        <v>6910</v>
      </c>
      <c r="P1144" t="s">
        <v>2401</v>
      </c>
      <c r="Q1144" t="s">
        <v>2401</v>
      </c>
      <c r="R1144" t="s">
        <v>2401</v>
      </c>
      <c r="S1144" t="s">
        <v>2401</v>
      </c>
    </row>
    <row r="1145" spans="1:19">
      <c r="A1145" t="s">
        <v>6911</v>
      </c>
      <c r="B1145" t="s">
        <v>6912</v>
      </c>
      <c r="C1145" t="s">
        <v>2401</v>
      </c>
      <c r="D1145" t="s">
        <v>2401</v>
      </c>
      <c r="E1145" t="s">
        <v>2401</v>
      </c>
      <c r="F1145" t="s">
        <v>2401</v>
      </c>
      <c r="G1145" t="s">
        <v>2401</v>
      </c>
      <c r="H1145" t="s">
        <v>2401</v>
      </c>
      <c r="I1145" t="s">
        <v>2401</v>
      </c>
      <c r="J1145" t="s">
        <v>6913</v>
      </c>
      <c r="K1145" t="s">
        <v>2615</v>
      </c>
      <c r="L1145" t="s">
        <v>2401</v>
      </c>
      <c r="M1145" s="14">
        <v>45565.547222222223</v>
      </c>
      <c r="N1145" t="s">
        <v>6914</v>
      </c>
      <c r="O1145" t="s">
        <v>2401</v>
      </c>
      <c r="P1145" t="s">
        <v>2401</v>
      </c>
      <c r="Q1145" t="s">
        <v>2401</v>
      </c>
      <c r="R1145" t="s">
        <v>2401</v>
      </c>
      <c r="S1145" t="s">
        <v>2401</v>
      </c>
    </row>
    <row r="1146" spans="1:19">
      <c r="A1146" t="s">
        <v>6915</v>
      </c>
      <c r="B1146" t="s">
        <v>6916</v>
      </c>
      <c r="C1146" t="s">
        <v>2401</v>
      </c>
      <c r="D1146" t="s">
        <v>2401</v>
      </c>
      <c r="E1146" t="s">
        <v>2401</v>
      </c>
      <c r="F1146" t="s">
        <v>2401</v>
      </c>
      <c r="G1146" t="s">
        <v>2401</v>
      </c>
      <c r="H1146" t="s">
        <v>2401</v>
      </c>
      <c r="I1146" t="s">
        <v>2401</v>
      </c>
      <c r="J1146" t="s">
        <v>6917</v>
      </c>
      <c r="K1146" t="s">
        <v>2877</v>
      </c>
      <c r="L1146" t="s">
        <v>2401</v>
      </c>
      <c r="M1146" s="14">
        <v>45565.570833333331</v>
      </c>
      <c r="N1146" t="s">
        <v>6918</v>
      </c>
      <c r="O1146" t="s">
        <v>2401</v>
      </c>
      <c r="P1146" t="s">
        <v>2401</v>
      </c>
      <c r="Q1146" t="s">
        <v>2401</v>
      </c>
      <c r="R1146" t="s">
        <v>2401</v>
      </c>
      <c r="S1146" t="s">
        <v>2401</v>
      </c>
    </row>
    <row r="1147" spans="1:19">
      <c r="A1147" t="s">
        <v>6919</v>
      </c>
      <c r="B1147" t="s">
        <v>6920</v>
      </c>
      <c r="C1147" t="s">
        <v>2401</v>
      </c>
      <c r="D1147" t="s">
        <v>2401</v>
      </c>
      <c r="E1147" t="s">
        <v>2401</v>
      </c>
      <c r="F1147" t="s">
        <v>2401</v>
      </c>
      <c r="G1147" t="s">
        <v>2401</v>
      </c>
      <c r="H1147" t="s">
        <v>2401</v>
      </c>
      <c r="I1147" t="s">
        <v>2401</v>
      </c>
      <c r="J1147" t="s">
        <v>6921</v>
      </c>
      <c r="K1147" t="s">
        <v>3663</v>
      </c>
      <c r="L1147" t="s">
        <v>2401</v>
      </c>
      <c r="M1147" s="14">
        <v>45565.697916666664</v>
      </c>
      <c r="N1147" t="s">
        <v>6922</v>
      </c>
      <c r="O1147" t="s">
        <v>2401</v>
      </c>
      <c r="P1147" t="s">
        <v>2401</v>
      </c>
      <c r="Q1147" t="s">
        <v>2401</v>
      </c>
      <c r="R1147" t="s">
        <v>2401</v>
      </c>
      <c r="S1147" t="s">
        <v>2401</v>
      </c>
    </row>
    <row r="1148" spans="1:19">
      <c r="A1148" t="s">
        <v>6923</v>
      </c>
      <c r="B1148" t="s">
        <v>6924</v>
      </c>
      <c r="C1148" t="s">
        <v>2401</v>
      </c>
      <c r="D1148" t="s">
        <v>2401</v>
      </c>
      <c r="E1148" t="s">
        <v>2401</v>
      </c>
      <c r="F1148" t="s">
        <v>2401</v>
      </c>
      <c r="G1148" t="s">
        <v>2401</v>
      </c>
      <c r="H1148" t="s">
        <v>2401</v>
      </c>
      <c r="I1148" t="s">
        <v>2401</v>
      </c>
      <c r="J1148" t="s">
        <v>6925</v>
      </c>
      <c r="K1148" t="s">
        <v>2406</v>
      </c>
      <c r="L1148" t="s">
        <v>2401</v>
      </c>
      <c r="M1148" s="14">
        <v>45399.554861111108</v>
      </c>
      <c r="N1148" t="s">
        <v>6926</v>
      </c>
      <c r="O1148" t="s">
        <v>6927</v>
      </c>
      <c r="P1148" t="s">
        <v>2401</v>
      </c>
      <c r="Q1148" t="s">
        <v>2401</v>
      </c>
      <c r="R1148" t="s">
        <v>2401</v>
      </c>
      <c r="S1148" t="s">
        <v>2401</v>
      </c>
    </row>
    <row r="1149" spans="1:19">
      <c r="A1149" t="s">
        <v>6928</v>
      </c>
      <c r="B1149" t="s">
        <v>6929</v>
      </c>
      <c r="C1149" t="s">
        <v>2401</v>
      </c>
      <c r="D1149" t="s">
        <v>2401</v>
      </c>
      <c r="E1149" t="s">
        <v>2401</v>
      </c>
      <c r="F1149" t="s">
        <v>2401</v>
      </c>
      <c r="G1149" t="s">
        <v>2401</v>
      </c>
      <c r="H1149" t="s">
        <v>2401</v>
      </c>
      <c r="I1149" t="s">
        <v>2401</v>
      </c>
      <c r="J1149" t="s">
        <v>6930</v>
      </c>
      <c r="K1149" t="s">
        <v>2499</v>
      </c>
      <c r="L1149" t="s">
        <v>2401</v>
      </c>
      <c r="M1149" s="14">
        <v>45565.559027777781</v>
      </c>
      <c r="N1149" t="s">
        <v>6931</v>
      </c>
      <c r="O1149" t="s">
        <v>6501</v>
      </c>
      <c r="P1149" t="s">
        <v>2401</v>
      </c>
      <c r="Q1149" t="s">
        <v>2401</v>
      </c>
      <c r="R1149" t="s">
        <v>2401</v>
      </c>
      <c r="S1149" t="s">
        <v>2401</v>
      </c>
    </row>
    <row r="1150" spans="1:19">
      <c r="A1150" t="s">
        <v>6932</v>
      </c>
      <c r="B1150" t="s">
        <v>6933</v>
      </c>
      <c r="C1150" t="s">
        <v>2401</v>
      </c>
      <c r="D1150" t="s">
        <v>2401</v>
      </c>
      <c r="E1150" t="s">
        <v>2401</v>
      </c>
      <c r="F1150" t="s">
        <v>2401</v>
      </c>
      <c r="G1150" t="s">
        <v>2401</v>
      </c>
      <c r="H1150" t="s">
        <v>2401</v>
      </c>
      <c r="I1150" t="s">
        <v>2401</v>
      </c>
      <c r="J1150" t="s">
        <v>6934</v>
      </c>
      <c r="K1150" t="s">
        <v>2571</v>
      </c>
      <c r="L1150" t="s">
        <v>2549</v>
      </c>
      <c r="M1150" s="14">
        <v>45518.869444444441</v>
      </c>
      <c r="N1150" t="s">
        <v>6935</v>
      </c>
      <c r="O1150" t="s">
        <v>2401</v>
      </c>
      <c r="P1150" t="s">
        <v>2401</v>
      </c>
      <c r="Q1150" t="s">
        <v>2401</v>
      </c>
      <c r="R1150" t="s">
        <v>2401</v>
      </c>
      <c r="S1150" t="s">
        <v>2401</v>
      </c>
    </row>
    <row r="1151" spans="1:19">
      <c r="A1151" t="s">
        <v>6936</v>
      </c>
      <c r="B1151" t="s">
        <v>6937</v>
      </c>
      <c r="C1151" t="s">
        <v>2401</v>
      </c>
      <c r="D1151" t="s">
        <v>2401</v>
      </c>
      <c r="E1151" t="s">
        <v>2401</v>
      </c>
      <c r="F1151" t="s">
        <v>2401</v>
      </c>
      <c r="G1151" t="s">
        <v>2401</v>
      </c>
      <c r="H1151" t="s">
        <v>2401</v>
      </c>
      <c r="I1151" t="s">
        <v>2401</v>
      </c>
      <c r="J1151" t="s">
        <v>6938</v>
      </c>
      <c r="K1151" t="s">
        <v>2433</v>
      </c>
      <c r="L1151" t="s">
        <v>2401</v>
      </c>
      <c r="M1151" s="14">
        <v>45565.645138888889</v>
      </c>
      <c r="N1151" t="s">
        <v>6939</v>
      </c>
      <c r="O1151" t="s">
        <v>6940</v>
      </c>
      <c r="P1151" t="s">
        <v>2401</v>
      </c>
      <c r="Q1151" t="s">
        <v>2401</v>
      </c>
      <c r="R1151" t="s">
        <v>2401</v>
      </c>
      <c r="S1151" t="s">
        <v>2401</v>
      </c>
    </row>
    <row r="1152" spans="1:19">
      <c r="A1152" t="s">
        <v>6941</v>
      </c>
      <c r="B1152" t="s">
        <v>6942</v>
      </c>
      <c r="C1152" t="s">
        <v>2401</v>
      </c>
      <c r="D1152" t="s">
        <v>2401</v>
      </c>
      <c r="E1152" t="s">
        <v>2401</v>
      </c>
      <c r="F1152" t="s">
        <v>2401</v>
      </c>
      <c r="G1152" t="s">
        <v>2401</v>
      </c>
      <c r="H1152" t="s">
        <v>2401</v>
      </c>
      <c r="I1152" t="s">
        <v>2401</v>
      </c>
      <c r="J1152" t="s">
        <v>6943</v>
      </c>
      <c r="K1152" t="s">
        <v>2406</v>
      </c>
      <c r="L1152" t="s">
        <v>2401</v>
      </c>
      <c r="M1152" s="14">
        <v>45554.430555555555</v>
      </c>
      <c r="N1152" t="s">
        <v>6944</v>
      </c>
      <c r="O1152" t="s">
        <v>2401</v>
      </c>
      <c r="P1152" t="s">
        <v>2401</v>
      </c>
      <c r="Q1152" t="s">
        <v>2401</v>
      </c>
      <c r="R1152" t="s">
        <v>2401</v>
      </c>
      <c r="S1152" t="s">
        <v>2401</v>
      </c>
    </row>
    <row r="1153" spans="1:19">
      <c r="A1153" t="s">
        <v>6945</v>
      </c>
      <c r="B1153" t="s">
        <v>6946</v>
      </c>
      <c r="C1153" t="s">
        <v>2401</v>
      </c>
      <c r="D1153" t="s">
        <v>2401</v>
      </c>
      <c r="E1153" t="s">
        <v>2401</v>
      </c>
      <c r="F1153" t="s">
        <v>2401</v>
      </c>
      <c r="G1153" t="s">
        <v>2401</v>
      </c>
      <c r="H1153" t="s">
        <v>2401</v>
      </c>
      <c r="I1153" t="s">
        <v>2401</v>
      </c>
      <c r="J1153" t="s">
        <v>6947</v>
      </c>
      <c r="K1153" t="s">
        <v>2701</v>
      </c>
      <c r="L1153" t="s">
        <v>2401</v>
      </c>
      <c r="M1153" s="14">
        <v>45534.874305555553</v>
      </c>
      <c r="N1153" t="s">
        <v>6948</v>
      </c>
      <c r="O1153" t="s">
        <v>6949</v>
      </c>
      <c r="P1153" t="s">
        <v>2401</v>
      </c>
      <c r="Q1153" t="s">
        <v>2401</v>
      </c>
      <c r="R1153" t="s">
        <v>2401</v>
      </c>
      <c r="S1153" t="s">
        <v>2401</v>
      </c>
    </row>
    <row r="1154" spans="1:19">
      <c r="A1154" t="s">
        <v>6950</v>
      </c>
      <c r="B1154" t="s">
        <v>6951</v>
      </c>
      <c r="C1154" t="s">
        <v>2401</v>
      </c>
      <c r="D1154" t="s">
        <v>2401</v>
      </c>
      <c r="E1154" t="s">
        <v>2401</v>
      </c>
      <c r="F1154" t="s">
        <v>2401</v>
      </c>
      <c r="G1154" t="s">
        <v>2401</v>
      </c>
      <c r="H1154" t="s">
        <v>2401</v>
      </c>
      <c r="I1154" t="s">
        <v>2401</v>
      </c>
      <c r="J1154" t="s">
        <v>6952</v>
      </c>
      <c r="K1154" t="s">
        <v>2701</v>
      </c>
      <c r="L1154" t="s">
        <v>2401</v>
      </c>
      <c r="M1154" s="14">
        <v>45399.554861111108</v>
      </c>
      <c r="N1154" t="s">
        <v>6953</v>
      </c>
      <c r="O1154" t="s">
        <v>6949</v>
      </c>
      <c r="P1154" t="s">
        <v>2401</v>
      </c>
      <c r="Q1154" t="s">
        <v>2401</v>
      </c>
      <c r="R1154" t="s">
        <v>2401</v>
      </c>
      <c r="S1154" t="s">
        <v>2401</v>
      </c>
    </row>
    <row r="1155" spans="1:19">
      <c r="A1155" t="s">
        <v>6954</v>
      </c>
      <c r="B1155" t="s">
        <v>6955</v>
      </c>
      <c r="C1155" t="s">
        <v>2401</v>
      </c>
      <c r="D1155" t="s">
        <v>2401</v>
      </c>
      <c r="E1155" t="s">
        <v>2401</v>
      </c>
      <c r="F1155" t="s">
        <v>2401</v>
      </c>
      <c r="G1155" t="s">
        <v>2401</v>
      </c>
      <c r="H1155" t="s">
        <v>2401</v>
      </c>
      <c r="I1155" t="s">
        <v>2401</v>
      </c>
      <c r="J1155" t="s">
        <v>6956</v>
      </c>
      <c r="K1155" t="s">
        <v>2743</v>
      </c>
      <c r="L1155" t="s">
        <v>2401</v>
      </c>
      <c r="M1155" s="14">
        <v>45399.554861111108</v>
      </c>
      <c r="N1155" t="s">
        <v>6957</v>
      </c>
      <c r="O1155" t="s">
        <v>6958</v>
      </c>
      <c r="P1155" t="s">
        <v>2401</v>
      </c>
      <c r="Q1155" t="s">
        <v>2401</v>
      </c>
      <c r="R1155" t="s">
        <v>2401</v>
      </c>
      <c r="S1155" t="s">
        <v>2401</v>
      </c>
    </row>
    <row r="1156" spans="1:19">
      <c r="A1156" t="s">
        <v>6959</v>
      </c>
      <c r="B1156" t="s">
        <v>6960</v>
      </c>
      <c r="C1156" t="s">
        <v>2401</v>
      </c>
      <c r="D1156" t="s">
        <v>2401</v>
      </c>
      <c r="E1156" t="s">
        <v>2401</v>
      </c>
      <c r="F1156" t="s">
        <v>2401</v>
      </c>
      <c r="G1156" t="s">
        <v>2401</v>
      </c>
      <c r="H1156" t="s">
        <v>2401</v>
      </c>
      <c r="I1156" t="s">
        <v>2401</v>
      </c>
      <c r="J1156" t="s">
        <v>6961</v>
      </c>
      <c r="K1156" t="s">
        <v>6962</v>
      </c>
      <c r="L1156" t="s">
        <v>2401</v>
      </c>
      <c r="M1156" s="14">
        <v>45390.607638888891</v>
      </c>
      <c r="N1156" t="s">
        <v>6963</v>
      </c>
      <c r="O1156" t="s">
        <v>4374</v>
      </c>
      <c r="P1156" t="s">
        <v>2401</v>
      </c>
      <c r="Q1156" t="s">
        <v>2401</v>
      </c>
      <c r="R1156" t="s">
        <v>2401</v>
      </c>
      <c r="S1156" t="s">
        <v>2401</v>
      </c>
    </row>
    <row r="1157" spans="1:19">
      <c r="A1157" t="s">
        <v>6964</v>
      </c>
      <c r="B1157" t="s">
        <v>6965</v>
      </c>
      <c r="C1157" t="s">
        <v>2401</v>
      </c>
      <c r="D1157" t="s">
        <v>2401</v>
      </c>
      <c r="E1157" t="s">
        <v>2401</v>
      </c>
      <c r="F1157" t="s">
        <v>2401</v>
      </c>
      <c r="G1157" t="s">
        <v>2401</v>
      </c>
      <c r="H1157" t="s">
        <v>2401</v>
      </c>
      <c r="I1157" t="s">
        <v>2401</v>
      </c>
      <c r="J1157" t="s">
        <v>6966</v>
      </c>
      <c r="K1157" t="s">
        <v>2433</v>
      </c>
      <c r="L1157" t="s">
        <v>2401</v>
      </c>
      <c r="M1157" s="14">
        <v>45565.570833333331</v>
      </c>
      <c r="N1157" t="s">
        <v>6967</v>
      </c>
      <c r="O1157" t="s">
        <v>6968</v>
      </c>
      <c r="P1157" t="s">
        <v>2401</v>
      </c>
      <c r="Q1157" t="s">
        <v>2401</v>
      </c>
      <c r="R1157" t="s">
        <v>2401</v>
      </c>
      <c r="S1157" t="s">
        <v>2401</v>
      </c>
    </row>
    <row r="1158" spans="1:19">
      <c r="A1158" t="s">
        <v>6969</v>
      </c>
      <c r="B1158" t="s">
        <v>6970</v>
      </c>
      <c r="C1158" t="s">
        <v>2401</v>
      </c>
      <c r="D1158" t="s">
        <v>2401</v>
      </c>
      <c r="E1158" t="s">
        <v>2401</v>
      </c>
      <c r="F1158" t="s">
        <v>2401</v>
      </c>
      <c r="G1158" t="s">
        <v>2401</v>
      </c>
      <c r="H1158" t="s">
        <v>2401</v>
      </c>
      <c r="I1158" t="s">
        <v>2401</v>
      </c>
      <c r="J1158" t="s">
        <v>6971</v>
      </c>
      <c r="K1158" t="s">
        <v>2433</v>
      </c>
      <c r="L1158" t="s">
        <v>2401</v>
      </c>
      <c r="M1158" s="14">
        <v>45565.65</v>
      </c>
      <c r="N1158" t="s">
        <v>6972</v>
      </c>
      <c r="O1158" t="s">
        <v>2401</v>
      </c>
      <c r="P1158" t="s">
        <v>2401</v>
      </c>
      <c r="Q1158" t="s">
        <v>2401</v>
      </c>
      <c r="R1158" t="s">
        <v>2401</v>
      </c>
      <c r="S1158" t="s">
        <v>2401</v>
      </c>
    </row>
    <row r="1159" spans="1:19">
      <c r="A1159" t="s">
        <v>6973</v>
      </c>
      <c r="B1159" t="s">
        <v>6974</v>
      </c>
      <c r="C1159" t="s">
        <v>2401</v>
      </c>
      <c r="D1159" t="s">
        <v>2401</v>
      </c>
      <c r="E1159" t="s">
        <v>2401</v>
      </c>
      <c r="F1159" t="s">
        <v>2401</v>
      </c>
      <c r="G1159" t="s">
        <v>2401</v>
      </c>
      <c r="H1159" t="s">
        <v>2401</v>
      </c>
      <c r="I1159" t="s">
        <v>2401</v>
      </c>
      <c r="J1159" t="s">
        <v>2401</v>
      </c>
      <c r="K1159" t="s">
        <v>2401</v>
      </c>
      <c r="L1159" t="s">
        <v>2401</v>
      </c>
      <c r="M1159" s="14">
        <v>45399.554861111108</v>
      </c>
      <c r="N1159" t="s">
        <v>2401</v>
      </c>
      <c r="O1159" t="s">
        <v>2401</v>
      </c>
      <c r="P1159" t="s">
        <v>2401</v>
      </c>
      <c r="Q1159" t="s">
        <v>2401</v>
      </c>
      <c r="R1159" t="s">
        <v>2401</v>
      </c>
      <c r="S1159" t="s">
        <v>2401</v>
      </c>
    </row>
    <row r="1160" spans="1:19">
      <c r="A1160" t="s">
        <v>6975</v>
      </c>
      <c r="B1160" t="s">
        <v>6976</v>
      </c>
      <c r="C1160" t="s">
        <v>2401</v>
      </c>
      <c r="D1160" t="s">
        <v>2401</v>
      </c>
      <c r="E1160" t="s">
        <v>2401</v>
      </c>
      <c r="F1160" t="s">
        <v>2401</v>
      </c>
      <c r="G1160" t="s">
        <v>2401</v>
      </c>
      <c r="H1160" t="s">
        <v>2401</v>
      </c>
      <c r="I1160" t="s">
        <v>2401</v>
      </c>
      <c r="J1160" t="s">
        <v>2401</v>
      </c>
      <c r="K1160" t="s">
        <v>2401</v>
      </c>
      <c r="L1160" t="s">
        <v>2401</v>
      </c>
      <c r="M1160" s="14">
        <v>45399.554861111108</v>
      </c>
      <c r="N1160" t="s">
        <v>2401</v>
      </c>
      <c r="O1160" t="s">
        <v>2401</v>
      </c>
      <c r="P1160" t="s">
        <v>2401</v>
      </c>
      <c r="Q1160" t="s">
        <v>2401</v>
      </c>
      <c r="R1160" t="s">
        <v>2401</v>
      </c>
      <c r="S1160" t="s">
        <v>2401</v>
      </c>
    </row>
    <row r="1161" spans="1:19">
      <c r="A1161" t="s">
        <v>6977</v>
      </c>
      <c r="B1161" t="s">
        <v>6978</v>
      </c>
      <c r="C1161" t="s">
        <v>2401</v>
      </c>
      <c r="D1161" t="s">
        <v>2401</v>
      </c>
      <c r="E1161" t="s">
        <v>2401</v>
      </c>
      <c r="F1161" t="s">
        <v>2401</v>
      </c>
      <c r="G1161" t="s">
        <v>2401</v>
      </c>
      <c r="H1161" t="s">
        <v>2401</v>
      </c>
      <c r="I1161" t="s">
        <v>2401</v>
      </c>
      <c r="J1161" t="s">
        <v>6979</v>
      </c>
      <c r="K1161" t="s">
        <v>2492</v>
      </c>
      <c r="L1161" t="s">
        <v>2401</v>
      </c>
      <c r="M1161" s="14">
        <v>45565.570833333331</v>
      </c>
      <c r="N1161" t="s">
        <v>6980</v>
      </c>
      <c r="O1161" t="s">
        <v>2401</v>
      </c>
      <c r="P1161" t="s">
        <v>2401</v>
      </c>
      <c r="Q1161" t="s">
        <v>2401</v>
      </c>
      <c r="R1161" t="s">
        <v>2401</v>
      </c>
      <c r="S1161" t="s">
        <v>2401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ed5ecc-bf5e-40e3-b7a6-8948f961d062">
      <Terms xmlns="http://schemas.microsoft.com/office/infopath/2007/PartnerControls"/>
    </lcf76f155ced4ddcb4097134ff3c332f>
    <TaxCatchAll xmlns="d399ec80-37f6-4373-a49d-fcbaf07863e0" xsi:nil="true"/>
    <_ip_UnifiedCompliancePolicyUIAction xmlns="http://schemas.microsoft.com/sharepoint/v3" xsi:nil="true"/>
    <_ip_UnifiedCompliancePolicyProperties xmlns="http://schemas.microsoft.com/sharepoint/v3" xsi:nil="true"/>
    <DueforSubmittal xmlns="c6ed5ecc-bf5e-40e3-b7a6-8948f961d062" xsi:nil="true"/>
    <OrderingNumbers xmlns="c6ed5ecc-bf5e-40e3-b7a6-8948f961d062" xsi:nil="true"/>
    <DueDate xmlns="c6ed5ecc-bf5e-40e3-b7a6-8948f961d06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AFE552DDDB26844871B52033A53EE58" ma:contentTypeVersion="20" ma:contentTypeDescription="Create a new document." ma:contentTypeScope="" ma:versionID="3c103a98543ae920d11684da3f2a16a6">
  <xsd:schema xmlns:xsd="http://www.w3.org/2001/XMLSchema" xmlns:xs="http://www.w3.org/2001/XMLSchema" xmlns:p="http://schemas.microsoft.com/office/2006/metadata/properties" xmlns:ns1="http://schemas.microsoft.com/sharepoint/v3" xmlns:ns2="c6ed5ecc-bf5e-40e3-b7a6-8948f961d062" xmlns:ns3="d399ec80-37f6-4373-a49d-fcbaf07863e0" targetNamespace="http://schemas.microsoft.com/office/2006/metadata/properties" ma:root="true" ma:fieldsID="1e2e24938c21c0a07b383007797efdd9" ns1:_="" ns2:_="" ns3:_="">
    <xsd:import namespace="http://schemas.microsoft.com/sharepoint/v3"/>
    <xsd:import namespace="c6ed5ecc-bf5e-40e3-b7a6-8948f961d062"/>
    <xsd:import namespace="d399ec80-37f6-4373-a49d-fcbaf07863e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Location" minOccurs="0"/>
                <xsd:element ref="ns1:_ip_UnifiedCompliancePolicyProperties" minOccurs="0"/>
                <xsd:element ref="ns1:_ip_UnifiedCompliancePolicyUIAction" minOccurs="0"/>
                <xsd:element ref="ns2:OrderingNumbers" minOccurs="0"/>
                <xsd:element ref="ns2:DueforSubmittal" minOccurs="0"/>
                <xsd:element ref="ns2:Du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ed5ecc-bf5e-40e3-b7a6-8948f961d0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5a23397-08eb-480d-b918-97413c9625c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OrderingNumbers" ma:index="25" nillable="true" ma:displayName="Ordering Numbers" ma:format="Dropdown" ma:internalName="OrderingNumbers" ma:percentage="FALSE">
      <xsd:simpleType>
        <xsd:restriction base="dms:Number"/>
      </xsd:simpleType>
    </xsd:element>
    <xsd:element name="DueforSubmittal" ma:index="26" nillable="true" ma:displayName="Due for Submittal" ma:format="DateTime" ma:internalName="DueforSubmittal">
      <xsd:simpleType>
        <xsd:restriction base="dms:DateTime"/>
      </xsd:simpleType>
    </xsd:element>
    <xsd:element name="DueDate" ma:index="27" nillable="true" ma:displayName="Due Date" ma:format="DateTime" ma:internalName="Du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399ec80-37f6-4373-a49d-fcbaf07863e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21ce6f1-ab95-43ee-a783-eb72bb497b08}" ma:internalName="TaxCatchAll" ma:showField="CatchAllData" ma:web="d399ec80-37f6-4373-a49d-fcbaf07863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23A946-7BA0-49F6-90B3-81DB9A0AC0DA}">
  <ds:schemaRefs>
    <ds:schemaRef ds:uri="c6ed5ecc-bf5e-40e3-b7a6-8948f961d062"/>
    <ds:schemaRef ds:uri="http://schemas.microsoft.com/sharepoint/v3"/>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d399ec80-37f6-4373-a49d-fcbaf07863e0"/>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59F84999-4518-4C7A-8210-2E46E9D4AD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6ed5ecc-bf5e-40e3-b7a6-8948f961d062"/>
    <ds:schemaRef ds:uri="d399ec80-37f6-4373-a49d-fcbaf07863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D68B32-9C66-442A-85C8-1564B695C08E}">
  <ds:schemaRefs>
    <ds:schemaRef ds:uri="http://schemas.microsoft.com/sharepoint/v3/contenttype/forms"/>
  </ds:schemaRefs>
</ds:datastoreItem>
</file>

<file path=docMetadata/LabelInfo.xml><?xml version="1.0" encoding="utf-8"?>
<clbl:labelList xmlns:clbl="http://schemas.microsoft.com/office/2020/mipLabelMetadata">
  <clbl:label id="{ae0ccb7b-14f2-43fe-bcc5-6ee24068986a}" enabled="0" method="" siteId="{ae0ccb7b-14f2-43fe-bcc5-6ee24068986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Post-conf leads (Round 2)</vt:lpstr>
      <vt:lpstr>Post-conf leads (Round 1)</vt:lpstr>
      <vt:lpstr>Registrant -Attendee Burndown </vt:lpstr>
      <vt:lpstr>Contact Hit List</vt:lpstr>
      <vt:lpstr>Original - Registrant Details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Mike Idengren</cp:lastModifiedBy>
  <cp:revision/>
  <dcterms:created xsi:type="dcterms:W3CDTF">2024-09-27T13:56:42Z</dcterms:created>
  <dcterms:modified xsi:type="dcterms:W3CDTF">2026-03-08T23:56:49Z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0x0101005AFE552DDDB26844871B52033A53EE58</vt:lpwstr>
  </property>
  <property fmtid="{D5CDD505-2E9C-101B-9397-08002B2CF9AE}" pid="3" name="MediaServiceImageTags">
    <vt:lpwstr/>
  </property>
  <property fmtid="{D5CDD505-2E9C-101B-9397-08002B2CF9AE}" pid="4" name="MSIP_Label_9d30daf5-d095-47ff-bdef-15c92361d4f1_Enabled">
    <vt:lpwstr>true</vt:lpwstr>
  </property>
  <property fmtid="{D5CDD505-2E9C-101B-9397-08002B2CF9AE}" pid="5" name="MSIP_Label_9d30daf5-d095-47ff-bdef-15c92361d4f1_SetDate">
    <vt:lpwstr>2024-10-08T16:00:07Z</vt:lpwstr>
  </property>
  <property fmtid="{D5CDD505-2E9C-101B-9397-08002B2CF9AE}" pid="6" name="MSIP_Label_9d30daf5-d095-47ff-bdef-15c92361d4f1_Method">
    <vt:lpwstr>Standard</vt:lpwstr>
  </property>
  <property fmtid="{D5CDD505-2E9C-101B-9397-08002B2CF9AE}" pid="7" name="MSIP_Label_9d30daf5-d095-47ff-bdef-15c92361d4f1_Name">
    <vt:lpwstr>Public</vt:lpwstr>
  </property>
  <property fmtid="{D5CDD505-2E9C-101B-9397-08002B2CF9AE}" pid="8" name="MSIP_Label_9d30daf5-d095-47ff-bdef-15c92361d4f1_SiteId">
    <vt:lpwstr>449dccc8-7b07-4ad1-9fcd-67e155a4c52a</vt:lpwstr>
  </property>
  <property fmtid="{D5CDD505-2E9C-101B-9397-08002B2CF9AE}" pid="9" name="MSIP_Label_9d30daf5-d095-47ff-bdef-15c92361d4f1_ActionId">
    <vt:lpwstr>11c698aa-e31f-4a81-b3ad-96717e1a0416</vt:lpwstr>
  </property>
  <property fmtid="{D5CDD505-2E9C-101B-9397-08002B2CF9AE}" pid="10" name="MSIP_Label_9d30daf5-d095-47ff-bdef-15c92361d4f1_ContentBits">
    <vt:lpwstr>0</vt:lpwstr>
  </property>
</Properties>
</file>